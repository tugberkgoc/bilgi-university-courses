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esktop\Derslerim\2.sınıf\IE260\assignments\"/>
    </mc:Choice>
  </mc:AlternateContent>
  <workbookProtection workbookAlgorithmName="SHA-512" workbookHashValue="yDiGCQV6jEhq8Wr3f+93n0jaeytjFeClLN9M6HckQUhtnQlhO01xFNTsEdZnsJjfTCHWvhAWBR3JuokV2CP3Lg==" workbookSaltValue="AyYh+9DjTWPNaLldPFXmYw==" workbookSpinCount="100000" lockStructure="1"/>
  <bookViews>
    <workbookView xWindow="0" yWindow="0" windowWidth="28800" windowHeight="12435"/>
  </bookViews>
  <sheets>
    <sheet name="Question" sheetId="2" r:id="rId1"/>
    <sheet name="Data" sheetId="7" state="veryHidden" r:id="rId2"/>
  </sheets>
  <definedNames>
    <definedName name="_xlnm.Print_Area" localSheetId="1">Data!#REF!</definedName>
    <definedName name="_xlnm.Print_Area" localSheetId="0">Question!$A$1:$AF$44</definedName>
    <definedName name="_xlnm.Print_Titles" localSheetId="1">Data!#REF!,Data!$1:$4</definedName>
  </definedNames>
  <calcPr calcId="15251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39" i="7" l="1"/>
  <c r="DB18" i="2" l="1"/>
  <c r="AA2" i="7"/>
  <c r="AB2" i="7" s="1"/>
  <c r="W2" i="7"/>
  <c r="X2" i="7" s="1"/>
  <c r="V2" i="7"/>
  <c r="T2" i="7"/>
  <c r="U2" i="7" s="1"/>
  <c r="S2" i="7"/>
  <c r="P2" i="7"/>
  <c r="Q2" i="7" s="1"/>
  <c r="O2" i="7"/>
  <c r="N2" i="7"/>
  <c r="L2" i="7"/>
  <c r="M2" i="7" s="1"/>
  <c r="K2" i="7"/>
  <c r="J2" i="7"/>
  <c r="I2" i="7"/>
  <c r="R2" i="7" s="1"/>
  <c r="Z2" i="7" l="1"/>
  <c r="Y2" i="7"/>
  <c r="A2" i="2" l="1"/>
  <c r="AC38" i="2" l="1"/>
  <c r="AA37" i="2"/>
  <c r="C41" i="2"/>
  <c r="AC37" i="2"/>
  <c r="C37" i="2"/>
  <c r="C39" i="2"/>
  <c r="B42" i="2"/>
  <c r="C38" i="2"/>
  <c r="B8" i="2"/>
  <c r="C42" i="2"/>
  <c r="AA41" i="2"/>
  <c r="AC41" i="2"/>
  <c r="AB27" i="2"/>
  <c r="AA38" i="2"/>
  <c r="AB26" i="2"/>
  <c r="AB29" i="2"/>
  <c r="AC42" i="2"/>
  <c r="AB28" i="2"/>
  <c r="AC39" i="2"/>
  <c r="B41" i="2"/>
  <c r="B39" i="2"/>
  <c r="A31" i="2"/>
  <c r="B38" i="2"/>
  <c r="B37" i="2"/>
  <c r="Z27" i="2"/>
  <c r="Z28" i="2"/>
  <c r="Z29" i="2"/>
  <c r="Z26" i="2"/>
  <c r="K11" i="2"/>
  <c r="C29" i="2"/>
  <c r="B29" i="2"/>
  <c r="C28" i="2"/>
  <c r="B28" i="2"/>
  <c r="C26" i="2"/>
  <c r="B26" i="2"/>
  <c r="C27" i="2"/>
  <c r="B27" i="2"/>
  <c r="D322" i="7"/>
  <c r="D321" i="7"/>
  <c r="D320" i="7"/>
  <c r="D319" i="7"/>
  <c r="D318" i="7"/>
  <c r="D317" i="7"/>
  <c r="D316" i="7"/>
  <c r="D315" i="7"/>
  <c r="D314" i="7"/>
  <c r="D313" i="7"/>
  <c r="D312" i="7"/>
  <c r="D311" i="7"/>
  <c r="D310" i="7"/>
  <c r="D309" i="7"/>
  <c r="D308" i="7"/>
  <c r="D307" i="7"/>
  <c r="D306" i="7"/>
  <c r="D305" i="7"/>
  <c r="D304" i="7"/>
  <c r="D303" i="7"/>
  <c r="D302" i="7"/>
  <c r="D301" i="7"/>
  <c r="D300" i="7"/>
  <c r="D299" i="7"/>
  <c r="D298" i="7"/>
  <c r="D297" i="7"/>
  <c r="D296" i="7"/>
  <c r="D295" i="7"/>
  <c r="D294" i="7"/>
  <c r="D293" i="7"/>
  <c r="D292" i="7"/>
  <c r="D291" i="7"/>
  <c r="D290" i="7"/>
  <c r="D289" i="7"/>
  <c r="D288" i="7"/>
  <c r="D287" i="7"/>
  <c r="D286" i="7"/>
  <c r="D285" i="7"/>
  <c r="D284" i="7"/>
  <c r="D283" i="7"/>
  <c r="D282" i="7"/>
  <c r="D281" i="7"/>
  <c r="D280" i="7"/>
  <c r="D279" i="7"/>
  <c r="D278" i="7"/>
  <c r="D277" i="7"/>
  <c r="D276" i="7"/>
  <c r="D275" i="7"/>
  <c r="D274" i="7"/>
  <c r="D273" i="7"/>
  <c r="D272" i="7"/>
  <c r="D271" i="7"/>
  <c r="D270" i="7"/>
  <c r="D269" i="7"/>
  <c r="D268" i="7"/>
  <c r="D267" i="7"/>
  <c r="D266" i="7"/>
  <c r="D265" i="7"/>
  <c r="D264" i="7"/>
  <c r="D263" i="7"/>
  <c r="D262" i="7"/>
  <c r="D261" i="7"/>
  <c r="D260" i="7"/>
  <c r="D259" i="7"/>
  <c r="D258" i="7"/>
  <c r="D257" i="7"/>
  <c r="D256" i="7"/>
  <c r="D255" i="7"/>
  <c r="D254" i="7"/>
  <c r="D253" i="7"/>
  <c r="D252" i="7"/>
  <c r="D251" i="7"/>
  <c r="D250" i="7"/>
  <c r="D249" i="7"/>
  <c r="D248" i="7"/>
  <c r="D247" i="7"/>
  <c r="D246" i="7"/>
  <c r="D245" i="7"/>
  <c r="D244" i="7"/>
  <c r="D243" i="7"/>
  <c r="D242" i="7"/>
  <c r="D241" i="7"/>
  <c r="D240" i="7"/>
  <c r="D238" i="7"/>
  <c r="D237" i="7"/>
  <c r="D236" i="7"/>
  <c r="D235" i="7"/>
  <c r="D234" i="7"/>
  <c r="D233" i="7"/>
  <c r="D232" i="7"/>
  <c r="D231" i="7"/>
  <c r="D230" i="7"/>
  <c r="D229" i="7"/>
  <c r="D228" i="7"/>
  <c r="D227" i="7"/>
  <c r="D226" i="7"/>
  <c r="D225" i="7"/>
  <c r="D224" i="7"/>
  <c r="D223" i="7"/>
  <c r="D222" i="7"/>
  <c r="D221" i="7"/>
  <c r="D220" i="7"/>
  <c r="D219" i="7"/>
  <c r="D218" i="7"/>
  <c r="D217" i="7"/>
  <c r="D216" i="7"/>
  <c r="D215" i="7"/>
  <c r="D214" i="7"/>
  <c r="D213" i="7"/>
  <c r="D212" i="7"/>
  <c r="D211" i="7"/>
  <c r="D210" i="7"/>
  <c r="D209" i="7"/>
  <c r="D208" i="7"/>
  <c r="D207" i="7"/>
  <c r="D206" i="7"/>
  <c r="D205" i="7"/>
  <c r="D204" i="7"/>
  <c r="D203" i="7"/>
  <c r="D202" i="7"/>
  <c r="D201" i="7"/>
  <c r="D200" i="7"/>
  <c r="D199" i="7"/>
  <c r="D198" i="7"/>
  <c r="D197" i="7"/>
  <c r="D196" i="7"/>
  <c r="D195" i="7"/>
  <c r="D194" i="7"/>
  <c r="D193" i="7"/>
  <c r="D192" i="7"/>
  <c r="D191" i="7"/>
  <c r="D190" i="7"/>
  <c r="D189" i="7"/>
  <c r="D188" i="7"/>
  <c r="D187" i="7"/>
  <c r="D186" i="7"/>
  <c r="D185" i="7"/>
  <c r="D184" i="7"/>
  <c r="D183" i="7"/>
  <c r="D182" i="7"/>
  <c r="D181" i="7"/>
  <c r="D180" i="7"/>
  <c r="D179" i="7"/>
  <c r="D178" i="7"/>
  <c r="D177" i="7"/>
  <c r="D176" i="7"/>
  <c r="D175" i="7"/>
  <c r="D174" i="7"/>
  <c r="D173" i="7"/>
  <c r="D172" i="7"/>
  <c r="D171" i="7"/>
  <c r="D170" i="7"/>
  <c r="D169" i="7"/>
  <c r="D168" i="7"/>
  <c r="D167" i="7"/>
  <c r="D166" i="7"/>
  <c r="D165" i="7"/>
  <c r="D164" i="7"/>
  <c r="D163" i="7"/>
  <c r="D162" i="7"/>
  <c r="D161" i="7"/>
  <c r="D160" i="7"/>
  <c r="D159" i="7"/>
  <c r="D158" i="7"/>
  <c r="D157" i="7"/>
  <c r="D156" i="7"/>
  <c r="D155" i="7"/>
  <c r="D154" i="7"/>
  <c r="D153" i="7"/>
  <c r="D152" i="7"/>
  <c r="D151" i="7"/>
  <c r="D150" i="7"/>
  <c r="D149" i="7"/>
  <c r="D148"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1"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9" i="7"/>
  <c r="D28" i="7"/>
  <c r="D27" i="7"/>
  <c r="D26" i="7"/>
  <c r="D25" i="7"/>
  <c r="D24" i="7"/>
  <c r="D23" i="7"/>
  <c r="D22" i="7"/>
  <c r="D21" i="7"/>
  <c r="D20" i="7"/>
  <c r="D19" i="7"/>
  <c r="D18" i="7"/>
  <c r="D17" i="7"/>
  <c r="D16" i="7"/>
  <c r="D15" i="7"/>
  <c r="D14" i="7"/>
  <c r="D13" i="7"/>
  <c r="D12" i="7"/>
  <c r="D11" i="7"/>
  <c r="D10" i="7"/>
  <c r="D9" i="7"/>
  <c r="D8" i="7"/>
  <c r="D7" i="7"/>
  <c r="D6" i="7"/>
  <c r="D5" i="7"/>
  <c r="D4" i="7"/>
  <c r="A1" i="7"/>
  <c r="DF9" i="2" l="1"/>
  <c r="DD10" i="2"/>
  <c r="DF13" i="2"/>
  <c r="DF14" i="2"/>
  <c r="DL15" i="2"/>
  <c r="B17" i="2"/>
  <c r="DL14" i="2"/>
  <c r="DD11" i="2"/>
  <c r="DC11" i="2" s="1"/>
  <c r="DF10" i="2"/>
  <c r="DD9" i="2" s="1"/>
  <c r="DC9" i="2" s="1"/>
  <c r="DL16" i="2"/>
  <c r="B12" i="2"/>
  <c r="DD5" i="2" s="1"/>
  <c r="DC5" i="2" s="1"/>
  <c r="B31" i="2"/>
  <c r="B14" i="2"/>
  <c r="DD7" i="2" s="1"/>
  <c r="DC7" i="2" s="1"/>
  <c r="B15" i="2"/>
  <c r="DD8" i="2" s="1"/>
  <c r="DC8" i="2" s="1"/>
  <c r="B13" i="2"/>
  <c r="DD6" i="2" s="1"/>
  <c r="DC6" i="2" s="1"/>
  <c r="DD13" i="2" l="1"/>
  <c r="DL20" i="2"/>
  <c r="DL17" i="2"/>
  <c r="DL19" i="2"/>
  <c r="DI19" i="2"/>
  <c r="DI18" i="2"/>
  <c r="DI20" i="2"/>
  <c r="DL18" i="2"/>
  <c r="DC10" i="2"/>
  <c r="DD12" i="2"/>
  <c r="DC12" i="2" s="1"/>
  <c r="A4" i="2"/>
  <c r="DL21" i="2" l="1"/>
  <c r="DD16" i="2"/>
  <c r="DC16" i="2" s="1"/>
  <c r="DC13" i="2"/>
  <c r="DD14" i="2"/>
  <c r="A17" i="2"/>
  <c r="E13" i="2"/>
  <c r="N13" i="2"/>
  <c r="B4" i="2"/>
  <c r="E14" i="2"/>
  <c r="J15" i="2"/>
  <c r="N14" i="2"/>
  <c r="J13" i="2"/>
  <c r="E15" i="2"/>
  <c r="J14" i="2"/>
  <c r="N15" i="2"/>
  <c r="E12" i="2"/>
  <c r="J12" i="2"/>
  <c r="N12" i="2"/>
  <c r="F11" i="2"/>
  <c r="DD17" i="2" l="1"/>
  <c r="DC17" i="2" s="1"/>
  <c r="DD15" i="2"/>
  <c r="DC15" i="2" s="1"/>
  <c r="DC14" i="2"/>
  <c r="E2" i="7"/>
  <c r="DA3" i="2" l="1"/>
  <c r="F2" i="7"/>
  <c r="G2" i="7" s="1"/>
  <c r="H2" i="7" s="1"/>
</calcChain>
</file>

<file path=xl/sharedStrings.xml><?xml version="1.0" encoding="utf-8"?>
<sst xmlns="http://schemas.openxmlformats.org/spreadsheetml/2006/main" count="1343" uniqueCount="598">
  <si>
    <t>annual</t>
  </si>
  <si>
    <t>6 months</t>
  </si>
  <si>
    <t>quarter</t>
  </si>
  <si>
    <t>monthly</t>
  </si>
  <si>
    <t>Q1</t>
  </si>
  <si>
    <t>Q2</t>
  </si>
  <si>
    <t>MARR</t>
  </si>
  <si>
    <t xml:space="preserve">Student ID: </t>
  </si>
  <si>
    <t>RANDOM</t>
  </si>
  <si>
    <t>Last Name</t>
  </si>
  <si>
    <t>First Name</t>
  </si>
  <si>
    <t>StudentID</t>
  </si>
  <si>
    <t>Combined</t>
  </si>
  <si>
    <t>Ablak</t>
  </si>
  <si>
    <t>Nida Nur</t>
  </si>
  <si>
    <t>Abo Sway</t>
  </si>
  <si>
    <t>Hilal Mohammad</t>
  </si>
  <si>
    <t>Acar</t>
  </si>
  <si>
    <t>Oğuzcan</t>
  </si>
  <si>
    <t>Açar</t>
  </si>
  <si>
    <t>Yahya Berkay</t>
  </si>
  <si>
    <t>Adıgüzel</t>
  </si>
  <si>
    <t>Ali Şamil</t>
  </si>
  <si>
    <t>Aka</t>
  </si>
  <si>
    <t>Elifsu Yüksel</t>
  </si>
  <si>
    <t>Kerem</t>
  </si>
  <si>
    <t>Akcan</t>
  </si>
  <si>
    <t>Ömer Gökalp</t>
  </si>
  <si>
    <t>Akçöl</t>
  </si>
  <si>
    <t>Emre</t>
  </si>
  <si>
    <t>Akdemir</t>
  </si>
  <si>
    <t>Bora</t>
  </si>
  <si>
    <t>Akgül</t>
  </si>
  <si>
    <t>Berk</t>
  </si>
  <si>
    <t>Akın</t>
  </si>
  <si>
    <t>Hayriye</t>
  </si>
  <si>
    <t>Akol</t>
  </si>
  <si>
    <t>Zeynep</t>
  </si>
  <si>
    <t>Aksüt</t>
  </si>
  <si>
    <t>Şevket Mert</t>
  </si>
  <si>
    <t>Aktaş</t>
  </si>
  <si>
    <t>Yılmaz Can</t>
  </si>
  <si>
    <t>Aktürk</t>
  </si>
  <si>
    <t>Furkan</t>
  </si>
  <si>
    <t>Akülkü</t>
  </si>
  <si>
    <t>İrem</t>
  </si>
  <si>
    <t>Akyüz</t>
  </si>
  <si>
    <t>Uğur Barış</t>
  </si>
  <si>
    <t>Alazem</t>
  </si>
  <si>
    <t>Sulaiman</t>
  </si>
  <si>
    <t>Alçın</t>
  </si>
  <si>
    <t>Arınç</t>
  </si>
  <si>
    <t>AlHariri</t>
  </si>
  <si>
    <t>Alaa Essam</t>
  </si>
  <si>
    <t>Aloush</t>
  </si>
  <si>
    <t>Bashar</t>
  </si>
  <si>
    <t>Altahan</t>
  </si>
  <si>
    <t>Mohammad</t>
  </si>
  <si>
    <t>Altuncu</t>
  </si>
  <si>
    <t>Ekin Deren</t>
  </si>
  <si>
    <t>Amir</t>
  </si>
  <si>
    <t>Rohama</t>
  </si>
  <si>
    <t>Aras</t>
  </si>
  <si>
    <t>Duygu</t>
  </si>
  <si>
    <t>Aren</t>
  </si>
  <si>
    <t>Barış Doruk</t>
  </si>
  <si>
    <t>Arık</t>
  </si>
  <si>
    <t>Koray</t>
  </si>
  <si>
    <t>Arslan</t>
  </si>
  <si>
    <t>Beyza</t>
  </si>
  <si>
    <t>Dara Deniz</t>
  </si>
  <si>
    <t>Pelin</t>
  </si>
  <si>
    <t>Atalık</t>
  </si>
  <si>
    <t>Berkay</t>
  </si>
  <si>
    <t>Atasoy</t>
  </si>
  <si>
    <t>Pamir</t>
  </si>
  <si>
    <t>Avunç</t>
  </si>
  <si>
    <t>Eren</t>
  </si>
  <si>
    <t>Ayar</t>
  </si>
  <si>
    <t>Metin Can</t>
  </si>
  <si>
    <t>Aydın</t>
  </si>
  <si>
    <t>Doğancan</t>
  </si>
  <si>
    <t>Hamza</t>
  </si>
  <si>
    <t>Munzur Onur</t>
  </si>
  <si>
    <t>Aydoğdu</t>
  </si>
  <si>
    <t>Tolga</t>
  </si>
  <si>
    <t>Aytekin</t>
  </si>
  <si>
    <t>Anıl Aydın</t>
  </si>
  <si>
    <t>Badr</t>
  </si>
  <si>
    <t>Abdullah</t>
  </si>
  <si>
    <t>Bakanoğlu</t>
  </si>
  <si>
    <t>Mehmet</t>
  </si>
  <si>
    <t>Balasar</t>
  </si>
  <si>
    <t>Balay</t>
  </si>
  <si>
    <t>Hakan</t>
  </si>
  <si>
    <t>Balcan</t>
  </si>
  <si>
    <t>Balcı</t>
  </si>
  <si>
    <t>Diyar</t>
  </si>
  <si>
    <t>Erdem</t>
  </si>
  <si>
    <t>Baran</t>
  </si>
  <si>
    <t>Yasin</t>
  </si>
  <si>
    <t>Barut</t>
  </si>
  <si>
    <t>Uğurcan</t>
  </si>
  <si>
    <t>Bayezid</t>
  </si>
  <si>
    <t>Elif</t>
  </si>
  <si>
    <t>Baykal</t>
  </si>
  <si>
    <t>Kemal</t>
  </si>
  <si>
    <t>Bayraktar</t>
  </si>
  <si>
    <t>Ahmet Faruk</t>
  </si>
  <si>
    <t>Bayram</t>
  </si>
  <si>
    <t>Oğuzhan</t>
  </si>
  <si>
    <t>Bennani Ziatni</t>
  </si>
  <si>
    <t>Dilara</t>
  </si>
  <si>
    <t>Biçer</t>
  </si>
  <si>
    <t>Senanur</t>
  </si>
  <si>
    <t>Bici</t>
  </si>
  <si>
    <t>Şeyda Nur</t>
  </si>
  <si>
    <t>Birkalan</t>
  </si>
  <si>
    <t>Barış Can</t>
  </si>
  <si>
    <t>Bozbaş</t>
  </si>
  <si>
    <t>Bozkaya</t>
  </si>
  <si>
    <t>Onur</t>
  </si>
  <si>
    <t>Bozkurt</t>
  </si>
  <si>
    <t>Selin</t>
  </si>
  <si>
    <t>Budak</t>
  </si>
  <si>
    <t>Buğdaycı</t>
  </si>
  <si>
    <t>Merihcan</t>
  </si>
  <si>
    <t>Büyüközkan</t>
  </si>
  <si>
    <t>Alp</t>
  </si>
  <si>
    <t>Çağlar</t>
  </si>
  <si>
    <t>Mehmet Fatih</t>
  </si>
  <si>
    <t>Çakırsoy</t>
  </si>
  <si>
    <t>Didem</t>
  </si>
  <si>
    <t>Çalışır</t>
  </si>
  <si>
    <t>Eymen</t>
  </si>
  <si>
    <t>Çalışkan</t>
  </si>
  <si>
    <t>Damla</t>
  </si>
  <si>
    <t>Çamlıbel</t>
  </si>
  <si>
    <t>Berke</t>
  </si>
  <si>
    <t>Çatana</t>
  </si>
  <si>
    <t>Banu Zeynep</t>
  </si>
  <si>
    <t>Çelebi</t>
  </si>
  <si>
    <t>Jülide Müşerref</t>
  </si>
  <si>
    <t>Çelik</t>
  </si>
  <si>
    <t>Ahmet Cansın</t>
  </si>
  <si>
    <t>Cevizci</t>
  </si>
  <si>
    <t>Semi</t>
  </si>
  <si>
    <t>Ceyhan</t>
  </si>
  <si>
    <t>Efeaydın</t>
  </si>
  <si>
    <t>Çilek</t>
  </si>
  <si>
    <t>Şebnem</t>
  </si>
  <si>
    <t>Çınar</t>
  </si>
  <si>
    <t>Ezgi</t>
  </si>
  <si>
    <t>Ferhat Görkem</t>
  </si>
  <si>
    <t>Çıtır</t>
  </si>
  <si>
    <t>Çoban</t>
  </si>
  <si>
    <t>Tutku</t>
  </si>
  <si>
    <t>Coşgun</t>
  </si>
  <si>
    <t>Metin</t>
  </si>
  <si>
    <t>Coşkun</t>
  </si>
  <si>
    <t>Abdullah Berhan</t>
  </si>
  <si>
    <t>Özgür</t>
  </si>
  <si>
    <t>Utku Özer</t>
  </si>
  <si>
    <t>Çuhadar</t>
  </si>
  <si>
    <t>Mehmet Onur</t>
  </si>
  <si>
    <t>Çukurova</t>
  </si>
  <si>
    <t>Cihan</t>
  </si>
  <si>
    <t>Çullas</t>
  </si>
  <si>
    <t>Kağıltay</t>
  </si>
  <si>
    <t>Cürgül</t>
  </si>
  <si>
    <t>Şelale Yaren</t>
  </si>
  <si>
    <t>Dağ</t>
  </si>
  <si>
    <t>Mustafa</t>
  </si>
  <si>
    <t>Dağlı</t>
  </si>
  <si>
    <t>Arda</t>
  </si>
  <si>
    <t>Cem</t>
  </si>
  <si>
    <t>Darkal</t>
  </si>
  <si>
    <t>Anas</t>
  </si>
  <si>
    <t>Dayı</t>
  </si>
  <si>
    <t>Kaan İsmail</t>
  </si>
  <si>
    <t>Değer</t>
  </si>
  <si>
    <t>Kerem Ozan</t>
  </si>
  <si>
    <t>Demer</t>
  </si>
  <si>
    <t>Beril</t>
  </si>
  <si>
    <t>Demir</t>
  </si>
  <si>
    <t>Demirbaş</t>
  </si>
  <si>
    <t>Ege</t>
  </si>
  <si>
    <t>Demirbay</t>
  </si>
  <si>
    <t>Rasim</t>
  </si>
  <si>
    <t>Demircioğlu</t>
  </si>
  <si>
    <t>Sarp Berk</t>
  </si>
  <si>
    <t>Demirkol</t>
  </si>
  <si>
    <t>Nihal</t>
  </si>
  <si>
    <t>Diken</t>
  </si>
  <si>
    <t>Fırat</t>
  </si>
  <si>
    <t>Diriker</t>
  </si>
  <si>
    <t>Çağla</t>
  </si>
  <si>
    <t>Doğan</t>
  </si>
  <si>
    <t>Ekim</t>
  </si>
  <si>
    <t>Doğmuş</t>
  </si>
  <si>
    <t>Dondurmacı</t>
  </si>
  <si>
    <t>Can</t>
  </si>
  <si>
    <t>Duymaz</t>
  </si>
  <si>
    <t>Adem</t>
  </si>
  <si>
    <t>Ebiller</t>
  </si>
  <si>
    <t>Halit Ege</t>
  </si>
  <si>
    <t>Ecesoy</t>
  </si>
  <si>
    <t>Eldem</t>
  </si>
  <si>
    <t>Emecen</t>
  </si>
  <si>
    <t>Utku</t>
  </si>
  <si>
    <t>Enderer</t>
  </si>
  <si>
    <t>Berkan</t>
  </si>
  <si>
    <t>Ercan</t>
  </si>
  <si>
    <t>Eda</t>
  </si>
  <si>
    <t>Erdoğan</t>
  </si>
  <si>
    <t>Burak</t>
  </si>
  <si>
    <t>Güney</t>
  </si>
  <si>
    <t>Ergen</t>
  </si>
  <si>
    <t>Kaya</t>
  </si>
  <si>
    <t>Erhan</t>
  </si>
  <si>
    <t>Ali Gökhan</t>
  </si>
  <si>
    <t>Eriman</t>
  </si>
  <si>
    <t>Murat Deniz</t>
  </si>
  <si>
    <t>Erkal</t>
  </si>
  <si>
    <t>Aslıhan</t>
  </si>
  <si>
    <t>Eruçan</t>
  </si>
  <si>
    <t>Ökkeş</t>
  </si>
  <si>
    <t>Dilan</t>
  </si>
  <si>
    <t>Sena</t>
  </si>
  <si>
    <t>Gargoum</t>
  </si>
  <si>
    <t>Nasiem A. Ragab</t>
  </si>
  <si>
    <t>Gedik</t>
  </si>
  <si>
    <t>Gelgeç</t>
  </si>
  <si>
    <t>Ghanem</t>
  </si>
  <si>
    <t>Ahmad</t>
  </si>
  <si>
    <t>Göçer</t>
  </si>
  <si>
    <t>Şafak</t>
  </si>
  <si>
    <t>Gökbaşı</t>
  </si>
  <si>
    <t>Gölcü</t>
  </si>
  <si>
    <t>Halis</t>
  </si>
  <si>
    <t>Göncü</t>
  </si>
  <si>
    <t>Helin</t>
  </si>
  <si>
    <t>Gözen</t>
  </si>
  <si>
    <t>Gujbawu</t>
  </si>
  <si>
    <t>Abdulrahman Baba</t>
  </si>
  <si>
    <t>Gül</t>
  </si>
  <si>
    <t>Hanifi Enes</t>
  </si>
  <si>
    <t>Yavuz Osman</t>
  </si>
  <si>
    <t>Gülcan</t>
  </si>
  <si>
    <t>Yiğit Aliosman</t>
  </si>
  <si>
    <t>Güldoğan</t>
  </si>
  <si>
    <t>Tuğman Turgut</t>
  </si>
  <si>
    <t>Gülen</t>
  </si>
  <si>
    <t>Gürel</t>
  </si>
  <si>
    <t>Alaeddin Selçuk</t>
  </si>
  <si>
    <t>Güven</t>
  </si>
  <si>
    <t>Demirhan Şerif</t>
  </si>
  <si>
    <t>Hacılar</t>
  </si>
  <si>
    <t>Nesli</t>
  </si>
  <si>
    <t>Hoşduran</t>
  </si>
  <si>
    <t>Bedirhan</t>
  </si>
  <si>
    <t>İnan</t>
  </si>
  <si>
    <t>Esra</t>
  </si>
  <si>
    <t>Irk</t>
  </si>
  <si>
    <t>Mert</t>
  </si>
  <si>
    <t>Işık</t>
  </si>
  <si>
    <t>Tuğba Nur</t>
  </si>
  <si>
    <t>Işıklar</t>
  </si>
  <si>
    <t>Bartu</t>
  </si>
  <si>
    <t>İskender</t>
  </si>
  <si>
    <t>Selim</t>
  </si>
  <si>
    <t>Jubran</t>
  </si>
  <si>
    <t>Mohamed Mansour O.</t>
  </si>
  <si>
    <t>Kakaa</t>
  </si>
  <si>
    <t>Rama</t>
  </si>
  <si>
    <t>Kalaycı</t>
  </si>
  <si>
    <t>Gizem</t>
  </si>
  <si>
    <t>Kaplan</t>
  </si>
  <si>
    <t>Serkan</t>
  </si>
  <si>
    <t>Karabudak</t>
  </si>
  <si>
    <t>Fatma Seray</t>
  </si>
  <si>
    <t>Karabulut</t>
  </si>
  <si>
    <t>Nikol</t>
  </si>
  <si>
    <t>Karadaş</t>
  </si>
  <si>
    <t>Yılmaz</t>
  </si>
  <si>
    <t>Karakaya</t>
  </si>
  <si>
    <t>Karaman</t>
  </si>
  <si>
    <t>Tarık Buğra</t>
  </si>
  <si>
    <t>Karanfiloğlu</t>
  </si>
  <si>
    <t>Karataş</t>
  </si>
  <si>
    <t>Eyüp Yarkın</t>
  </si>
  <si>
    <t>Karğın</t>
  </si>
  <si>
    <t>Kartal</t>
  </si>
  <si>
    <t>Lamia</t>
  </si>
  <si>
    <t>Keçeli</t>
  </si>
  <si>
    <t>Fikret Gizem</t>
  </si>
  <si>
    <t>Kerimoğlu</t>
  </si>
  <si>
    <t>Sinan Kevin</t>
  </si>
  <si>
    <t>Khalifah</t>
  </si>
  <si>
    <t>Kılıç</t>
  </si>
  <si>
    <t>Enes</t>
  </si>
  <si>
    <t>Kılıçaslan</t>
  </si>
  <si>
    <t>Kılıçkap</t>
  </si>
  <si>
    <t>Jiyan</t>
  </si>
  <si>
    <t>Kınalıdır</t>
  </si>
  <si>
    <t>Kıran</t>
  </si>
  <si>
    <t>Kırmacı</t>
  </si>
  <si>
    <t>Kılıç Kıray</t>
  </si>
  <si>
    <t>Kırmızıay</t>
  </si>
  <si>
    <t>Büşra</t>
  </si>
  <si>
    <t>Kişi</t>
  </si>
  <si>
    <t>Murtaza</t>
  </si>
  <si>
    <t>Kızılpınar</t>
  </si>
  <si>
    <t>Onur Çağrı</t>
  </si>
  <si>
    <t>Koçak</t>
  </si>
  <si>
    <t>Yusuf</t>
  </si>
  <si>
    <t>Köksal</t>
  </si>
  <si>
    <t>Kadir Burak</t>
  </si>
  <si>
    <t>Kontürk</t>
  </si>
  <si>
    <t>İlker</t>
  </si>
  <si>
    <t>Köroğlu</t>
  </si>
  <si>
    <t>Koyutürk</t>
  </si>
  <si>
    <t>Raşit</t>
  </si>
  <si>
    <t>Küçük</t>
  </si>
  <si>
    <t>Hüseyin Ardan</t>
  </si>
  <si>
    <t>Küçükyılmaz</t>
  </si>
  <si>
    <t>Canakan</t>
  </si>
  <si>
    <t>Kumruluoğlu</t>
  </si>
  <si>
    <t>Ahmet</t>
  </si>
  <si>
    <t>Kundak</t>
  </si>
  <si>
    <t>Esin</t>
  </si>
  <si>
    <t>Kurt</t>
  </si>
  <si>
    <t>Ferdi</t>
  </si>
  <si>
    <t>Necmettin Barış</t>
  </si>
  <si>
    <t>Kuşoğlu</t>
  </si>
  <si>
    <t>Kutluer</t>
  </si>
  <si>
    <t>Mecit</t>
  </si>
  <si>
    <t>Banu Ezgi</t>
  </si>
  <si>
    <t>Mohammed</t>
  </si>
  <si>
    <t>Siraj Mohammed Alsaedi</t>
  </si>
  <si>
    <t>Murkoyunlu</t>
  </si>
  <si>
    <t>Sezen</t>
  </si>
  <si>
    <t>Namal</t>
  </si>
  <si>
    <t>Fahri</t>
  </si>
  <si>
    <t>Nerezoğlu</t>
  </si>
  <si>
    <t>Berke Can</t>
  </si>
  <si>
    <t>Okutan</t>
  </si>
  <si>
    <t>İkbal Ömer</t>
  </si>
  <si>
    <t>Oran</t>
  </si>
  <si>
    <t>Oturaklıoğlu</t>
  </si>
  <si>
    <t>Nazif Mert</t>
  </si>
  <si>
    <t>Öz</t>
  </si>
  <si>
    <t>Ozan</t>
  </si>
  <si>
    <t>Tunç</t>
  </si>
  <si>
    <t>Özdemir</t>
  </si>
  <si>
    <t>Özer</t>
  </si>
  <si>
    <t>Necmi Can</t>
  </si>
  <si>
    <t>Özkan</t>
  </si>
  <si>
    <t>Özkırış</t>
  </si>
  <si>
    <t>Oktay</t>
  </si>
  <si>
    <t>Özler</t>
  </si>
  <si>
    <t>Özşahin</t>
  </si>
  <si>
    <t>Yağmur Burcu</t>
  </si>
  <si>
    <t>Öztürk</t>
  </si>
  <si>
    <t>Emirhan</t>
  </si>
  <si>
    <t>İlknur Senem</t>
  </si>
  <si>
    <t>Özcan</t>
  </si>
  <si>
    <t>Özübek</t>
  </si>
  <si>
    <t>Anıl</t>
  </si>
  <si>
    <t>Özyurt</t>
  </si>
  <si>
    <t>Yunus Emre</t>
  </si>
  <si>
    <t>Özzade</t>
  </si>
  <si>
    <t>Ayça Büşra</t>
  </si>
  <si>
    <t>Palalı</t>
  </si>
  <si>
    <t>Palombo</t>
  </si>
  <si>
    <t>Sami</t>
  </si>
  <si>
    <t>Pınar</t>
  </si>
  <si>
    <t>Eren Can</t>
  </si>
  <si>
    <t>Renklioğlu</t>
  </si>
  <si>
    <t>Rud</t>
  </si>
  <si>
    <t>Iliya</t>
  </si>
  <si>
    <t>Şabablı</t>
  </si>
  <si>
    <t>Ebru</t>
  </si>
  <si>
    <t>Sadrimajd</t>
  </si>
  <si>
    <t>Salva</t>
  </si>
  <si>
    <t>Şahin</t>
  </si>
  <si>
    <t>Hazal Su</t>
  </si>
  <si>
    <t>İlayda</t>
  </si>
  <si>
    <t>Saleem</t>
  </si>
  <si>
    <t>Muhammad Farhan</t>
  </si>
  <si>
    <t>Samancı</t>
  </si>
  <si>
    <t>Selahattin Alp</t>
  </si>
  <si>
    <t>Sandıkçı</t>
  </si>
  <si>
    <t>Oğulcan</t>
  </si>
  <si>
    <t>Sanisoğlu</t>
  </si>
  <si>
    <t>Ceren</t>
  </si>
  <si>
    <t>Şaşıoğlu</t>
  </si>
  <si>
    <t>Kaan</t>
  </si>
  <si>
    <t>Satış</t>
  </si>
  <si>
    <t>Sayek</t>
  </si>
  <si>
    <t>Alexander</t>
  </si>
  <si>
    <t>Selçuk</t>
  </si>
  <si>
    <t>Ahmet Mert</t>
  </si>
  <si>
    <t>Yağız</t>
  </si>
  <si>
    <t>Şenel</t>
  </si>
  <si>
    <t>Şengül</t>
  </si>
  <si>
    <t>Şensoy</t>
  </si>
  <si>
    <t>Emin Alper</t>
  </si>
  <si>
    <t>Serdaroğlu</t>
  </si>
  <si>
    <t>Hüdanur</t>
  </si>
  <si>
    <t>Serin</t>
  </si>
  <si>
    <t>Ali Emre</t>
  </si>
  <si>
    <t>Sev</t>
  </si>
  <si>
    <t>Onat Çağıl</t>
  </si>
  <si>
    <t>Sevim</t>
  </si>
  <si>
    <t>Mehmet Emin</t>
  </si>
  <si>
    <t>Sevimli</t>
  </si>
  <si>
    <t>Gülşah</t>
  </si>
  <si>
    <t>Sevinçhan</t>
  </si>
  <si>
    <t>İbrahim Yuşah</t>
  </si>
  <si>
    <t>Sezer</t>
  </si>
  <si>
    <t>Erkmen</t>
  </si>
  <si>
    <t>Şimşek</t>
  </si>
  <si>
    <t>Onurcan</t>
  </si>
  <si>
    <t>Sedat</t>
  </si>
  <si>
    <t>Şimşir</t>
  </si>
  <si>
    <t>Mısra</t>
  </si>
  <si>
    <t>Serra</t>
  </si>
  <si>
    <t>Şişli</t>
  </si>
  <si>
    <t>Bahar</t>
  </si>
  <si>
    <t>Su</t>
  </si>
  <si>
    <t>Ertuğrul</t>
  </si>
  <si>
    <t>Sunay</t>
  </si>
  <si>
    <t>Volkan</t>
  </si>
  <si>
    <t>Sürmeli</t>
  </si>
  <si>
    <t>Mehmet Cahit</t>
  </si>
  <si>
    <t>Tahmaz</t>
  </si>
  <si>
    <t>Ecem Naz</t>
  </si>
  <si>
    <t>Takıl</t>
  </si>
  <si>
    <t>Buse</t>
  </si>
  <si>
    <t>Tarakçı</t>
  </si>
  <si>
    <t>Ömer</t>
  </si>
  <si>
    <t>Taşçı</t>
  </si>
  <si>
    <t>Tamay Seda</t>
  </si>
  <si>
    <t>Taşkıran</t>
  </si>
  <si>
    <t>Tekgül</t>
  </si>
  <si>
    <t>Hüma</t>
  </si>
  <si>
    <t>Tekin</t>
  </si>
  <si>
    <t>Engincan</t>
  </si>
  <si>
    <t>Temel</t>
  </si>
  <si>
    <t>Münür Uğur</t>
  </si>
  <si>
    <t>Temizer</t>
  </si>
  <si>
    <t>Tesbihci</t>
  </si>
  <si>
    <t>Tevrüz</t>
  </si>
  <si>
    <t>Toker</t>
  </si>
  <si>
    <t>Furkan Salih</t>
  </si>
  <si>
    <t>Toledo</t>
  </si>
  <si>
    <t>Rıfat</t>
  </si>
  <si>
    <t>Topal</t>
  </si>
  <si>
    <t>Topaloğlu</t>
  </si>
  <si>
    <t>Toz</t>
  </si>
  <si>
    <t>Bersu İrem</t>
  </si>
  <si>
    <t>Turan</t>
  </si>
  <si>
    <t>Yekcan</t>
  </si>
  <si>
    <t>Türkay</t>
  </si>
  <si>
    <t>Şehadet</t>
  </si>
  <si>
    <t>Türkeli</t>
  </si>
  <si>
    <t>Anıl Emek</t>
  </si>
  <si>
    <t>Türker</t>
  </si>
  <si>
    <t>Sabedin Berat</t>
  </si>
  <si>
    <t>Uçar</t>
  </si>
  <si>
    <t>Uçarer</t>
  </si>
  <si>
    <t>Uğurlu</t>
  </si>
  <si>
    <t>Özden Kübra</t>
  </si>
  <si>
    <t>Ulu</t>
  </si>
  <si>
    <t>Uluhansın</t>
  </si>
  <si>
    <t>Orkun</t>
  </si>
  <si>
    <t>Ulusoy</t>
  </si>
  <si>
    <t>Eylül</t>
  </si>
  <si>
    <t>Ünal</t>
  </si>
  <si>
    <t>Canberk</t>
  </si>
  <si>
    <t>Ufuk</t>
  </si>
  <si>
    <t>Ünver</t>
  </si>
  <si>
    <t>Batuhan</t>
  </si>
  <si>
    <t>Uras</t>
  </si>
  <si>
    <t>Ege Salih</t>
  </si>
  <si>
    <t>Urgancı</t>
  </si>
  <si>
    <t>Hakkı</t>
  </si>
  <si>
    <t>Usta</t>
  </si>
  <si>
    <t>Üstün</t>
  </si>
  <si>
    <t>Uysalcan</t>
  </si>
  <si>
    <t>Şevval</t>
  </si>
  <si>
    <t>Uziyel</t>
  </si>
  <si>
    <t>Naz Suzan</t>
  </si>
  <si>
    <t>Üzüm</t>
  </si>
  <si>
    <t>Muhammet Hakan</t>
  </si>
  <si>
    <t>Uzun</t>
  </si>
  <si>
    <t>Yiğit</t>
  </si>
  <si>
    <t>Uzunkaya</t>
  </si>
  <si>
    <t>Hıdır</t>
  </si>
  <si>
    <t>Vural</t>
  </si>
  <si>
    <t>Murat</t>
  </si>
  <si>
    <t>Yalaz</t>
  </si>
  <si>
    <t>Barış</t>
  </si>
  <si>
    <t>Yalçınkaya</t>
  </si>
  <si>
    <t>Beste</t>
  </si>
  <si>
    <t>Yaman</t>
  </si>
  <si>
    <t>Yusuf Doruk</t>
  </si>
  <si>
    <t>Yasan</t>
  </si>
  <si>
    <t>Melih Can</t>
  </si>
  <si>
    <t>Yaşar</t>
  </si>
  <si>
    <t>Nurullah</t>
  </si>
  <si>
    <t>Yavuz</t>
  </si>
  <si>
    <t>Yeşerdir</t>
  </si>
  <si>
    <t>Kaan Mert</t>
  </si>
  <si>
    <t>Yeşilbaş</t>
  </si>
  <si>
    <t>Ali Can</t>
  </si>
  <si>
    <t>Yıldırım</t>
  </si>
  <si>
    <t>Özlem Nur</t>
  </si>
  <si>
    <t>Yıldız</t>
  </si>
  <si>
    <t>Mustafa Gökhan</t>
  </si>
  <si>
    <t>Yavuz Sinan</t>
  </si>
  <si>
    <t>Youssef</t>
  </si>
  <si>
    <t>Majed</t>
  </si>
  <si>
    <t>Yüce</t>
  </si>
  <si>
    <t>Süvelde Tuğçe</t>
  </si>
  <si>
    <t>Yücebağ</t>
  </si>
  <si>
    <t>Deniz</t>
  </si>
  <si>
    <t>Yücel</t>
  </si>
  <si>
    <t>Necla</t>
  </si>
  <si>
    <t>Yukarıkozan</t>
  </si>
  <si>
    <t>Yüksektepe</t>
  </si>
  <si>
    <t>Veysel</t>
  </si>
  <si>
    <t>Yuvacı</t>
  </si>
  <si>
    <t>Talha</t>
  </si>
  <si>
    <t>Zengi</t>
  </si>
  <si>
    <t>Zeper</t>
  </si>
  <si>
    <t>Seyfi Tunç</t>
  </si>
  <si>
    <t>Ziylan</t>
  </si>
  <si>
    <t>Mourad</t>
  </si>
  <si>
    <t>Mahmoud Ayman Abdelhalim Moursy</t>
  </si>
  <si>
    <t>Suved</t>
  </si>
  <si>
    <t>Muhammet Rüştü</t>
  </si>
  <si>
    <t>SOLUTION KEY</t>
  </si>
  <si>
    <t>Gap</t>
  </si>
  <si>
    <t>Points</t>
  </si>
  <si>
    <t>Correct?</t>
  </si>
  <si>
    <t>Answer</t>
  </si>
  <si>
    <t>Q1-a</t>
  </si>
  <si>
    <t>Q1-b</t>
  </si>
  <si>
    <t>Q3</t>
  </si>
  <si>
    <t>Q1-c</t>
  </si>
  <si>
    <t>Q1-d</t>
  </si>
  <si>
    <t>Q2-a</t>
  </si>
  <si>
    <t>Q2-b</t>
  </si>
  <si>
    <t>Q2-c</t>
  </si>
  <si>
    <t>Q2-d</t>
  </si>
  <si>
    <t>mntnce</t>
  </si>
  <si>
    <t>initial1</t>
  </si>
  <si>
    <t>initial2</t>
  </si>
  <si>
    <t>1kg W</t>
  </si>
  <si>
    <t>1kg C</t>
  </si>
  <si>
    <t>mtrl</t>
  </si>
  <si>
    <t>% W</t>
  </si>
  <si>
    <t>sell1</t>
  </si>
  <si>
    <t>life</t>
  </si>
  <si>
    <t>sell2</t>
  </si>
  <si>
    <t>marr 1</t>
  </si>
  <si>
    <t>2nd</t>
  </si>
  <si>
    <t>4th</t>
  </si>
  <si>
    <t>3rd</t>
  </si>
  <si>
    <t>IRR</t>
  </si>
  <si>
    <t>init</t>
  </si>
  <si>
    <t>life-rand</t>
  </si>
  <si>
    <t>profit</t>
  </si>
  <si>
    <t>scrap</t>
  </si>
  <si>
    <t>five</t>
  </si>
  <si>
    <t>six</t>
  </si>
  <si>
    <t>three</t>
  </si>
  <si>
    <t>four</t>
  </si>
  <si>
    <t xml:space="preserve">CR(i%) = I(A/P, i%, N) - S(A/F, i%, N)
</t>
  </si>
  <si>
    <t>i=</t>
  </si>
  <si>
    <t>N=</t>
  </si>
  <si>
    <t>Q3-a</t>
  </si>
  <si>
    <t>Q3-b</t>
  </si>
  <si>
    <t>Q3-c</t>
  </si>
  <si>
    <t>Q3-d</t>
  </si>
  <si>
    <t>Q3-e</t>
  </si>
  <si>
    <t>Period</t>
  </si>
  <si>
    <t>Cash Flow</t>
  </si>
  <si>
    <t>.</t>
  </si>
  <si>
    <t>,</t>
  </si>
  <si>
    <t>Sow</t>
  </si>
  <si>
    <t>Modıbo</t>
  </si>
  <si>
    <r>
      <t xml:space="preserve">
IE 260 - Fall 2017
Assignment 2
Due date: 15/11/2017, 17:00
</t>
    </r>
    <r>
      <rPr>
        <sz val="8"/>
        <color theme="1"/>
        <rFont val="Times New Roman"/>
        <family val="1"/>
        <charset val="162"/>
      </rPr>
      <t xml:space="preserve"> </t>
    </r>
  </si>
  <si>
    <t>Gül, Hanifi Enes-115200085</t>
  </si>
  <si>
    <t>YES</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</si>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</sst>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 #,##0.00_-;_-* &quot;-&quot;??_-;_-@_-"/>
    <numFmt numFmtId="165" formatCode="0.0%"/>
    <numFmt numFmtId="166" formatCode="0.0000"/>
  </numFmts>
  <fonts count="15" x14ac:knownFonts="1">
    <font>
      <sz val="11"/>
      <color theme="1"/>
      <name val="Calibri"/>
      <family val="2"/>
      <scheme val="minor"/>
    </font>
    <font>
      <sz val="12"/>
      <color theme="1"/>
      <name val="Times New Roman"/>
      <family val="1"/>
    </font>
    <font>
      <sz val="16"/>
      <color theme="1"/>
      <name val="Times New Roman"/>
      <family val="1"/>
    </font>
    <font>
      <sz val="11"/>
      <color theme="1"/>
      <name val="Calibri"/>
      <family val="2"/>
      <scheme val="minor"/>
    </font>
    <font>
      <sz val="12"/>
      <color rgb="FF000000"/>
      <name val="Times New Roman"/>
      <family val="1"/>
      <charset val="162"/>
    </font>
    <font>
      <sz val="12"/>
      <color theme="1"/>
      <name val="Calibri"/>
      <family val="2"/>
      <charset val="162"/>
    </font>
    <font>
      <sz val="12"/>
      <color theme="1"/>
      <name val="Times New Roman"/>
      <family val="1"/>
      <charset val="162"/>
    </font>
    <font>
      <sz val="12"/>
      <color rgb="FF131313"/>
      <name val="Times New Roman"/>
      <family val="1"/>
      <charset val="162"/>
    </font>
    <font>
      <u/>
      <sz val="12"/>
      <color theme="1"/>
      <name val="Times New Roman"/>
      <family val="1"/>
    </font>
    <font>
      <sz val="8"/>
      <color theme="1"/>
      <name val="Times New Roman"/>
      <family val="1"/>
      <charset val="162"/>
    </font>
    <font>
      <sz val="11"/>
      <color rgb="FFFF0000"/>
      <name val="Calibri"/>
      <family val="2"/>
      <scheme val="minor"/>
    </font>
    <font>
      <sz val="10"/>
      <color rgb="FFFF0000"/>
      <name val="Times New Roman"/>
      <family val="1"/>
    </font>
    <font>
      <sz val="12"/>
      <color theme="0"/>
      <name val="Times New Roman"/>
      <family val="1"/>
    </font>
    <font>
      <b/>
      <sz val="8"/>
      <color theme="0"/>
      <name val="Times New Roman"/>
      <family val="1"/>
    </font>
    <font>
      <sz val="26"/>
      <color theme="0"/>
      <name val="Times New Roman"/>
      <family val="1"/>
    </font>
  </fonts>
  <fills count="3">
    <fill>
      <patternFill patternType="none"/>
    </fill>
    <fill>
      <patternFill patternType="gray125"/>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s>
  <cellStyleXfs count="3">
    <xf numFmtId="0" fontId="0" fillId="0" borderId="0"/>
    <xf numFmtId="164" fontId="3" fillId="0" borderId="0" applyFont="0" applyFill="0" applyBorder="0" applyAlignment="0" applyProtection="0"/>
    <xf numFmtId="9" fontId="3" fillId="0" borderId="0" applyFont="0" applyFill="0" applyBorder="0" applyAlignment="0" applyProtection="0"/>
  </cellStyleXfs>
  <cellXfs count="64">
    <xf numFmtId="0" fontId="0" fillId="0" borderId="0" xfId="0"/>
    <xf numFmtId="0" fontId="1" fillId="0" borderId="0" xfId="0" applyFont="1"/>
    <xf numFmtId="0" fontId="1" fillId="0" borderId="0" xfId="0" applyFont="1" applyFill="1" applyBorder="1"/>
    <xf numFmtId="0" fontId="2" fillId="0" borderId="5" xfId="0" applyFont="1" applyBorder="1" applyAlignment="1">
      <alignment horizontal="center" vertical="center" wrapText="1"/>
    </xf>
    <xf numFmtId="0" fontId="1" fillId="0" borderId="4" xfId="0" applyFont="1" applyBorder="1"/>
    <xf numFmtId="0" fontId="1" fillId="0" borderId="5" xfId="0" applyFont="1" applyBorder="1" applyAlignment="1">
      <alignment horizontal="left" vertical="top" wrapText="1"/>
    </xf>
    <xf numFmtId="0" fontId="1" fillId="0" borderId="0" xfId="0" applyFont="1" applyBorder="1"/>
    <xf numFmtId="0" fontId="8" fillId="0" borderId="0" xfId="0" applyFont="1" applyBorder="1"/>
    <xf numFmtId="0" fontId="1" fillId="0" borderId="5" xfId="0" applyFont="1" applyBorder="1"/>
    <xf numFmtId="0" fontId="5" fillId="0" borderId="0" xfId="0" applyFont="1" applyBorder="1"/>
    <xf numFmtId="0" fontId="1" fillId="0" borderId="5" xfId="0" applyFont="1" applyBorder="1" applyAlignment="1">
      <alignment horizontal="left" vertical="top"/>
    </xf>
    <xf numFmtId="0" fontId="6" fillId="0" borderId="4" xfId="0" applyFont="1" applyBorder="1"/>
    <xf numFmtId="0" fontId="1" fillId="0" borderId="6" xfId="0" applyFont="1" applyBorder="1"/>
    <xf numFmtId="0" fontId="1" fillId="0" borderId="7" xfId="0" applyFont="1" applyBorder="1"/>
    <xf numFmtId="0" fontId="1" fillId="0" borderId="8" xfId="0" applyFont="1" applyBorder="1"/>
    <xf numFmtId="0" fontId="10" fillId="0" borderId="0" xfId="0" applyFont="1"/>
    <xf numFmtId="0" fontId="0" fillId="0" borderId="0" xfId="0" applyFont="1"/>
    <xf numFmtId="0" fontId="1" fillId="0" borderId="0" xfId="0" applyFont="1" applyBorder="1" applyAlignment="1">
      <alignment horizontal="left" vertical="top" wrapText="1"/>
    </xf>
    <xf numFmtId="0" fontId="6" fillId="0" borderId="0" xfId="0" applyFont="1" applyFill="1" applyBorder="1" applyAlignment="1"/>
    <xf numFmtId="0" fontId="7" fillId="0" borderId="0" xfId="0" applyFont="1" applyFill="1" applyBorder="1" applyAlignment="1">
      <alignment vertical="center" wrapText="1"/>
    </xf>
    <xf numFmtId="0" fontId="1" fillId="0" borderId="0" xfId="0" applyFont="1" applyBorder="1" applyAlignment="1">
      <alignment vertical="top" wrapText="1"/>
    </xf>
    <xf numFmtId="0" fontId="6" fillId="0" borderId="0" xfId="0" applyFont="1" applyFill="1" applyBorder="1" applyAlignment="1">
      <alignment horizontal="left"/>
    </xf>
    <xf numFmtId="0" fontId="12" fillId="0" borderId="0" xfId="0" applyFont="1"/>
    <xf numFmtId="0" fontId="12" fillId="0" borderId="0" xfId="0" applyFont="1" applyProtection="1">
      <protection hidden="1"/>
    </xf>
    <xf numFmtId="0" fontId="14" fillId="0" borderId="0" xfId="0" applyFont="1" applyAlignment="1" applyProtection="1">
      <alignment horizontal="center" vertical="center"/>
      <protection hidden="1"/>
    </xf>
    <xf numFmtId="0" fontId="12" fillId="0" borderId="0" xfId="0" applyFont="1" applyAlignment="1" applyProtection="1">
      <alignment horizontal="center" vertical="center"/>
      <protection hidden="1"/>
    </xf>
    <xf numFmtId="165" fontId="12" fillId="0" borderId="0" xfId="2" applyNumberFormat="1" applyFont="1" applyAlignment="1">
      <alignment horizontal="center" vertical="center"/>
    </xf>
    <xf numFmtId="0" fontId="12" fillId="0" borderId="0" xfId="0" applyFont="1" applyAlignment="1" applyProtection="1">
      <alignment horizontal="right"/>
      <protection hidden="1"/>
    </xf>
    <xf numFmtId="9" fontId="12" fillId="0" borderId="0" xfId="2" applyFont="1" applyAlignment="1" applyProtection="1">
      <alignment horizontal="right"/>
      <protection hidden="1"/>
    </xf>
    <xf numFmtId="165" fontId="12" fillId="0" borderId="0" xfId="2" applyNumberFormat="1" applyFont="1" applyAlignment="1" applyProtection="1">
      <alignment horizontal="center" vertical="center"/>
      <protection hidden="1"/>
    </xf>
    <xf numFmtId="2" fontId="12" fillId="0" borderId="0" xfId="0" applyNumberFormat="1" applyFont="1" applyProtection="1">
      <protection hidden="1"/>
    </xf>
    <xf numFmtId="166" fontId="12" fillId="0" borderId="0" xfId="0" applyNumberFormat="1" applyFont="1"/>
    <xf numFmtId="1" fontId="12" fillId="0" borderId="0" xfId="0" applyNumberFormat="1" applyFont="1" applyProtection="1">
      <protection hidden="1"/>
    </xf>
    <xf numFmtId="2" fontId="12" fillId="0" borderId="0" xfId="1" applyNumberFormat="1" applyFont="1" applyProtection="1">
      <protection hidden="1"/>
    </xf>
    <xf numFmtId="9" fontId="12" fillId="0" borderId="0" xfId="2" applyFont="1" applyAlignment="1">
      <alignment horizontal="left"/>
    </xf>
    <xf numFmtId="0" fontId="12" fillId="0" borderId="0" xfId="0" applyFont="1" applyAlignment="1" applyProtection="1">
      <protection hidden="1"/>
    </xf>
    <xf numFmtId="0" fontId="12" fillId="0" borderId="0" xfId="0" applyFont="1" applyAlignment="1">
      <alignment horizontal="left"/>
    </xf>
    <xf numFmtId="2" fontId="12" fillId="0" borderId="0" xfId="0" applyNumberFormat="1" applyFont="1"/>
    <xf numFmtId="2" fontId="12" fillId="0" borderId="0" xfId="0" applyNumberFormat="1" applyFont="1" applyFill="1" applyBorder="1" applyAlignment="1" applyProtection="1">
      <alignment horizontal="right"/>
      <protection hidden="1"/>
    </xf>
    <xf numFmtId="165" fontId="12" fillId="0" borderId="0" xfId="2" applyNumberFormat="1" applyFont="1" applyAlignment="1">
      <alignment horizontal="right"/>
    </xf>
    <xf numFmtId="0" fontId="12" fillId="0" borderId="9" xfId="0" applyFont="1" applyBorder="1" applyProtection="1">
      <protection hidden="1"/>
    </xf>
    <xf numFmtId="9" fontId="12" fillId="0" borderId="0" xfId="0" applyNumberFormat="1" applyFont="1"/>
    <xf numFmtId="0" fontId="7" fillId="0" borderId="0" xfId="0" applyFont="1" applyFill="1" applyBorder="1" applyAlignment="1" applyProtection="1">
      <alignment vertical="center" wrapText="1"/>
    </xf>
    <xf numFmtId="3" fontId="1" fillId="0" borderId="0" xfId="0" applyNumberFormat="1" applyFont="1" applyFill="1" applyBorder="1" applyAlignment="1" applyProtection="1"/>
    <xf numFmtId="0" fontId="1" fillId="0" borderId="0" xfId="0" applyFont="1" applyFill="1" applyBorder="1" applyProtection="1"/>
    <xf numFmtId="0" fontId="1" fillId="0" borderId="0" xfId="0" applyFont="1" applyBorder="1" applyAlignment="1">
      <alignment horizontal="left" vertical="top" wrapText="1"/>
    </xf>
    <xf numFmtId="2" fontId="1" fillId="2" borderId="1" xfId="0" applyNumberFormat="1" applyFont="1" applyFill="1" applyBorder="1" applyAlignment="1" applyProtection="1">
      <alignment horizontal="right"/>
      <protection locked="0"/>
    </xf>
    <xf numFmtId="0" fontId="1" fillId="2" borderId="2" xfId="0" applyFont="1" applyFill="1" applyBorder="1" applyAlignment="1" applyProtection="1">
      <alignment horizontal="left"/>
      <protection locked="0"/>
    </xf>
    <xf numFmtId="0" fontId="1" fillId="2" borderId="3" xfId="0" applyFont="1" applyFill="1" applyBorder="1" applyAlignment="1" applyProtection="1">
      <alignment horizontal="left"/>
      <protection locked="0"/>
    </xf>
    <xf numFmtId="0" fontId="11" fillId="0" borderId="4" xfId="0" applyFont="1" applyBorder="1" applyAlignment="1">
      <alignment horizontal="center"/>
    </xf>
    <xf numFmtId="0" fontId="11" fillId="0" borderId="0" xfId="0" applyFont="1" applyBorder="1" applyAlignment="1">
      <alignment horizontal="center"/>
    </xf>
    <xf numFmtId="0" fontId="11" fillId="0" borderId="5" xfId="0" applyFont="1" applyBorder="1" applyAlignment="1">
      <alignment horizontal="center"/>
    </xf>
    <xf numFmtId="0" fontId="2" fillId="0" borderId="4" xfId="0" applyFont="1" applyBorder="1" applyAlignment="1">
      <alignment horizontal="center" wrapText="1"/>
    </xf>
    <xf numFmtId="0" fontId="2" fillId="0" borderId="0" xfId="0" applyFont="1" applyBorder="1" applyAlignment="1">
      <alignment horizontal="center" wrapText="1"/>
    </xf>
    <xf numFmtId="0" fontId="1" fillId="0" borderId="10" xfId="0" applyFont="1" applyBorder="1" applyAlignment="1">
      <alignment horizontal="left"/>
    </xf>
    <xf numFmtId="0" fontId="1" fillId="0" borderId="11" xfId="0" applyFont="1" applyBorder="1" applyAlignment="1">
      <alignment horizontal="left"/>
    </xf>
    <xf numFmtId="0" fontId="13" fillId="0" borderId="0" xfId="0" applyFont="1" applyAlignment="1" applyProtection="1">
      <alignment horizontal="center" vertical="center"/>
      <protection hidden="1"/>
    </xf>
    <xf numFmtId="0" fontId="7" fillId="0" borderId="0" xfId="0" applyFont="1" applyFill="1" applyBorder="1" applyAlignment="1">
      <alignment horizontal="left" vertical="center"/>
    </xf>
    <xf numFmtId="0" fontId="6" fillId="0" borderId="0" xfId="0" applyFont="1" applyFill="1" applyBorder="1" applyAlignment="1">
      <alignment horizontal="left"/>
    </xf>
    <xf numFmtId="164" fontId="1" fillId="2" borderId="1" xfId="1" applyFont="1" applyFill="1" applyBorder="1" applyAlignment="1" applyProtection="1">
      <alignment horizontal="center"/>
      <protection locked="0"/>
    </xf>
    <xf numFmtId="0" fontId="4" fillId="0" borderId="0" xfId="0" applyFont="1" applyBorder="1" applyAlignment="1">
      <alignment horizontal="left"/>
    </xf>
    <xf numFmtId="2" fontId="4" fillId="0" borderId="0" xfId="0" applyNumberFormat="1" applyFont="1" applyBorder="1" applyAlignment="1">
      <alignment horizontal="right"/>
    </xf>
    <xf numFmtId="0" fontId="6" fillId="0" borderId="0" xfId="0" applyFont="1" applyFill="1" applyBorder="1" applyAlignment="1">
      <alignment horizontal="left" vertical="center" wrapText="1"/>
    </xf>
    <xf numFmtId="0" fontId="0" fillId="0" borderId="0" xfId="0" applyAlignment="1">
      <alignment horizontal="left"/>
    </xf>
  </cellXfs>
  <cellStyles count="3">
    <cellStyle name="Normal" xfId="0" builtinId="0"/>
    <cellStyle name="Virgül" xfId="1" builtinId="3"/>
    <cellStyle name="Yüzde" xfId="2" builtinId="5"/>
  </cellStyles>
  <dxfs count="24">
    <dxf>
      <fill>
        <patternFill patternType="none">
          <bgColor auto="1"/>
        </patternFill>
      </fill>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
      <border>
        <left/>
        <right/>
        <top/>
        <bottom/>
        <vertical/>
        <horizontal/>
      </border>
    </dxf>
    <dxf>
      <fill>
        <patternFill patternType="none">
          <bgColor auto="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182216</xdr:colOff>
      <xdr:row>2</xdr:row>
      <xdr:rowOff>49699</xdr:rowOff>
    </xdr:from>
    <xdr:to>
      <xdr:col>21</xdr:col>
      <xdr:colOff>81643</xdr:colOff>
      <xdr:row>2</xdr:row>
      <xdr:rowOff>635582</xdr:rowOff>
    </xdr:to>
    <xdr:pic>
      <xdr:nvPicPr>
        <xdr:cNvPr id="2" name="Picture 1">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2173" y="447264"/>
          <a:ext cx="2086035" cy="5858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L44"/>
  <sheetViews>
    <sheetView showGridLines="0" showRowColHeaders="0" tabSelected="1" topLeftCell="A13" zoomScale="130" zoomScaleNormal="130" workbookViewId="0">
      <selection activeCell="V42" sqref="V42:Z42"/>
    </sheetView>
  </sheetViews>
  <sheetFormatPr defaultColWidth="0" defaultRowHeight="15.75" zeroHeight="1" x14ac:dyDescent="0.25"/>
  <cols>
    <col min="1" max="32" width="2.7109375" style="1" customWidth="1"/>
    <col min="33" max="33" width="0.140625" style="1" customWidth="1"/>
    <col min="34" max="16384" width="2.7109375" style="22" hidden="1"/>
  </cols>
  <sheetData>
    <row r="1" spans="1:116" x14ac:dyDescent="0.25">
      <c r="A1" s="54" t="s">
        <v>7</v>
      </c>
      <c r="B1" s="55"/>
      <c r="C1" s="55"/>
      <c r="D1" s="55"/>
      <c r="E1" s="55"/>
      <c r="F1" s="55"/>
      <c r="G1" s="47" t="s">
        <v>595</v>
      </c>
      <c r="H1" s="47"/>
      <c r="I1" s="47"/>
      <c r="J1" s="47"/>
      <c r="K1" s="47"/>
      <c r="L1" s="47"/>
      <c r="M1" s="47"/>
      <c r="N1" s="47"/>
      <c r="O1" s="47"/>
      <c r="P1" s="47"/>
      <c r="Q1" s="47"/>
      <c r="R1" s="47"/>
      <c r="S1" s="47"/>
      <c r="T1" s="47"/>
      <c r="U1" s="47"/>
      <c r="V1" s="47"/>
      <c r="W1" s="47"/>
      <c r="X1" s="47"/>
      <c r="Y1" s="47"/>
      <c r="Z1" s="47"/>
      <c r="AA1" s="47"/>
      <c r="AB1" s="47"/>
      <c r="AC1" s="47"/>
      <c r="AD1" s="47"/>
      <c r="AE1" s="47"/>
      <c r="AF1" s="48"/>
      <c r="CA1" s="22" t="s">
        <v>591</v>
      </c>
      <c r="DA1" s="56" t="s">
        <v>543</v>
      </c>
      <c r="DB1" s="56"/>
      <c r="DC1" s="56"/>
      <c r="DD1" s="23"/>
    </row>
    <row r="2" spans="1:116" x14ac:dyDescent="0.25">
      <c r="A2" s="49" t="str">
        <f>IF(G1="","Please ENABLE MACROS and SELECT (DO NOT WRITE) your name and ID above to see the questions","")</f>
        <v/>
      </c>
      <c r="B2" s="50"/>
      <c r="C2" s="50"/>
      <c r="D2" s="50"/>
      <c r="E2" s="50"/>
      <c r="F2" s="50"/>
      <c r="G2" s="50"/>
      <c r="H2" s="50"/>
      <c r="I2" s="50"/>
      <c r="J2" s="50"/>
      <c r="K2" s="50"/>
      <c r="L2" s="50"/>
      <c r="M2" s="50"/>
      <c r="N2" s="50"/>
      <c r="O2" s="50"/>
      <c r="P2" s="50"/>
      <c r="Q2" s="50"/>
      <c r="R2" s="50"/>
      <c r="S2" s="50"/>
      <c r="T2" s="50"/>
      <c r="U2" s="50"/>
      <c r="V2" s="50"/>
      <c r="W2" s="50"/>
      <c r="X2" s="50"/>
      <c r="Y2" s="50"/>
      <c r="Z2" s="50"/>
      <c r="AA2" s="50"/>
      <c r="AB2" s="50"/>
      <c r="AC2" s="50"/>
      <c r="AD2" s="50"/>
      <c r="AE2" s="50"/>
      <c r="AF2" s="51"/>
      <c r="CA2" s="22" t="s">
        <v>590</v>
      </c>
      <c r="DA2" s="56"/>
      <c r="DB2" s="56"/>
      <c r="DC2" s="56"/>
      <c r="DD2" s="23"/>
    </row>
    <row r="3" spans="1:116" ht="135" customHeight="1" x14ac:dyDescent="0.3">
      <c r="A3" s="52" t="s">
        <v>594</v>
      </c>
      <c r="B3" s="53"/>
      <c r="C3" s="53"/>
      <c r="D3" s="53"/>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3"/>
      <c r="CA3" s="22" t="b">
        <v>1</v>
      </c>
      <c r="DA3" s="24">
        <f>SUMPRODUCT(DB5:DB17,DC5:DC17)</f>
        <v>70</v>
      </c>
      <c r="DB3" s="25" t="s">
        <v>544</v>
      </c>
      <c r="DC3" s="26">
        <v>0.01</v>
      </c>
      <c r="DD3" s="23"/>
    </row>
    <row r="4" spans="1:116" x14ac:dyDescent="0.25">
      <c r="A4" s="4" t="str">
        <f>IF($A$2="","1)","")</f>
        <v>1)</v>
      </c>
      <c r="B4" s="45" t="str">
        <f>IF($A$2="","As the newly appointed Finance manager, your first assignment is to negotiate with your bank on a new loan. You need one year funding for your project. Your banker has offered you the 1 year loan with the following compounding options.","")</f>
        <v>As the newly appointed Finance manager, your first assignment is to negotiate with your bank on a new loan. You need one year funding for your project. Your banker has offered you the 1 year loan with the following compounding options.</v>
      </c>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5"/>
      <c r="DA4" s="27"/>
      <c r="DB4" s="28" t="s">
        <v>545</v>
      </c>
      <c r="DC4" s="27" t="s">
        <v>546</v>
      </c>
      <c r="DD4" s="23" t="s">
        <v>547</v>
      </c>
    </row>
    <row r="5" spans="1:116" x14ac:dyDescent="0.25">
      <c r="A5" s="4"/>
      <c r="B5" s="45"/>
      <c r="C5" s="45"/>
      <c r="D5" s="45"/>
      <c r="E5" s="45"/>
      <c r="F5" s="45"/>
      <c r="G5" s="45"/>
      <c r="H5" s="45"/>
      <c r="I5" s="45"/>
      <c r="J5" s="45"/>
      <c r="K5" s="45"/>
      <c r="L5" s="45"/>
      <c r="M5" s="45"/>
      <c r="N5" s="45"/>
      <c r="O5" s="45"/>
      <c r="P5" s="45"/>
      <c r="Q5" s="45"/>
      <c r="R5" s="45"/>
      <c r="S5" s="45"/>
      <c r="T5" s="45"/>
      <c r="U5" s="45"/>
      <c r="V5" s="45"/>
      <c r="W5" s="45"/>
      <c r="X5" s="45"/>
      <c r="Y5" s="45"/>
      <c r="Z5" s="45"/>
      <c r="AA5" s="45"/>
      <c r="AB5" s="45"/>
      <c r="AC5" s="45"/>
      <c r="AD5" s="45"/>
      <c r="AE5" s="45"/>
      <c r="AF5" s="5"/>
      <c r="CZ5" s="29">
        <v>5.0000000000000001E-3</v>
      </c>
      <c r="DA5" s="23" t="s">
        <v>548</v>
      </c>
      <c r="DB5" s="23">
        <v>4</v>
      </c>
      <c r="DC5" s="23">
        <f>IF(ABS(ABS(K12)-ABS(DD5))/ABS(DD5)&lt;$CZ$5,1,0)</f>
        <v>1</v>
      </c>
      <c r="DD5" s="30">
        <f>B12</f>
        <v>14</v>
      </c>
    </row>
    <row r="6" spans="1:116" x14ac:dyDescent="0.25">
      <c r="A6" s="4"/>
      <c r="B6" s="45"/>
      <c r="C6" s="45"/>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5"/>
      <c r="DA6" s="23" t="s">
        <v>549</v>
      </c>
      <c r="DB6" s="23">
        <v>4</v>
      </c>
      <c r="DC6" s="23">
        <f>IF(ABS(ABS(K13)-ABS(DD6))/ABS(DD6)&lt;$CZ$5,1,0)</f>
        <v>1</v>
      </c>
      <c r="DD6" s="30">
        <f>((1+B13/200)^2-1)*100</f>
        <v>13.955624999999984</v>
      </c>
    </row>
    <row r="7" spans="1:116" x14ac:dyDescent="0.25">
      <c r="A7" s="4"/>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5"/>
      <c r="DA7" s="23" t="s">
        <v>551</v>
      </c>
      <c r="DB7" s="23">
        <v>4</v>
      </c>
      <c r="DC7" s="23">
        <f>IF(ABS(ABS(K14)-ABS(DD7))/ABS(DD7)&lt;$CZ$5,1,0)</f>
        <v>1</v>
      </c>
      <c r="DD7" s="30">
        <f>((1+B14/400)^4-1)*100</f>
        <v>13.978163708094149</v>
      </c>
    </row>
    <row r="8" spans="1:116" x14ac:dyDescent="0.25">
      <c r="A8" s="4"/>
      <c r="B8" s="45" t="str">
        <f>IF($A$2="","For each option; compute the yearly effective interest rate and write your answer to the corresponding box on the right. (4 pts each)","")</f>
        <v>For each option; compute the yearly effective interest rate and write your answer to the corresponding box on the right. (4 pts each)</v>
      </c>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5"/>
      <c r="DA8" s="23" t="s">
        <v>552</v>
      </c>
      <c r="DB8" s="23">
        <v>4</v>
      </c>
      <c r="DC8" s="23">
        <f>IF(ABS(ABS(K15)-ABS(DD8))/ABS(DD8)&lt;$CZ$5,1,0)</f>
        <v>1</v>
      </c>
      <c r="DD8" s="30">
        <f>((1+B15/1200)^12-1)*100</f>
        <v>13.915882815789015</v>
      </c>
      <c r="DF8" s="31"/>
    </row>
    <row r="9" spans="1:116" x14ac:dyDescent="0.25">
      <c r="A9" s="4"/>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5"/>
      <c r="CZ9" s="29">
        <v>0.01</v>
      </c>
      <c r="DA9" s="23" t="s">
        <v>553</v>
      </c>
      <c r="DB9" s="32">
        <v>10</v>
      </c>
      <c r="DC9" s="23">
        <f>IF(ABS(ABS(U26)-ABS(DD9))/ABS(DD9)&lt;$CZ$9,1,0)</f>
        <v>1</v>
      </c>
      <c r="DD9" s="33">
        <f>(VLOOKUP($G$1,Data!$D:$I,6,FALSE)*1000+VLOOKUP($G$1,Data!$D:$J,7,FALSE))*DF9*(1+DF9)^DF10/((1+DF9)^DF10-1)-(VLOOKUP($G$1,Data!$D:$S,15,FALSE)*1000+VLOOKUP($G$1,Data!$D:$S,16,FALSE))*DF9/((1+DF9)^DF10-1)</f>
        <v>466.30496534484706</v>
      </c>
      <c r="DE9" s="22" t="s">
        <v>581</v>
      </c>
      <c r="DF9" s="34">
        <f>VLOOKUP($G$1,Data!$D:$U,18,FALSE)/100</f>
        <v>0.08</v>
      </c>
      <c r="DI9" s="35" t="s">
        <v>580</v>
      </c>
    </row>
    <row r="10" spans="1:116" x14ac:dyDescent="0.25">
      <c r="A10" s="4"/>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5"/>
      <c r="DA10" s="23" t="s">
        <v>554</v>
      </c>
      <c r="DB10" s="23">
        <v>5</v>
      </c>
      <c r="DC10" s="23">
        <f>IF(ABS(ABS(U27)-ABS(DD10))/ABS(DD10)&lt;$CZ$9,1,0)</f>
        <v>1</v>
      </c>
      <c r="DD10" s="33">
        <f>VLOOKUP($G$1,Data!$D:$K,8,FALSE)</f>
        <v>150</v>
      </c>
      <c r="DE10" s="22" t="s">
        <v>582</v>
      </c>
      <c r="DF10" s="36">
        <f>VLOOKUP($G$1,Data!$D:$Q,13,FALSE)</f>
        <v>4</v>
      </c>
    </row>
    <row r="11" spans="1:116" x14ac:dyDescent="0.25">
      <c r="A11" s="4"/>
      <c r="B11" s="6"/>
      <c r="C11" s="6"/>
      <c r="D11" s="6"/>
      <c r="E11" s="6"/>
      <c r="F11" s="7" t="str">
        <f>IF($A$2="","Compunded","")</f>
        <v>Compunded</v>
      </c>
      <c r="G11" s="6"/>
      <c r="H11" s="6"/>
      <c r="I11" s="6"/>
      <c r="J11" s="6"/>
      <c r="K11" s="6" t="str">
        <f>IF($A$2="","Effective rate","")</f>
        <v>Effective rate</v>
      </c>
      <c r="L11" s="6"/>
      <c r="M11" s="6"/>
      <c r="N11" s="6"/>
      <c r="O11" s="6"/>
      <c r="P11" s="6"/>
      <c r="Q11" s="6"/>
      <c r="R11" s="6"/>
      <c r="S11" s="6"/>
      <c r="T11" s="6"/>
      <c r="U11" s="6"/>
      <c r="V11" s="6"/>
      <c r="W11" s="6"/>
      <c r="X11" s="6"/>
      <c r="Y11" s="6"/>
      <c r="Z11" s="6"/>
      <c r="AA11" s="6"/>
      <c r="AB11" s="6"/>
      <c r="AC11" s="6"/>
      <c r="AD11" s="6"/>
      <c r="AE11" s="6"/>
      <c r="AF11" s="8"/>
      <c r="DA11" s="23" t="s">
        <v>555</v>
      </c>
      <c r="DB11" s="23">
        <v>10</v>
      </c>
      <c r="DC11" s="23">
        <f>IF(ABS(ABS(U28)-ABS(DD11))/ABS(DD11)&lt;$CZ$9,1,0)</f>
        <v>1</v>
      </c>
      <c r="DD11" s="30">
        <f>VLOOKUP($G$1,Data!$D:$N,11,FALSE)*(VLOOKUP($G$1,Data!$D:$O,12,FALSE)/100*VLOOKUP($G$1,Data!$D:$L,9,FALSE)+(1-VLOOKUP($G$1,Data!$D:$O,12,FALSE)/100)*VLOOKUP($G$1,Data!$D:$M,10,FALSE))</f>
        <v>657.59999999999991</v>
      </c>
    </row>
    <row r="12" spans="1:116" x14ac:dyDescent="0.25">
      <c r="A12" s="4"/>
      <c r="B12" s="61">
        <f>IF($A$2="",VLOOKUP($G$1,Data!$D:$H,2,FALSE),"")</f>
        <v>14</v>
      </c>
      <c r="C12" s="61"/>
      <c r="D12" s="61"/>
      <c r="E12" s="60" t="str">
        <f>IF($A$2="","%  Annually","")</f>
        <v>%  Annually</v>
      </c>
      <c r="F12" s="60"/>
      <c r="G12" s="60"/>
      <c r="H12" s="60"/>
      <c r="I12" s="60"/>
      <c r="J12" s="9" t="str">
        <f>IF($A$2="","→","")</f>
        <v>→</v>
      </c>
      <c r="K12" s="46">
        <v>14</v>
      </c>
      <c r="L12" s="46"/>
      <c r="M12" s="46"/>
      <c r="N12" s="6" t="str">
        <f>IF($A$2="","%","")</f>
        <v>%</v>
      </c>
      <c r="O12" s="6"/>
      <c r="P12" s="6"/>
      <c r="Q12" s="6"/>
      <c r="R12" s="6"/>
      <c r="S12" s="6"/>
      <c r="T12" s="6"/>
      <c r="U12" s="6"/>
      <c r="V12" s="6"/>
      <c r="W12" s="6"/>
      <c r="X12" s="6"/>
      <c r="Y12" s="6"/>
      <c r="Z12" s="6"/>
      <c r="AA12" s="6"/>
      <c r="AB12" s="6"/>
      <c r="AC12" s="6"/>
      <c r="AD12" s="6"/>
      <c r="AE12" s="6"/>
      <c r="AF12" s="8"/>
      <c r="DA12" s="23" t="s">
        <v>556</v>
      </c>
      <c r="DB12" s="23">
        <v>15</v>
      </c>
      <c r="DC12" s="23">
        <f>IF(ABS(ABS(U29)-ABS(DD12))/ABS(DD12)&lt;$CZ$9,1,0)</f>
        <v>1</v>
      </c>
      <c r="DD12" s="30">
        <f>DD10+DD11+DD9</f>
        <v>1273.9049653448469</v>
      </c>
    </row>
    <row r="13" spans="1:116" x14ac:dyDescent="0.25">
      <c r="A13" s="4"/>
      <c r="B13" s="61">
        <f>IF($A$2="",VLOOKUP($G$1,Data!$D:$H,3,FALSE),"")</f>
        <v>13.5</v>
      </c>
      <c r="C13" s="61"/>
      <c r="D13" s="61"/>
      <c r="E13" s="60" t="str">
        <f>IF($A$2="","%  6 monthly","")</f>
        <v>%  6 monthly</v>
      </c>
      <c r="F13" s="60"/>
      <c r="G13" s="60"/>
      <c r="H13" s="60"/>
      <c r="I13" s="60"/>
      <c r="J13" s="9" t="str">
        <f>IF($A$2="","→","")</f>
        <v>→</v>
      </c>
      <c r="K13" s="46">
        <v>13.955</v>
      </c>
      <c r="L13" s="46"/>
      <c r="M13" s="46"/>
      <c r="N13" s="6" t="str">
        <f>IF($A$2="","%","")</f>
        <v>%</v>
      </c>
      <c r="O13" s="6"/>
      <c r="P13" s="6"/>
      <c r="Q13" s="6"/>
      <c r="R13" s="6"/>
      <c r="S13" s="6"/>
      <c r="T13" s="6"/>
      <c r="U13" s="6"/>
      <c r="V13" s="6"/>
      <c r="W13" s="6"/>
      <c r="X13" s="6"/>
      <c r="Y13" s="6"/>
      <c r="Z13" s="6"/>
      <c r="AA13" s="6"/>
      <c r="AB13" s="6"/>
      <c r="AC13" s="6"/>
      <c r="AD13" s="6"/>
      <c r="AE13" s="6"/>
      <c r="AF13" s="8"/>
      <c r="CZ13" s="29">
        <v>0.01</v>
      </c>
      <c r="DA13" s="23" t="s">
        <v>583</v>
      </c>
      <c r="DB13" s="32">
        <v>10</v>
      </c>
      <c r="DC13" s="23">
        <f>IF(ABS(ABS(V37)-ABS(DD13))/ABS(DD13)&lt;$CZ$13,1,0)</f>
        <v>0</v>
      </c>
      <c r="DD13" s="37">
        <f>VLOOKUP($G$1,Data!$D:$AB,19,FALSE)*1000*DF13*(1+DF13)^DF14/((1+DF13)^DF14-1)-VLOOKUP($G$1,Data!$D:$AB,23,FALSE)*1000*DF13/((1+DF13)^DF14-1)</f>
        <v>106389.62506756639</v>
      </c>
      <c r="DE13" s="22" t="s">
        <v>581</v>
      </c>
      <c r="DF13" s="34">
        <f>VLOOKUP($G$1,Data!$D:$AB,25,FALSE)/100</f>
        <v>0.1</v>
      </c>
      <c r="DI13" s="22" t="s">
        <v>588</v>
      </c>
      <c r="DL13" s="22" t="s">
        <v>589</v>
      </c>
    </row>
    <row r="14" spans="1:116" x14ac:dyDescent="0.25">
      <c r="A14" s="4"/>
      <c r="B14" s="61">
        <f>IF($A$2="",VLOOKUP($G$1,Data!$D:$H,4,FALSE),"")</f>
        <v>13.3</v>
      </c>
      <c r="C14" s="61"/>
      <c r="D14" s="61"/>
      <c r="E14" s="60" t="str">
        <f>IF($A$2="","%  Quarterly","")</f>
        <v>%  Quarterly</v>
      </c>
      <c r="F14" s="60"/>
      <c r="G14" s="60"/>
      <c r="H14" s="60"/>
      <c r="I14" s="60"/>
      <c r="J14" s="9" t="str">
        <f>IF($A$2="","→","")</f>
        <v>→</v>
      </c>
      <c r="K14" s="46">
        <v>13.978</v>
      </c>
      <c r="L14" s="46"/>
      <c r="M14" s="46"/>
      <c r="N14" s="6" t="str">
        <f>IF($A$2="","%","")</f>
        <v>%</v>
      </c>
      <c r="O14" s="6"/>
      <c r="P14" s="6"/>
      <c r="Q14" s="6"/>
      <c r="R14" s="6"/>
      <c r="S14" s="6"/>
      <c r="T14" s="6"/>
      <c r="U14" s="6"/>
      <c r="V14" s="6"/>
      <c r="W14" s="6"/>
      <c r="X14" s="6"/>
      <c r="Y14" s="6"/>
      <c r="Z14" s="6"/>
      <c r="AA14" s="6"/>
      <c r="AB14" s="6"/>
      <c r="AC14" s="6"/>
      <c r="AD14" s="6"/>
      <c r="AE14" s="6"/>
      <c r="AF14" s="8"/>
      <c r="DA14" s="23" t="s">
        <v>584</v>
      </c>
      <c r="DB14" s="23">
        <v>9</v>
      </c>
      <c r="DC14" s="23">
        <f>IF(ABS(ABS(V38)-ABS(DD14))/ABS(DD14)&lt;$CZ$13,1,0)</f>
        <v>1</v>
      </c>
      <c r="DD14" s="30">
        <f>VLOOKUP($G$1,Data!$D:$AB,22,FALSE)*1000-(DD13)</f>
        <v>13610.37493243361</v>
      </c>
      <c r="DE14" s="22" t="s">
        <v>582</v>
      </c>
      <c r="DF14" s="36">
        <f>VLOOKUP($G$1,Data!$D:$AB,20,FALSE)</f>
        <v>5</v>
      </c>
      <c r="DI14" s="22">
        <v>0</v>
      </c>
      <c r="DL14" s="22">
        <f>-1000*VLOOKUP($G$1,Data!$D:$AB,19,FALSE)</f>
        <v>-430000</v>
      </c>
    </row>
    <row r="15" spans="1:116" x14ac:dyDescent="0.25">
      <c r="A15" s="4"/>
      <c r="B15" s="61">
        <f>IF($A$2="",VLOOKUP($G$1,Data!$D:$H,5,FALSE),"")</f>
        <v>13.100000000000001</v>
      </c>
      <c r="C15" s="61"/>
      <c r="D15" s="61"/>
      <c r="E15" s="60" t="str">
        <f>IF($A$2="","%  Monthly","")</f>
        <v>%  Monthly</v>
      </c>
      <c r="F15" s="60"/>
      <c r="G15" s="60"/>
      <c r="H15" s="60"/>
      <c r="I15" s="60"/>
      <c r="J15" s="9" t="str">
        <f>IF($A$2="","→","")</f>
        <v>→</v>
      </c>
      <c r="K15" s="46">
        <v>13.914999999999999</v>
      </c>
      <c r="L15" s="46"/>
      <c r="M15" s="46"/>
      <c r="N15" s="6" t="str">
        <f>IF($A$2="","%","")</f>
        <v>%</v>
      </c>
      <c r="O15" s="6"/>
      <c r="P15" s="6"/>
      <c r="Q15" s="6"/>
      <c r="R15" s="6"/>
      <c r="S15" s="6"/>
      <c r="T15" s="6"/>
      <c r="U15" s="6"/>
      <c r="V15" s="6"/>
      <c r="W15" s="6"/>
      <c r="X15" s="6"/>
      <c r="Y15" s="6"/>
      <c r="Z15" s="6"/>
      <c r="AA15" s="6"/>
      <c r="AB15" s="6"/>
      <c r="AC15" s="6"/>
      <c r="AD15" s="6"/>
      <c r="AE15" s="6"/>
      <c r="AF15" s="8"/>
      <c r="DA15" s="23" t="s">
        <v>585</v>
      </c>
      <c r="DB15" s="23">
        <v>5</v>
      </c>
      <c r="DC15" s="23">
        <f>IF(V39=DD15,1,0)</f>
        <v>1</v>
      </c>
      <c r="DD15" s="38" t="str">
        <f>IF(DD14&gt;0,"YES","NO")</f>
        <v>YES</v>
      </c>
      <c r="DI15" s="22">
        <v>1</v>
      </c>
      <c r="DL15" s="22">
        <f>VLOOKUP($G$1,Data!$D:$AB,22,FALSE)*1000</f>
        <v>120000</v>
      </c>
    </row>
    <row r="16" spans="1:116" x14ac:dyDescent="0.25">
      <c r="A16" s="4"/>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8"/>
      <c r="DA16" s="23" t="s">
        <v>586</v>
      </c>
      <c r="DB16" s="23">
        <v>15</v>
      </c>
      <c r="DC16" s="23">
        <f>IF(ABS(ABS(V41)/100-ABS(DD16))/ABS(DD16)&lt;$CZ$13,1,0)</f>
        <v>0</v>
      </c>
      <c r="DD16" s="39">
        <f>IRR(DL14:DL20)</f>
        <v>0.14398606905672584</v>
      </c>
      <c r="DI16" s="22">
        <v>2</v>
      </c>
      <c r="DL16" s="22">
        <f>VLOOKUP($G$1,Data!$D:$AB,22,FALSE)*1000</f>
        <v>120000</v>
      </c>
    </row>
    <row r="17" spans="1:116" ht="15" customHeight="1" x14ac:dyDescent="0.25">
      <c r="A17" s="4" t="str">
        <f>IF($A$2="","2)","")</f>
        <v>2)</v>
      </c>
      <c r="B17" s="45" t="str">
        <f>IF($A$2="","You want to buy a large scale 3D printer which costs "&amp;VLOOKUP($G$1,Data!$D:$I,6,FALSE)&amp;","&amp;VLOOKUP($G$1,Data!$D:$J,7,FALSE)&amp;" TL. The annual maintenance cost including 100 new 3D drawings each year is reported to be "&amp;VLOOKUP($G$1,Data!$D:$K,8,FALSE)&amp;" TL in the brand's website. The best price of a 1 kg white cartridge you could find from a wholesaler is "&amp;VLOOKUP($G$1,Data!$D:$L,9,FALSE)&amp;" TL whereas the price of a 1 kg colored cartridge is "&amp;VLOOKUP($G$1,Data!$D:$M,10,FALSE)&amp;" TL regardless of the color. You estimate that the designs you will print each year will consume "&amp;VLOOKUP($G$1,Data!$D:$N,11,FALSE)&amp;" kg material of which only "&amp;VLOOKUP($G$1,Data!$D:$O,12,FALSE)&amp;"% will be white. To keep up with the pace of the technology, you will change your printer at the end of the "&amp;VLOOKUP($G$1,Data!$D:$Q,14,FALSE)&amp;" year when you will sell it for "&amp;VLOOKUP($G$1,Data!$D:$R,15,FALSE)&amp;","&amp;VLOOKUP($G$1,Data!$D:$S,16,FALSE)&amp;" TL. Your minimum attractive rate of return is "&amp;VLOOKUP($G$1,Data!$D:$U,18,FALSE)&amp;"% per year.","")</f>
        <v>You want to buy a large scale 3D printer which costs 2,500 TL. The annual maintenance cost including 100 new 3D drawings each year is reported to be 150 TL in the brand's website. The best price of a 1 kg white cartridge you could find from a wholesaler is 47 TL whereas the price of a 1 kg colored cartridge is 60 TL regardless of the color. You estimate that the designs you will print each year will consume 12 kg material of which only 40% will be white. To keep up with the pace of the technology, you will change your printer at the end of the 4th year when you will sell it for 1,300 TL. Your minimum attractive rate of return is 8% per year.</v>
      </c>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10"/>
      <c r="DA17" s="23" t="s">
        <v>587</v>
      </c>
      <c r="DB17" s="40">
        <v>5</v>
      </c>
      <c r="DC17" s="23">
        <f>IF(V42=DD17,1,0)</f>
        <v>0</v>
      </c>
      <c r="DD17" s="38" t="str">
        <f>IF(DD16&gt;=DF13,"YES","NO")</f>
        <v>YES</v>
      </c>
      <c r="DI17" s="22">
        <v>3</v>
      </c>
      <c r="DL17" s="22">
        <f>VLOOKUP($G$1,Data!$D:$AB,22,FALSE)*1000+IF($DF$14=3,VLOOKUP($G$1,Data!$D:$AB,23,FALSE)*1000,0)</f>
        <v>120000</v>
      </c>
    </row>
    <row r="18" spans="1:116" x14ac:dyDescent="0.25">
      <c r="A18" s="4"/>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10"/>
      <c r="DB18" s="22">
        <f>SUM(DB5:DB17)</f>
        <v>100</v>
      </c>
      <c r="DI18" s="22">
        <f>IF($DF$14&gt;3,4,"")</f>
        <v>4</v>
      </c>
      <c r="DL18" s="22">
        <f>IF($DF$14&lt;4,"",VLOOKUP($G$1,Data!$D:$AB,22,FALSE)*1000+IF($DF$14=4,VLOOKUP($G$1,Data!$D:$AB,23,FALSE)*1000,0))</f>
        <v>120000</v>
      </c>
    </row>
    <row r="19" spans="1:116" ht="15.75" customHeight="1" x14ac:dyDescent="0.25">
      <c r="A19" s="4"/>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8"/>
      <c r="DI19" s="22">
        <f>IF($DF$14&gt;4,5,"")</f>
        <v>5</v>
      </c>
      <c r="DL19" s="22">
        <f>IF($DF$14&lt;5,"",VLOOKUP($G$1,Data!$D:$AB,22,FALSE)*1000+IF($DF$14=5,VLOOKUP($G$1,Data!$D:$AB,23,FALSE)*1000,0))</f>
        <v>163000</v>
      </c>
    </row>
    <row r="20" spans="1:116" x14ac:dyDescent="0.25">
      <c r="A20" s="4"/>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8"/>
      <c r="DI20" s="22" t="str">
        <f>IF($DF$14&gt;5,6,"")</f>
        <v/>
      </c>
      <c r="DL20" s="22" t="str">
        <f>IF($DF$14&lt;6,"",VLOOKUP($G$1,Data!$D:$AB,22,FALSE)*1000+IF($DF$14=6,VLOOKUP($G$1,Data!$D:$AB,23,FALSE)*1000,0))</f>
        <v/>
      </c>
    </row>
    <row r="21" spans="1:116" ht="15.75" customHeight="1" x14ac:dyDescent="0.25">
      <c r="A21" s="4"/>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8"/>
      <c r="DI21" s="22" t="s">
        <v>571</v>
      </c>
      <c r="DL21" s="41">
        <f>IRR(DL14:DL20)</f>
        <v>0.14398606905672584</v>
      </c>
    </row>
    <row r="22" spans="1:116" x14ac:dyDescent="0.25">
      <c r="A22" s="11"/>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8"/>
    </row>
    <row r="23" spans="1:116" ht="15.75" customHeight="1" x14ac:dyDescent="0.25">
      <c r="A23" s="11"/>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8"/>
    </row>
    <row r="24" spans="1:116" ht="15.75" customHeight="1" x14ac:dyDescent="0.25">
      <c r="A24" s="11"/>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8"/>
    </row>
    <row r="25" spans="1:116" x14ac:dyDescent="0.25">
      <c r="A25" s="4"/>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8"/>
    </row>
    <row r="26" spans="1:116" x14ac:dyDescent="0.25">
      <c r="A26" s="4"/>
      <c r="B26" s="6" t="str">
        <f>IF($A$2="","a)","")</f>
        <v>a)</v>
      </c>
      <c r="C26" s="58" t="str">
        <f>IF($A$2="","Determine the capital recovery cost of the printer.","")</f>
        <v>Determine the capital recovery cost of the printer.</v>
      </c>
      <c r="D26" s="58"/>
      <c r="E26" s="58"/>
      <c r="F26" s="58"/>
      <c r="G26" s="58"/>
      <c r="H26" s="58"/>
      <c r="I26" s="58"/>
      <c r="J26" s="58"/>
      <c r="K26" s="58"/>
      <c r="L26" s="58"/>
      <c r="M26" s="58"/>
      <c r="N26" s="58"/>
      <c r="O26" s="58"/>
      <c r="P26" s="58"/>
      <c r="Q26" s="58"/>
      <c r="R26" s="58"/>
      <c r="S26" s="58"/>
      <c r="T26" s="18"/>
      <c r="U26" s="59">
        <v>466.28</v>
      </c>
      <c r="V26" s="59"/>
      <c r="W26" s="59"/>
      <c r="X26" s="59"/>
      <c r="Y26" s="59"/>
      <c r="Z26" s="6" t="str">
        <f>IF($A$2="","TL","")</f>
        <v>TL</v>
      </c>
      <c r="AA26" s="6"/>
      <c r="AB26" s="6" t="str">
        <f>IF($A$2="","(10 pts)","")</f>
        <v>(10 pts)</v>
      </c>
      <c r="AC26" s="18"/>
      <c r="AD26" s="18"/>
      <c r="AE26" s="18"/>
      <c r="AF26" s="5"/>
    </row>
    <row r="27" spans="1:116" ht="15.75" customHeight="1" x14ac:dyDescent="0.25">
      <c r="A27" s="4"/>
      <c r="B27" s="6" t="str">
        <f>IF($A$2="","b)","")</f>
        <v>b)</v>
      </c>
      <c r="C27" s="57" t="str">
        <f>IF($A$2="","What is the fixed cost per year?","")</f>
        <v>What is the fixed cost per year?</v>
      </c>
      <c r="D27" s="57"/>
      <c r="E27" s="57"/>
      <c r="F27" s="57"/>
      <c r="G27" s="57"/>
      <c r="H27" s="57"/>
      <c r="I27" s="57"/>
      <c r="J27" s="57"/>
      <c r="K27" s="57"/>
      <c r="L27" s="57"/>
      <c r="M27" s="57"/>
      <c r="N27" s="57"/>
      <c r="O27" s="57"/>
      <c r="P27" s="57"/>
      <c r="Q27" s="57"/>
      <c r="R27" s="57"/>
      <c r="S27" s="57"/>
      <c r="T27" s="19"/>
      <c r="U27" s="59">
        <v>150</v>
      </c>
      <c r="V27" s="59"/>
      <c r="W27" s="59"/>
      <c r="X27" s="59"/>
      <c r="Y27" s="59"/>
      <c r="Z27" s="6" t="str">
        <f t="shared" ref="Z27:Z29" si="0">IF($A$2="","TL","")</f>
        <v>TL</v>
      </c>
      <c r="AA27" s="6"/>
      <c r="AB27" s="6" t="str">
        <f>IF($A$2="","(5 pts)","")</f>
        <v>(5 pts)</v>
      </c>
      <c r="AC27" s="19"/>
      <c r="AD27" s="19"/>
      <c r="AE27" s="19"/>
      <c r="AF27" s="5"/>
    </row>
    <row r="28" spans="1:116" ht="15.75" customHeight="1" x14ac:dyDescent="0.25">
      <c r="A28" s="4"/>
      <c r="B28" s="6" t="str">
        <f>IF($A$2="","c)","")</f>
        <v>c)</v>
      </c>
      <c r="C28" s="57" t="str">
        <f>IF($A$2="","What is the variable cost per year?","")</f>
        <v>What is the variable cost per year?</v>
      </c>
      <c r="D28" s="57"/>
      <c r="E28" s="57"/>
      <c r="F28" s="57"/>
      <c r="G28" s="57"/>
      <c r="H28" s="57"/>
      <c r="I28" s="57"/>
      <c r="J28" s="57"/>
      <c r="K28" s="57"/>
      <c r="L28" s="57"/>
      <c r="M28" s="57"/>
      <c r="N28" s="57"/>
      <c r="O28" s="57"/>
      <c r="P28" s="57"/>
      <c r="Q28" s="57"/>
      <c r="R28" s="57"/>
      <c r="S28" s="57"/>
      <c r="T28" s="19"/>
      <c r="U28" s="59">
        <v>657.6</v>
      </c>
      <c r="V28" s="59"/>
      <c r="W28" s="59"/>
      <c r="X28" s="59"/>
      <c r="Y28" s="59"/>
      <c r="Z28" s="6" t="str">
        <f t="shared" si="0"/>
        <v>TL</v>
      </c>
      <c r="AA28" s="6"/>
      <c r="AB28" s="6" t="str">
        <f>IF($A$2="","(10 pts)","")</f>
        <v>(10 pts)</v>
      </c>
      <c r="AC28" s="19"/>
      <c r="AD28" s="19"/>
      <c r="AE28" s="19"/>
      <c r="AF28" s="8"/>
    </row>
    <row r="29" spans="1:116" ht="15.75" customHeight="1" x14ac:dyDescent="0.25">
      <c r="A29" s="4"/>
      <c r="B29" s="6" t="str">
        <f>IF($A$2="","d)","")</f>
        <v>d)</v>
      </c>
      <c r="C29" s="57" t="str">
        <f>IF($A$2="","What is the EUAC of the printer?","")</f>
        <v>What is the EUAC of the printer?</v>
      </c>
      <c r="D29" s="57"/>
      <c r="E29" s="57"/>
      <c r="F29" s="57"/>
      <c r="G29" s="57"/>
      <c r="H29" s="57"/>
      <c r="I29" s="57"/>
      <c r="J29" s="57"/>
      <c r="K29" s="57"/>
      <c r="L29" s="57"/>
      <c r="M29" s="57"/>
      <c r="N29" s="57"/>
      <c r="O29" s="57"/>
      <c r="P29" s="57"/>
      <c r="Q29" s="57"/>
      <c r="R29" s="57"/>
      <c r="S29" s="57"/>
      <c r="T29" s="19"/>
      <c r="U29" s="59">
        <v>1273.8800000000001</v>
      </c>
      <c r="V29" s="59"/>
      <c r="W29" s="59"/>
      <c r="X29" s="59"/>
      <c r="Y29" s="59"/>
      <c r="Z29" s="6" t="str">
        <f t="shared" si="0"/>
        <v>TL</v>
      </c>
      <c r="AA29" s="6"/>
      <c r="AB29" s="6" t="str">
        <f>IF($A$2="","(15 pts)","")</f>
        <v>(15 pts)</v>
      </c>
      <c r="AC29" s="19"/>
      <c r="AD29" s="19"/>
      <c r="AE29" s="19"/>
      <c r="AF29" s="8"/>
    </row>
    <row r="30" spans="1:116" x14ac:dyDescent="0.25">
      <c r="A30" s="4"/>
      <c r="B30" s="19"/>
      <c r="C30" s="42"/>
      <c r="D30" s="42"/>
      <c r="E30" s="42"/>
      <c r="F30" s="42"/>
      <c r="G30" s="42"/>
      <c r="H30" s="42"/>
      <c r="I30" s="42"/>
      <c r="J30" s="42"/>
      <c r="K30" s="42"/>
      <c r="L30" s="43"/>
      <c r="M30" s="43"/>
      <c r="N30" s="43"/>
      <c r="O30" s="43"/>
      <c r="P30" s="43"/>
      <c r="Q30" s="43"/>
      <c r="R30" s="43"/>
      <c r="S30" s="43"/>
      <c r="T30" s="43"/>
      <c r="U30" s="43"/>
      <c r="V30" s="43"/>
      <c r="W30" s="43"/>
      <c r="X30" s="43"/>
      <c r="Y30" s="43"/>
      <c r="Z30" s="43"/>
      <c r="AA30" s="44"/>
      <c r="AB30" s="44"/>
      <c r="AC30" s="44"/>
      <c r="AD30" s="44"/>
      <c r="AE30" s="2"/>
      <c r="AF30" s="8"/>
    </row>
    <row r="31" spans="1:116" ht="15.75" customHeight="1" x14ac:dyDescent="0.25">
      <c r="A31" s="4" t="str">
        <f>IF($A$2="","3)","")</f>
        <v>3)</v>
      </c>
      <c r="B31" s="45" t="str">
        <f>IF($A$2="","Company UMY must decide whether to purchase a piece of factory equipment for "&amp;VLOOKUP($G$1,Data!$D:$AB,19,FALSE)&amp;",000 TL. The equipment would only last "&amp;VLOOKUP($G$1,Data!$D:$AB,21,FALSE)&amp;" years, but it is expected to generate "&amp;VLOOKUP($G$1,Data!$D:$AB,22,FALSE)&amp;",000 TL of additional annual profit during those years. Company UMY also thinks it can sell the equipment for scrap afterward for about "&amp;VLOOKUP($G$1,Data!$D:$AB,23,FALSE)&amp;",000 TL. The The company uses a minimum attractive rate of return of "&amp;VLOOKUP($G$1,Data!$D:$AB,25,FALSE)&amp;"%","")</f>
        <v>Company UMY must decide whether to purchase a piece of factory equipment for 430,000 TL. The equipment would only last five years, but it is expected to generate 120,000 TL of additional annual profit during those years. Company UMY also thinks it can sell the equipment for scrap afterward for about 43,000 TL. The The company uses a minimum attractive rate of return of 10%</v>
      </c>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8"/>
    </row>
    <row r="32" spans="1:116" x14ac:dyDescent="0.25">
      <c r="A32" s="4"/>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8"/>
    </row>
    <row r="33" spans="1:32" x14ac:dyDescent="0.25">
      <c r="A33" s="4"/>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8"/>
    </row>
    <row r="34" spans="1:32" x14ac:dyDescent="0.25">
      <c r="A34" s="4"/>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8"/>
    </row>
    <row r="35" spans="1:32" x14ac:dyDescent="0.25">
      <c r="A35" s="4"/>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8"/>
    </row>
    <row r="36" spans="1:32" x14ac:dyDescent="0.25">
      <c r="A36" s="4"/>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8"/>
    </row>
    <row r="37" spans="1:32" x14ac:dyDescent="0.25">
      <c r="A37" s="4"/>
      <c r="B37" s="6" t="str">
        <f>IF($A$2="","a)","")</f>
        <v>a)</v>
      </c>
      <c r="C37" s="58" t="str">
        <f>IF($A$2="","What is the capital recovery of this equipment?","")</f>
        <v>What is the capital recovery of this equipment?</v>
      </c>
      <c r="D37" s="58"/>
      <c r="E37" s="58"/>
      <c r="F37" s="58"/>
      <c r="G37" s="58"/>
      <c r="H37" s="58"/>
      <c r="I37" s="58"/>
      <c r="J37" s="58"/>
      <c r="K37" s="58"/>
      <c r="L37" s="58"/>
      <c r="M37" s="58"/>
      <c r="N37" s="58"/>
      <c r="O37" s="58"/>
      <c r="P37" s="58"/>
      <c r="Q37" s="58"/>
      <c r="R37" s="58"/>
      <c r="S37" s="58"/>
      <c r="T37" s="17"/>
      <c r="U37" s="17"/>
      <c r="V37" s="59">
        <v>120477.4</v>
      </c>
      <c r="W37" s="59"/>
      <c r="X37" s="59"/>
      <c r="Y37" s="59"/>
      <c r="Z37" s="59"/>
      <c r="AA37" s="6" t="str">
        <f t="shared" ref="AA37:AA38" si="1">IF($A$2="","TL","")</f>
        <v>TL</v>
      </c>
      <c r="AB37" s="17"/>
      <c r="AC37" s="6" t="str">
        <f>IF($A$2="","(10 pts)","")</f>
        <v>(10 pts)</v>
      </c>
      <c r="AD37" s="17"/>
      <c r="AE37" s="17"/>
      <c r="AF37" s="8"/>
    </row>
    <row r="38" spans="1:32" x14ac:dyDescent="0.25">
      <c r="A38" s="4"/>
      <c r="B38" s="6" t="str">
        <f>IF($A$2="","b)","")</f>
        <v>b)</v>
      </c>
      <c r="C38" s="58" t="str">
        <f>IF($A$2="","What is the AW of this equipment?","")</f>
        <v>What is the AW of this equipment?</v>
      </c>
      <c r="D38" s="58"/>
      <c r="E38" s="58"/>
      <c r="F38" s="58"/>
      <c r="G38" s="58"/>
      <c r="H38" s="58"/>
      <c r="I38" s="58"/>
      <c r="J38" s="58"/>
      <c r="K38" s="58"/>
      <c r="L38" s="58"/>
      <c r="M38" s="58"/>
      <c r="N38" s="58"/>
      <c r="O38" s="58"/>
      <c r="P38" s="58"/>
      <c r="Q38" s="58"/>
      <c r="R38" s="58"/>
      <c r="S38" s="58"/>
      <c r="T38" s="20"/>
      <c r="U38" s="20"/>
      <c r="V38" s="59">
        <v>13609.4</v>
      </c>
      <c r="W38" s="59"/>
      <c r="X38" s="59"/>
      <c r="Y38" s="59"/>
      <c r="Z38" s="59"/>
      <c r="AA38" s="6" t="str">
        <f t="shared" si="1"/>
        <v>TL</v>
      </c>
      <c r="AB38" s="6"/>
      <c r="AC38" s="6" t="str">
        <f>IF($A$2="","(9 pts)","")</f>
        <v>(9 pts)</v>
      </c>
      <c r="AD38" s="6"/>
      <c r="AE38" s="6"/>
      <c r="AF38" s="8"/>
    </row>
    <row r="39" spans="1:32" x14ac:dyDescent="0.25">
      <c r="A39" s="4"/>
      <c r="B39" s="6" t="str">
        <f>IF($A$2="","c)","")</f>
        <v>c)</v>
      </c>
      <c r="C39" s="62" t="str">
        <f>IF($A$2="","Would you purchase the equipment based on the AW you calculated in (a)?","")</f>
        <v>Would you purchase the equipment based on the AW you calculated in (a)?</v>
      </c>
      <c r="D39" s="62"/>
      <c r="E39" s="62"/>
      <c r="F39" s="62"/>
      <c r="G39" s="62"/>
      <c r="H39" s="62"/>
      <c r="I39" s="62"/>
      <c r="J39" s="62"/>
      <c r="K39" s="62"/>
      <c r="L39" s="62"/>
      <c r="M39" s="62"/>
      <c r="N39" s="62"/>
      <c r="O39" s="62"/>
      <c r="P39" s="62"/>
      <c r="Q39" s="62"/>
      <c r="R39" s="62"/>
      <c r="S39" s="62"/>
      <c r="T39" s="62"/>
      <c r="U39" s="20"/>
      <c r="V39" s="59" t="s">
        <v>596</v>
      </c>
      <c r="W39" s="59"/>
      <c r="X39" s="59"/>
      <c r="Y39" s="59"/>
      <c r="Z39" s="59"/>
      <c r="AA39" s="20"/>
      <c r="AB39" s="20"/>
      <c r="AC39" s="6" t="str">
        <f>IF($A$2="","(5 pts)","")</f>
        <v>(5 pts)</v>
      </c>
      <c r="AD39" s="20"/>
      <c r="AE39" s="20"/>
      <c r="AF39" s="8"/>
    </row>
    <row r="40" spans="1:32" x14ac:dyDescent="0.25">
      <c r="A40" s="4"/>
      <c r="B40" s="6"/>
      <c r="C40" s="62"/>
      <c r="D40" s="62"/>
      <c r="E40" s="62"/>
      <c r="F40" s="62"/>
      <c r="G40" s="62"/>
      <c r="H40" s="62"/>
      <c r="I40" s="62"/>
      <c r="J40" s="62"/>
      <c r="K40" s="62"/>
      <c r="L40" s="62"/>
      <c r="M40" s="62"/>
      <c r="N40" s="62"/>
      <c r="O40" s="62"/>
      <c r="P40" s="62"/>
      <c r="Q40" s="62"/>
      <c r="R40" s="62"/>
      <c r="S40" s="62"/>
      <c r="T40" s="62"/>
      <c r="U40" s="20"/>
      <c r="V40" s="20"/>
      <c r="W40" s="20"/>
      <c r="X40" s="20"/>
      <c r="Y40" s="20"/>
      <c r="Z40" s="20"/>
      <c r="AA40" s="20"/>
      <c r="AB40" s="20"/>
      <c r="AC40" s="20"/>
      <c r="AD40" s="20"/>
      <c r="AE40" s="20"/>
      <c r="AF40" s="8"/>
    </row>
    <row r="41" spans="1:32" x14ac:dyDescent="0.25">
      <c r="A41" s="4"/>
      <c r="B41" s="6" t="str">
        <f>IF($A$2="","d)","")</f>
        <v>d)</v>
      </c>
      <c r="C41" s="21" t="str">
        <f>IF($A$2="","What is the IRR of this equipment?","")</f>
        <v>What is the IRR of this equipment?</v>
      </c>
      <c r="D41" s="6"/>
      <c r="E41" s="6"/>
      <c r="F41" s="6"/>
      <c r="G41" s="6"/>
      <c r="H41" s="6"/>
      <c r="I41" s="6"/>
      <c r="J41" s="6"/>
      <c r="K41" s="6"/>
      <c r="L41" s="6"/>
      <c r="M41" s="6"/>
      <c r="N41" s="6"/>
      <c r="O41" s="6"/>
      <c r="P41" s="6"/>
      <c r="Q41" s="6"/>
      <c r="R41" s="6"/>
      <c r="S41" s="6"/>
      <c r="T41" s="6"/>
      <c r="U41" s="6"/>
      <c r="V41" s="59">
        <v>9.6199999999999992</v>
      </c>
      <c r="W41" s="59"/>
      <c r="X41" s="59"/>
      <c r="Y41" s="59"/>
      <c r="Z41" s="59"/>
      <c r="AA41" s="6" t="str">
        <f>IF($A$2="","%","")</f>
        <v>%</v>
      </c>
      <c r="AB41" s="6"/>
      <c r="AC41" s="6" t="str">
        <f>IF($A$2="","(15 pts)","")</f>
        <v>(15 pts)</v>
      </c>
      <c r="AD41" s="6"/>
      <c r="AE41" s="6"/>
      <c r="AF41" s="8"/>
    </row>
    <row r="42" spans="1:32" x14ac:dyDescent="0.25">
      <c r="A42" s="4"/>
      <c r="B42" s="6" t="str">
        <f>IF($A$2="","e)","")</f>
        <v>e)</v>
      </c>
      <c r="C42" s="62" t="str">
        <f>IF($A$2="","Would you purchase the equipment based on the IRR you calculated in (c)?","")</f>
        <v>Would you purchase the equipment based on the IRR you calculated in (c)?</v>
      </c>
      <c r="D42" s="62"/>
      <c r="E42" s="62"/>
      <c r="F42" s="62"/>
      <c r="G42" s="62"/>
      <c r="H42" s="62"/>
      <c r="I42" s="62"/>
      <c r="J42" s="62"/>
      <c r="K42" s="62"/>
      <c r="L42" s="62"/>
      <c r="M42" s="62"/>
      <c r="N42" s="62"/>
      <c r="O42" s="62"/>
      <c r="P42" s="62"/>
      <c r="Q42" s="62"/>
      <c r="R42" s="62"/>
      <c r="S42" s="62"/>
      <c r="T42" s="62"/>
      <c r="U42" s="6"/>
      <c r="V42" s="59" t="s">
        <v>597</v>
      </c>
      <c r="W42" s="59"/>
      <c r="X42" s="59"/>
      <c r="Y42" s="59"/>
      <c r="Z42" s="59"/>
      <c r="AA42" s="6"/>
      <c r="AB42" s="6"/>
      <c r="AC42" s="6" t="str">
        <f>IF($A$2="","(5 pts)","")</f>
        <v>(5 pts)</v>
      </c>
      <c r="AD42" s="6"/>
      <c r="AE42" s="6"/>
      <c r="AF42" s="8"/>
    </row>
    <row r="43" spans="1:32" ht="15.75" customHeight="1" x14ac:dyDescent="0.25">
      <c r="A43" s="4"/>
      <c r="B43" s="6"/>
      <c r="C43" s="62"/>
      <c r="D43" s="62"/>
      <c r="E43" s="62"/>
      <c r="F43" s="62"/>
      <c r="G43" s="62"/>
      <c r="H43" s="62"/>
      <c r="I43" s="62"/>
      <c r="J43" s="62"/>
      <c r="K43" s="62"/>
      <c r="L43" s="62"/>
      <c r="M43" s="62"/>
      <c r="N43" s="62"/>
      <c r="O43" s="62"/>
      <c r="P43" s="62"/>
      <c r="Q43" s="62"/>
      <c r="R43" s="62"/>
      <c r="S43" s="62"/>
      <c r="T43" s="62"/>
      <c r="U43" s="6"/>
      <c r="V43" s="6"/>
      <c r="W43" s="6"/>
      <c r="X43" s="6"/>
      <c r="Y43" s="6"/>
      <c r="Z43" s="6"/>
      <c r="AA43" s="6"/>
      <c r="AB43" s="6"/>
      <c r="AC43" s="6"/>
      <c r="AD43" s="6"/>
      <c r="AE43" s="6"/>
      <c r="AF43" s="8"/>
    </row>
    <row r="44" spans="1:32" ht="16.5" thickBot="1" x14ac:dyDescent="0.3">
      <c r="A44" s="12"/>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4"/>
    </row>
  </sheetData>
  <sheetProtection algorithmName="SHA-512" hashValue="yyAeTsTBYAuG84SlQU0pKMYwFOW5y4HjGqrzjiRs2+us5V5HDiYl+iWzv43B/7kvhUFY8Z684DaxS8Lmwq3Y9w==" saltValue="vVZo/yAb1z++h558MJf9cA==" spinCount="100000" sheet="1" objects="1" scenarios="1" selectLockedCells="1"/>
  <mergeCells count="38">
    <mergeCell ref="C39:T40"/>
    <mergeCell ref="C42:T43"/>
    <mergeCell ref="V38:Z38"/>
    <mergeCell ref="V39:Z39"/>
    <mergeCell ref="V42:Z42"/>
    <mergeCell ref="V41:Z41"/>
    <mergeCell ref="U27:Y27"/>
    <mergeCell ref="U28:Y28"/>
    <mergeCell ref="U29:Y29"/>
    <mergeCell ref="C38:S38"/>
    <mergeCell ref="B31:AE36"/>
    <mergeCell ref="C37:S37"/>
    <mergeCell ref="V37:Z37"/>
    <mergeCell ref="DA1:DC2"/>
    <mergeCell ref="B17:AE24"/>
    <mergeCell ref="C29:S29"/>
    <mergeCell ref="C28:S28"/>
    <mergeCell ref="C27:S27"/>
    <mergeCell ref="C26:S26"/>
    <mergeCell ref="U26:Y26"/>
    <mergeCell ref="K15:M15"/>
    <mergeCell ref="E12:I12"/>
    <mergeCell ref="B12:D12"/>
    <mergeCell ref="B13:D13"/>
    <mergeCell ref="B14:D14"/>
    <mergeCell ref="B15:D15"/>
    <mergeCell ref="E13:I13"/>
    <mergeCell ref="E14:I14"/>
    <mergeCell ref="E15:I15"/>
    <mergeCell ref="B8:AE9"/>
    <mergeCell ref="K12:M12"/>
    <mergeCell ref="K13:M13"/>
    <mergeCell ref="K14:M14"/>
    <mergeCell ref="G1:AF1"/>
    <mergeCell ref="A2:AF2"/>
    <mergeCell ref="A3:AE3"/>
    <mergeCell ref="B4:AE7"/>
    <mergeCell ref="A1:F1"/>
  </mergeCells>
  <conditionalFormatting sqref="A31:B31 A40:B40 U40:AE40 A3:AE30 U39 AA39:AE39 C39 A32:A39 C38:U38 B37:B42">
    <cfRule type="expression" dxfId="23" priority="32">
      <formula>$A$2&lt;&gt;""</formula>
    </cfRule>
  </conditionalFormatting>
  <conditionalFormatting sqref="C26 C29 C38 C41">
    <cfRule type="expression" dxfId="22" priority="31">
      <formula>$A$2&lt;&gt;""</formula>
    </cfRule>
  </conditionalFormatting>
  <conditionalFormatting sqref="C27 T27:Z27">
    <cfRule type="expression" dxfId="21" priority="29">
      <formula>$A$2&lt;&gt;""</formula>
    </cfRule>
  </conditionalFormatting>
  <conditionalFormatting sqref="C27">
    <cfRule type="expression" dxfId="20" priority="28">
      <formula>$A$2&lt;&gt;""</formula>
    </cfRule>
  </conditionalFormatting>
  <conditionalFormatting sqref="B28:B29">
    <cfRule type="expression" dxfId="19" priority="27">
      <formula>$A$2&lt;&gt;""</formula>
    </cfRule>
  </conditionalFormatting>
  <conditionalFormatting sqref="C28 T28:Z28">
    <cfRule type="expression" dxfId="18" priority="26">
      <formula>$A$2&lt;&gt;""</formula>
    </cfRule>
  </conditionalFormatting>
  <conditionalFormatting sqref="C28">
    <cfRule type="expression" dxfId="17" priority="25">
      <formula>$A$2&lt;&gt;""</formula>
    </cfRule>
  </conditionalFormatting>
  <conditionalFormatting sqref="C38:S38 C41">
    <cfRule type="expression" dxfId="16" priority="22">
      <formula>$A$2&lt;&gt;""</formula>
    </cfRule>
  </conditionalFormatting>
  <conditionalFormatting sqref="C42">
    <cfRule type="expression" dxfId="15" priority="16">
      <formula>$A$2&lt;&gt;""</formula>
    </cfRule>
  </conditionalFormatting>
  <conditionalFormatting sqref="C39">
    <cfRule type="expression" dxfId="14" priority="18">
      <formula>$A$2&lt;&gt;""</formula>
    </cfRule>
  </conditionalFormatting>
  <conditionalFormatting sqref="C39">
    <cfRule type="expression" dxfId="13" priority="17">
      <formula>$A$2&lt;&gt;""</formula>
    </cfRule>
  </conditionalFormatting>
  <conditionalFormatting sqref="C42">
    <cfRule type="expression" dxfId="12" priority="15">
      <formula>$A$2&lt;&gt;""</formula>
    </cfRule>
  </conditionalFormatting>
  <conditionalFormatting sqref="C42">
    <cfRule type="expression" dxfId="11" priority="14">
      <formula>$A$2&lt;&gt;""</formula>
    </cfRule>
  </conditionalFormatting>
  <conditionalFormatting sqref="V38:AA38 V39:Z39">
    <cfRule type="expression" dxfId="10" priority="13">
      <formula>$A$2&lt;&gt;""</formula>
    </cfRule>
  </conditionalFormatting>
  <conditionalFormatting sqref="AC42">
    <cfRule type="expression" dxfId="9" priority="12">
      <formula>$A$2&lt;&gt;""</formula>
    </cfRule>
  </conditionalFormatting>
  <conditionalFormatting sqref="AC38">
    <cfRule type="expression" dxfId="8" priority="11">
      <formula>$A$2&lt;&gt;""</formula>
    </cfRule>
  </conditionalFormatting>
  <conditionalFormatting sqref="AC41">
    <cfRule type="expression" dxfId="7" priority="10">
      <formula>$A$2&lt;&gt;""</formula>
    </cfRule>
  </conditionalFormatting>
  <conditionalFormatting sqref="V41:Z42">
    <cfRule type="expression" dxfId="6" priority="9">
      <formula>$A$2&lt;&gt;""</formula>
    </cfRule>
  </conditionalFormatting>
  <conditionalFormatting sqref="AA41">
    <cfRule type="expression" dxfId="5" priority="8">
      <formula>$A$2&lt;&gt;""</formula>
    </cfRule>
  </conditionalFormatting>
  <conditionalFormatting sqref="V37:AA37">
    <cfRule type="expression" dxfId="4" priority="2">
      <formula>$A$2&lt;&gt;""</formula>
    </cfRule>
  </conditionalFormatting>
  <conditionalFormatting sqref="C37:S37">
    <cfRule type="expression" dxfId="3" priority="5">
      <formula>$A$2&lt;&gt;""</formula>
    </cfRule>
  </conditionalFormatting>
  <conditionalFormatting sqref="C37">
    <cfRule type="expression" dxfId="2" priority="4">
      <formula>$A$2&lt;&gt;""</formula>
    </cfRule>
  </conditionalFormatting>
  <conditionalFormatting sqref="C37:S37">
    <cfRule type="expression" dxfId="1" priority="3">
      <formula>$A$2&lt;&gt;""</formula>
    </cfRule>
  </conditionalFormatting>
  <conditionalFormatting sqref="AC37">
    <cfRule type="expression" dxfId="0" priority="1">
      <formula>$A$2&lt;&gt;""</formula>
    </cfRule>
  </conditionalFormatting>
  <dataValidations count="6">
    <dataValidation type="custom" allowBlank="1" showInputMessage="1" showErrorMessage="1" errorTitle="Incorrect Input" error="Enter a valid numeric value." sqref="L30:Z30">
      <formula1>ISNUMBER(L30)</formula1>
    </dataValidation>
    <dataValidation type="decimal" allowBlank="1" showInputMessage="1" showErrorMessage="1" error="Please check your input." sqref="K12:M15">
      <formula1>1</formula1>
      <formula2>100</formula2>
    </dataValidation>
    <dataValidation type="list" allowBlank="1" showInputMessage="1" showErrorMessage="1" error="Your answer must be either YES or NO." sqref="V42:Z42 V39:Z39">
      <formula1>"YES,NO"</formula1>
    </dataValidation>
    <dataValidation type="decimal" allowBlank="1" showInputMessage="1" showErrorMessage="1" error="Please check your input." sqref="V38:Z38">
      <formula1>-10000000</formula1>
      <formula2>10000000</formula2>
    </dataValidation>
    <dataValidation type="decimal" allowBlank="1" showInputMessage="1" showErrorMessage="1" error="Please check your input." sqref="V41:Z41">
      <formula1>0</formula1>
      <formula2>100</formula2>
    </dataValidation>
    <dataValidation type="decimal" allowBlank="1" showInputMessage="1" showErrorMessage="1" error="Please check your input." sqref="V37:Z37 U26:Y29">
      <formula1>0</formula1>
      <formula2>10000000</formula2>
    </dataValidation>
  </dataValidations>
  <printOptions horizontalCentered="1" verticalCentered="1"/>
  <pageMargins left="0.70866141732283472" right="0.70866141732283472" top="0.35433070866141736" bottom="0.35433070866141736" header="0.31496062992125984" footer="0.31496062992125984"/>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errorTitle="Wrong Input" error="Please select your information from the list. DO NO WRITE YOUR NAME or ID MANUALLY!">
          <x14:formula1>
            <xm:f>INDIRECT("Data!$D$4:$D$"&amp;Data!$A$1)</xm:f>
          </x14:formula1>
          <xm:sqref>G1:AF1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V322"/>
  <sheetViews>
    <sheetView zoomScale="130" zoomScaleNormal="130" workbookViewId="0">
      <pane xSplit="4" ySplit="3" topLeftCell="E226" activePane="bottomRight" state="frozenSplit"/>
      <selection pane="topRight" activeCell="E1" sqref="E1"/>
      <selection pane="bottomLeft" activeCell="A4" sqref="A4"/>
      <selection pane="bottomRight" activeCell="BG243" sqref="BG243"/>
    </sheetView>
  </sheetViews>
  <sheetFormatPr defaultRowHeight="15" x14ac:dyDescent="0.25"/>
  <cols>
    <col min="1" max="1" width="13.85546875" bestFit="1" customWidth="1"/>
    <col min="2" max="2" width="23.42578125" bestFit="1" customWidth="1"/>
    <col min="3" max="3" width="10" bestFit="1" customWidth="1"/>
    <col min="4" max="4" width="45.5703125" bestFit="1" customWidth="1"/>
    <col min="5" max="5" width="7" bestFit="1" customWidth="1"/>
    <col min="7" max="7" width="7.5703125" bestFit="1" customWidth="1"/>
    <col min="8" max="8" width="8.42578125" bestFit="1" customWidth="1"/>
    <col min="9" max="10" width="7.140625" bestFit="1" customWidth="1"/>
    <col min="11" max="11" width="7.7109375" bestFit="1" customWidth="1"/>
    <col min="12" max="12" width="6.42578125" bestFit="1" customWidth="1"/>
    <col min="13" max="13" width="5.5703125" bestFit="1" customWidth="1"/>
    <col min="14" max="14" width="4.7109375" bestFit="1" customWidth="1"/>
    <col min="15" max="15" width="4.85546875" bestFit="1" customWidth="1"/>
    <col min="16" max="16" width="4" bestFit="1" customWidth="1"/>
    <col min="17" max="17" width="4.28515625" bestFit="1" customWidth="1"/>
    <col min="18" max="19" width="5.140625" bestFit="1" customWidth="1"/>
    <col min="20" max="20" width="6.7109375" bestFit="1" customWidth="1"/>
    <col min="21" max="21" width="6.28515625" bestFit="1" customWidth="1"/>
    <col min="22" max="22" width="4.28515625" bestFit="1" customWidth="1"/>
    <col min="23" max="23" width="8.7109375" bestFit="1" customWidth="1"/>
    <col min="24" max="24" width="5.85546875" bestFit="1" customWidth="1"/>
    <col min="25" max="25" width="4.28515625" bestFit="1" customWidth="1"/>
  </cols>
  <sheetData>
    <row r="1" spans="1:74" x14ac:dyDescent="0.25">
      <c r="A1">
        <f>COUNTA(C4:C503)+3</f>
        <v>322</v>
      </c>
      <c r="E1" s="63" t="s">
        <v>4</v>
      </c>
      <c r="F1" s="63"/>
      <c r="G1" s="63"/>
      <c r="H1" s="63"/>
      <c r="I1" t="s">
        <v>5</v>
      </c>
      <c r="V1" t="s">
        <v>550</v>
      </c>
      <c r="BV1" t="s">
        <v>590</v>
      </c>
    </row>
    <row r="2" spans="1:74" x14ac:dyDescent="0.25">
      <c r="A2" s="15"/>
      <c r="B2" s="15"/>
      <c r="D2" s="15" t="s">
        <v>8</v>
      </c>
      <c r="E2" s="15">
        <f ca="1">RANDBETWEEN(11,15)</f>
        <v>13</v>
      </c>
      <c r="F2" s="15">
        <f ca="1">E2-RANDBETWEEN(1,5)/10</f>
        <v>12.9</v>
      </c>
      <c r="G2" s="15">
        <f t="shared" ref="G2:H2" ca="1" si="0">F2-RANDBETWEEN(1,5)/10</f>
        <v>12.6</v>
      </c>
      <c r="H2" s="15">
        <f t="shared" ca="1" si="0"/>
        <v>12.4</v>
      </c>
      <c r="I2" s="15">
        <f ca="1">RANDBETWEEN(2,4)</f>
        <v>4</v>
      </c>
      <c r="J2" s="15">
        <f ca="1">RANDBETWEEN(1,9)*100</f>
        <v>900</v>
      </c>
      <c r="K2" s="15">
        <f ca="1">RANDBETWEEN(8,18)*10</f>
        <v>140</v>
      </c>
      <c r="L2" s="15">
        <f ca="1">RANDBETWEEN(40,55)</f>
        <v>44</v>
      </c>
      <c r="M2" s="15">
        <f ca="1">L2+RANDBETWEEN(10,20)</f>
        <v>54</v>
      </c>
      <c r="N2" s="15">
        <f ca="1">RANDBETWEEN(10,15)</f>
        <v>14</v>
      </c>
      <c r="O2" s="15">
        <f ca="1">RANDBETWEEN(2,4)*10</f>
        <v>40</v>
      </c>
      <c r="P2" s="15">
        <f ca="1">RANDBETWEEN(2,4)</f>
        <v>4</v>
      </c>
      <c r="Q2" s="15" t="str">
        <f ca="1">IF(P2=2,"2nd",IF(P2=3,"3rd","4th"))</f>
        <v>4th</v>
      </c>
      <c r="R2" s="15">
        <f ca="1">I2-1</f>
        <v>3</v>
      </c>
      <c r="S2" s="15">
        <f ca="1">RANDBETWEEN(1,4)*100</f>
        <v>300</v>
      </c>
      <c r="T2" s="15">
        <f ca="1">RANDBETWEEN(1,3)</f>
        <v>3</v>
      </c>
      <c r="U2" s="15">
        <f ca="1">IF(T2=1,8,IF(T2=2,10,15))</f>
        <v>15</v>
      </c>
      <c r="V2" s="15">
        <f ca="1">RANDBETWEEN(40,60)*10</f>
        <v>470</v>
      </c>
      <c r="W2" s="15">
        <f ca="1">RANDBETWEEN(3,6)</f>
        <v>6</v>
      </c>
      <c r="X2" s="15" t="str">
        <f ca="1">IF(W2=3,"three",IF(W2=4,"four",IF(W2=5,"five","six")))</f>
        <v>six</v>
      </c>
      <c r="Y2" s="15">
        <f ca="1">ROUND(V2/(10*W2),0)*10+RANDBETWEEN(1,3)*10</f>
        <v>90</v>
      </c>
      <c r="Z2" s="15">
        <f ca="1">V2/10+RANDBETWEEN(-2,6)*5</f>
        <v>77</v>
      </c>
      <c r="AA2" s="15">
        <f ca="1">RANDBETWEEN(1,3)</f>
        <v>3</v>
      </c>
      <c r="AB2" s="15">
        <f ca="1">IF(AA2=1,8,IF(AA2=2,10,15))</f>
        <v>15</v>
      </c>
      <c r="BV2" t="s">
        <v>591</v>
      </c>
    </row>
    <row r="3" spans="1:74" ht="15" customHeight="1" x14ac:dyDescent="0.25">
      <c r="A3" t="s">
        <v>9</v>
      </c>
      <c r="B3" t="s">
        <v>10</v>
      </c>
      <c r="C3" t="s">
        <v>11</v>
      </c>
      <c r="D3" t="s">
        <v>12</v>
      </c>
      <c r="E3" t="s">
        <v>0</v>
      </c>
      <c r="F3" t="s">
        <v>1</v>
      </c>
      <c r="G3" t="s">
        <v>2</v>
      </c>
      <c r="H3" t="s">
        <v>3</v>
      </c>
      <c r="I3" t="s">
        <v>558</v>
      </c>
      <c r="J3" t="s">
        <v>559</v>
      </c>
      <c r="K3" t="s">
        <v>557</v>
      </c>
      <c r="L3" t="s">
        <v>560</v>
      </c>
      <c r="M3" t="s">
        <v>561</v>
      </c>
      <c r="N3" t="s">
        <v>562</v>
      </c>
      <c r="O3" t="s">
        <v>563</v>
      </c>
      <c r="P3" t="s">
        <v>565</v>
      </c>
      <c r="Q3" t="s">
        <v>565</v>
      </c>
      <c r="R3" t="s">
        <v>564</v>
      </c>
      <c r="S3" t="s">
        <v>566</v>
      </c>
      <c r="T3" t="s">
        <v>567</v>
      </c>
      <c r="U3" t="s">
        <v>6</v>
      </c>
      <c r="V3" t="s">
        <v>572</v>
      </c>
      <c r="W3" t="s">
        <v>573</v>
      </c>
      <c r="X3" t="s">
        <v>565</v>
      </c>
      <c r="Y3" t="s">
        <v>574</v>
      </c>
      <c r="Z3" t="s">
        <v>575</v>
      </c>
      <c r="AA3" t="s">
        <v>567</v>
      </c>
      <c r="AB3" t="s">
        <v>6</v>
      </c>
      <c r="BV3" t="b">
        <v>0</v>
      </c>
    </row>
    <row r="4" spans="1:74" x14ac:dyDescent="0.25">
      <c r="A4" t="s">
        <v>13</v>
      </c>
      <c r="B4" t="s">
        <v>14</v>
      </c>
      <c r="C4">
        <v>115206042</v>
      </c>
      <c r="D4" t="str">
        <f t="shared" ref="D4:D67" si="1">A4&amp;", "&amp;B4&amp;"-"&amp;C4</f>
        <v>Ablak, Nida Nur-115206042</v>
      </c>
      <c r="E4" s="16">
        <v>15</v>
      </c>
      <c r="F4" s="16">
        <v>14.5</v>
      </c>
      <c r="G4" s="16">
        <v>14</v>
      </c>
      <c r="H4" s="16">
        <v>13.9</v>
      </c>
      <c r="I4" s="16">
        <v>3</v>
      </c>
      <c r="J4" s="16">
        <v>900</v>
      </c>
      <c r="K4" s="16">
        <v>120</v>
      </c>
      <c r="L4" s="16">
        <v>40</v>
      </c>
      <c r="M4" s="16">
        <v>57</v>
      </c>
      <c r="N4" s="16">
        <v>12</v>
      </c>
      <c r="O4" s="16">
        <v>20</v>
      </c>
      <c r="P4" s="16">
        <v>3</v>
      </c>
      <c r="Q4" s="16" t="s">
        <v>570</v>
      </c>
      <c r="R4" s="16">
        <v>2</v>
      </c>
      <c r="S4" s="16">
        <v>400</v>
      </c>
      <c r="T4" s="16">
        <v>1</v>
      </c>
      <c r="U4" s="16">
        <v>8</v>
      </c>
      <c r="V4" s="16">
        <v>510</v>
      </c>
      <c r="W4" s="16">
        <v>3</v>
      </c>
      <c r="X4" s="16" t="s">
        <v>578</v>
      </c>
      <c r="Y4" s="16">
        <v>180</v>
      </c>
      <c r="Z4" s="16">
        <v>71</v>
      </c>
      <c r="AA4" s="16">
        <v>1</v>
      </c>
      <c r="AB4" s="16">
        <v>8</v>
      </c>
    </row>
    <row r="5" spans="1:74" x14ac:dyDescent="0.25">
      <c r="A5" t="s">
        <v>15</v>
      </c>
      <c r="B5" t="s">
        <v>16</v>
      </c>
      <c r="C5">
        <v>113205054</v>
      </c>
      <c r="D5" t="str">
        <f t="shared" si="1"/>
        <v>Abo Sway, Hilal Mohammad-113205054</v>
      </c>
      <c r="E5" s="16">
        <v>15</v>
      </c>
      <c r="F5" s="16">
        <v>14.5</v>
      </c>
      <c r="G5" s="16">
        <v>14.3</v>
      </c>
      <c r="H5" s="16">
        <v>13.9</v>
      </c>
      <c r="I5">
        <v>2</v>
      </c>
      <c r="J5">
        <v>600</v>
      </c>
      <c r="K5">
        <v>110</v>
      </c>
      <c r="L5">
        <v>43</v>
      </c>
      <c r="M5">
        <v>59</v>
      </c>
      <c r="N5">
        <v>12</v>
      </c>
      <c r="O5">
        <v>40</v>
      </c>
      <c r="P5">
        <v>4</v>
      </c>
      <c r="Q5" t="s">
        <v>569</v>
      </c>
      <c r="R5">
        <v>1</v>
      </c>
      <c r="S5">
        <v>300</v>
      </c>
      <c r="T5">
        <v>2</v>
      </c>
      <c r="U5">
        <v>10</v>
      </c>
      <c r="V5">
        <v>520</v>
      </c>
      <c r="W5">
        <v>5</v>
      </c>
      <c r="X5" t="s">
        <v>576</v>
      </c>
      <c r="Y5" s="16">
        <v>140</v>
      </c>
      <c r="Z5">
        <v>42</v>
      </c>
      <c r="AA5" s="16">
        <v>3</v>
      </c>
      <c r="AB5" s="16">
        <v>15</v>
      </c>
    </row>
    <row r="6" spans="1:74" x14ac:dyDescent="0.25">
      <c r="A6" t="s">
        <v>17</v>
      </c>
      <c r="B6" t="s">
        <v>18</v>
      </c>
      <c r="C6">
        <v>114204023</v>
      </c>
      <c r="D6" t="str">
        <f t="shared" si="1"/>
        <v>Acar, Oğuzcan-114204023</v>
      </c>
      <c r="E6" s="16">
        <v>14</v>
      </c>
      <c r="F6" s="16">
        <v>13.5</v>
      </c>
      <c r="G6" s="16">
        <v>13.1</v>
      </c>
      <c r="H6" s="16">
        <v>12.9</v>
      </c>
      <c r="I6">
        <v>3</v>
      </c>
      <c r="J6">
        <v>600</v>
      </c>
      <c r="K6">
        <v>100</v>
      </c>
      <c r="L6">
        <v>48</v>
      </c>
      <c r="M6">
        <v>67</v>
      </c>
      <c r="N6">
        <v>11</v>
      </c>
      <c r="O6">
        <v>20</v>
      </c>
      <c r="P6">
        <v>2</v>
      </c>
      <c r="Q6" t="s">
        <v>568</v>
      </c>
      <c r="R6">
        <v>2</v>
      </c>
      <c r="S6">
        <v>400</v>
      </c>
      <c r="T6">
        <v>2</v>
      </c>
      <c r="U6">
        <v>10</v>
      </c>
      <c r="V6">
        <v>460</v>
      </c>
      <c r="W6">
        <v>6</v>
      </c>
      <c r="X6" t="s">
        <v>577</v>
      </c>
      <c r="Y6" s="16">
        <v>130</v>
      </c>
      <c r="Z6">
        <v>76</v>
      </c>
      <c r="AA6" s="16">
        <v>1</v>
      </c>
      <c r="AB6" s="16">
        <v>8</v>
      </c>
    </row>
    <row r="7" spans="1:74" x14ac:dyDescent="0.25">
      <c r="A7" t="s">
        <v>19</v>
      </c>
      <c r="B7" t="s">
        <v>20</v>
      </c>
      <c r="C7">
        <v>116201125</v>
      </c>
      <c r="D7" t="str">
        <f t="shared" si="1"/>
        <v>Açar, Yahya Berkay-116201125</v>
      </c>
      <c r="E7" s="16">
        <v>13</v>
      </c>
      <c r="F7" s="16">
        <v>12.5</v>
      </c>
      <c r="G7" s="16">
        <v>12.4</v>
      </c>
      <c r="H7" s="16">
        <v>12</v>
      </c>
      <c r="I7">
        <v>4</v>
      </c>
      <c r="J7">
        <v>100</v>
      </c>
      <c r="K7">
        <v>170</v>
      </c>
      <c r="L7">
        <v>50</v>
      </c>
      <c r="M7">
        <v>66</v>
      </c>
      <c r="N7">
        <v>13</v>
      </c>
      <c r="O7">
        <v>30</v>
      </c>
      <c r="P7">
        <v>4</v>
      </c>
      <c r="Q7" t="s">
        <v>569</v>
      </c>
      <c r="R7">
        <v>3</v>
      </c>
      <c r="S7">
        <v>100</v>
      </c>
      <c r="T7">
        <v>1</v>
      </c>
      <c r="U7">
        <v>8</v>
      </c>
      <c r="V7">
        <v>560</v>
      </c>
      <c r="W7">
        <v>3</v>
      </c>
      <c r="X7" t="s">
        <v>578</v>
      </c>
      <c r="Y7" s="16">
        <v>230</v>
      </c>
      <c r="Z7">
        <v>46</v>
      </c>
      <c r="AA7" s="16">
        <v>3</v>
      </c>
      <c r="AB7" s="16">
        <v>15</v>
      </c>
    </row>
    <row r="8" spans="1:74" x14ac:dyDescent="0.25">
      <c r="A8" t="s">
        <v>21</v>
      </c>
      <c r="B8" t="s">
        <v>22</v>
      </c>
      <c r="C8">
        <v>114203035</v>
      </c>
      <c r="D8" t="str">
        <f t="shared" si="1"/>
        <v>Adıgüzel, Ali Şamil-114203035</v>
      </c>
      <c r="E8" s="16">
        <v>11</v>
      </c>
      <c r="F8" s="16">
        <v>10.5</v>
      </c>
      <c r="G8" s="16">
        <v>10.3</v>
      </c>
      <c r="H8" s="16">
        <v>10.100000000000001</v>
      </c>
      <c r="I8">
        <v>2</v>
      </c>
      <c r="J8">
        <v>700</v>
      </c>
      <c r="K8">
        <v>180</v>
      </c>
      <c r="L8">
        <v>52</v>
      </c>
      <c r="M8">
        <v>71</v>
      </c>
      <c r="N8">
        <v>11</v>
      </c>
      <c r="O8">
        <v>40</v>
      </c>
      <c r="P8">
        <v>2</v>
      </c>
      <c r="Q8" t="s">
        <v>568</v>
      </c>
      <c r="R8">
        <v>1</v>
      </c>
      <c r="S8">
        <v>300</v>
      </c>
      <c r="T8">
        <v>3</v>
      </c>
      <c r="U8">
        <v>15</v>
      </c>
      <c r="V8">
        <v>500</v>
      </c>
      <c r="W8">
        <v>4</v>
      </c>
      <c r="X8" t="s">
        <v>579</v>
      </c>
      <c r="Y8" s="16">
        <v>160</v>
      </c>
      <c r="Z8">
        <v>75</v>
      </c>
      <c r="AA8" s="16">
        <v>2</v>
      </c>
      <c r="AB8" s="16">
        <v>10</v>
      </c>
    </row>
    <row r="9" spans="1:74" x14ac:dyDescent="0.25">
      <c r="A9" t="s">
        <v>23</v>
      </c>
      <c r="B9" t="s">
        <v>24</v>
      </c>
      <c r="C9">
        <v>113201042</v>
      </c>
      <c r="D9" t="str">
        <f t="shared" si="1"/>
        <v>Aka, Elifsu Yüksel-113201042</v>
      </c>
      <c r="E9" s="16">
        <v>12</v>
      </c>
      <c r="F9" s="16">
        <v>11.5</v>
      </c>
      <c r="G9" s="16">
        <v>11</v>
      </c>
      <c r="H9" s="16">
        <v>10.6</v>
      </c>
      <c r="I9">
        <v>4</v>
      </c>
      <c r="J9">
        <v>200</v>
      </c>
      <c r="K9">
        <v>150</v>
      </c>
      <c r="L9">
        <v>47</v>
      </c>
      <c r="M9">
        <v>61</v>
      </c>
      <c r="N9">
        <v>15</v>
      </c>
      <c r="O9">
        <v>20</v>
      </c>
      <c r="P9">
        <v>2</v>
      </c>
      <c r="Q9" t="s">
        <v>568</v>
      </c>
      <c r="R9">
        <v>3</v>
      </c>
      <c r="S9">
        <v>400</v>
      </c>
      <c r="T9">
        <v>1</v>
      </c>
      <c r="U9">
        <v>8</v>
      </c>
      <c r="V9">
        <v>410</v>
      </c>
      <c r="W9">
        <v>4</v>
      </c>
      <c r="X9" t="s">
        <v>579</v>
      </c>
      <c r="Y9" s="16">
        <v>140</v>
      </c>
      <c r="Z9">
        <v>31</v>
      </c>
      <c r="AA9" s="16">
        <v>1</v>
      </c>
      <c r="AB9" s="16">
        <v>8</v>
      </c>
    </row>
    <row r="10" spans="1:74" x14ac:dyDescent="0.25">
      <c r="A10" t="s">
        <v>23</v>
      </c>
      <c r="B10" t="s">
        <v>25</v>
      </c>
      <c r="C10">
        <v>114204022</v>
      </c>
      <c r="D10" t="str">
        <f t="shared" si="1"/>
        <v>Aka, Kerem-114204022</v>
      </c>
      <c r="E10" s="16">
        <v>15</v>
      </c>
      <c r="F10" s="16">
        <v>14.6</v>
      </c>
      <c r="G10" s="16">
        <v>14.1</v>
      </c>
      <c r="H10" s="16">
        <v>14</v>
      </c>
      <c r="I10">
        <v>4</v>
      </c>
      <c r="J10">
        <v>100</v>
      </c>
      <c r="K10">
        <v>140</v>
      </c>
      <c r="L10">
        <v>51</v>
      </c>
      <c r="M10">
        <v>66</v>
      </c>
      <c r="N10">
        <v>13</v>
      </c>
      <c r="O10">
        <v>40</v>
      </c>
      <c r="P10">
        <v>4</v>
      </c>
      <c r="Q10" t="s">
        <v>569</v>
      </c>
      <c r="R10">
        <v>3</v>
      </c>
      <c r="S10">
        <v>200</v>
      </c>
      <c r="T10">
        <v>3</v>
      </c>
      <c r="U10">
        <v>15</v>
      </c>
      <c r="V10">
        <v>490</v>
      </c>
      <c r="W10">
        <v>6</v>
      </c>
      <c r="X10" t="s">
        <v>577</v>
      </c>
      <c r="Y10" s="16">
        <v>110</v>
      </c>
      <c r="Z10">
        <v>49</v>
      </c>
      <c r="AA10" s="16">
        <v>2</v>
      </c>
      <c r="AB10" s="16">
        <v>10</v>
      </c>
    </row>
    <row r="11" spans="1:74" x14ac:dyDescent="0.25">
      <c r="A11" t="s">
        <v>26</v>
      </c>
      <c r="B11" t="s">
        <v>27</v>
      </c>
      <c r="C11">
        <v>114202033</v>
      </c>
      <c r="D11" t="str">
        <f t="shared" si="1"/>
        <v>Akcan, Ömer Gökalp-114202033</v>
      </c>
      <c r="E11" s="16">
        <v>14</v>
      </c>
      <c r="F11" s="16">
        <v>13.6</v>
      </c>
      <c r="G11" s="16">
        <v>13.5</v>
      </c>
      <c r="H11" s="16">
        <v>13.4</v>
      </c>
      <c r="I11">
        <v>3</v>
      </c>
      <c r="J11">
        <v>600</v>
      </c>
      <c r="K11">
        <v>140</v>
      </c>
      <c r="L11">
        <v>51</v>
      </c>
      <c r="M11">
        <v>65</v>
      </c>
      <c r="N11">
        <v>15</v>
      </c>
      <c r="O11">
        <v>40</v>
      </c>
      <c r="P11">
        <v>3</v>
      </c>
      <c r="Q11" t="s">
        <v>570</v>
      </c>
      <c r="R11">
        <v>2</v>
      </c>
      <c r="S11">
        <v>100</v>
      </c>
      <c r="T11">
        <v>1</v>
      </c>
      <c r="U11">
        <v>8</v>
      </c>
      <c r="V11">
        <v>410</v>
      </c>
      <c r="W11">
        <v>3</v>
      </c>
      <c r="X11" t="s">
        <v>578</v>
      </c>
      <c r="Y11" s="16">
        <v>180</v>
      </c>
      <c r="Z11">
        <v>76</v>
      </c>
      <c r="AA11" s="16">
        <v>3</v>
      </c>
      <c r="AB11" s="16">
        <v>15</v>
      </c>
    </row>
    <row r="12" spans="1:74" x14ac:dyDescent="0.25">
      <c r="A12" t="s">
        <v>28</v>
      </c>
      <c r="B12" t="s">
        <v>29</v>
      </c>
      <c r="C12">
        <v>116203034</v>
      </c>
      <c r="D12" t="str">
        <f t="shared" si="1"/>
        <v>Akçöl, Emre-116203034</v>
      </c>
      <c r="E12" s="16">
        <v>15</v>
      </c>
      <c r="F12" s="16">
        <v>14.7</v>
      </c>
      <c r="G12" s="16">
        <v>14.399999999999999</v>
      </c>
      <c r="H12" s="16">
        <v>14.2</v>
      </c>
      <c r="I12">
        <v>2</v>
      </c>
      <c r="J12">
        <v>800</v>
      </c>
      <c r="K12">
        <v>90</v>
      </c>
      <c r="L12">
        <v>55</v>
      </c>
      <c r="M12">
        <v>66</v>
      </c>
      <c r="N12">
        <v>10</v>
      </c>
      <c r="O12">
        <v>30</v>
      </c>
      <c r="P12">
        <v>2</v>
      </c>
      <c r="Q12" t="s">
        <v>568</v>
      </c>
      <c r="R12">
        <v>1</v>
      </c>
      <c r="S12">
        <v>300</v>
      </c>
      <c r="T12">
        <v>2</v>
      </c>
      <c r="U12">
        <v>10</v>
      </c>
      <c r="V12">
        <v>600</v>
      </c>
      <c r="W12">
        <v>6</v>
      </c>
      <c r="X12" t="s">
        <v>577</v>
      </c>
      <c r="Y12" s="16">
        <v>130</v>
      </c>
      <c r="Z12">
        <v>80</v>
      </c>
      <c r="AA12" s="16">
        <v>2</v>
      </c>
      <c r="AB12" s="16">
        <v>10</v>
      </c>
    </row>
    <row r="13" spans="1:74" x14ac:dyDescent="0.25">
      <c r="A13" t="s">
        <v>30</v>
      </c>
      <c r="B13" t="s">
        <v>31</v>
      </c>
      <c r="C13">
        <v>114207019</v>
      </c>
      <c r="D13" t="str">
        <f t="shared" si="1"/>
        <v>Akdemir, Bora-114207019</v>
      </c>
      <c r="E13" s="16">
        <v>12</v>
      </c>
      <c r="F13" s="16">
        <v>11.8</v>
      </c>
      <c r="G13" s="16">
        <v>11.5</v>
      </c>
      <c r="H13" s="16">
        <v>11</v>
      </c>
      <c r="I13">
        <v>3</v>
      </c>
      <c r="J13">
        <v>300</v>
      </c>
      <c r="K13">
        <v>80</v>
      </c>
      <c r="L13">
        <v>40</v>
      </c>
      <c r="M13">
        <v>57</v>
      </c>
      <c r="N13">
        <v>10</v>
      </c>
      <c r="O13">
        <v>30</v>
      </c>
      <c r="P13">
        <v>2</v>
      </c>
      <c r="Q13" t="s">
        <v>568</v>
      </c>
      <c r="R13">
        <v>2</v>
      </c>
      <c r="S13">
        <v>200</v>
      </c>
      <c r="T13">
        <v>3</v>
      </c>
      <c r="U13">
        <v>15</v>
      </c>
      <c r="V13">
        <v>450</v>
      </c>
      <c r="W13">
        <v>5</v>
      </c>
      <c r="X13" t="s">
        <v>576</v>
      </c>
      <c r="Y13" s="16">
        <v>140</v>
      </c>
      <c r="Z13">
        <v>85</v>
      </c>
      <c r="AA13" s="16">
        <v>2</v>
      </c>
      <c r="AB13" s="16">
        <v>10</v>
      </c>
    </row>
    <row r="14" spans="1:74" x14ac:dyDescent="0.25">
      <c r="A14" t="s">
        <v>32</v>
      </c>
      <c r="B14" t="s">
        <v>33</v>
      </c>
      <c r="C14">
        <v>113204013</v>
      </c>
      <c r="D14" t="str">
        <f t="shared" si="1"/>
        <v>Akgül, Berk-113204013</v>
      </c>
      <c r="E14" s="16">
        <v>12</v>
      </c>
      <c r="F14" s="16">
        <v>11.9</v>
      </c>
      <c r="G14" s="16">
        <v>11.4</v>
      </c>
      <c r="H14" s="16">
        <v>11.3</v>
      </c>
      <c r="I14">
        <v>2</v>
      </c>
      <c r="J14">
        <v>600</v>
      </c>
      <c r="K14">
        <v>80</v>
      </c>
      <c r="L14">
        <v>54</v>
      </c>
      <c r="M14">
        <v>69</v>
      </c>
      <c r="N14">
        <v>10</v>
      </c>
      <c r="O14">
        <v>30</v>
      </c>
      <c r="P14">
        <v>3</v>
      </c>
      <c r="Q14" t="s">
        <v>570</v>
      </c>
      <c r="R14">
        <v>1</v>
      </c>
      <c r="S14">
        <v>300</v>
      </c>
      <c r="T14">
        <v>2</v>
      </c>
      <c r="U14">
        <v>10</v>
      </c>
      <c r="V14">
        <v>440</v>
      </c>
      <c r="W14">
        <v>6</v>
      </c>
      <c r="X14" t="s">
        <v>577</v>
      </c>
      <c r="Y14" s="16">
        <v>100</v>
      </c>
      <c r="Z14">
        <v>44</v>
      </c>
      <c r="AA14" s="16">
        <v>2</v>
      </c>
      <c r="AB14" s="16">
        <v>10</v>
      </c>
    </row>
    <row r="15" spans="1:74" x14ac:dyDescent="0.25">
      <c r="A15" t="s">
        <v>34</v>
      </c>
      <c r="B15" t="s">
        <v>35</v>
      </c>
      <c r="C15">
        <v>116201146</v>
      </c>
      <c r="D15" t="str">
        <f t="shared" si="1"/>
        <v>Akın, Hayriye-116201146</v>
      </c>
      <c r="E15" s="16">
        <v>13</v>
      </c>
      <c r="F15" s="16">
        <v>12.6</v>
      </c>
      <c r="G15" s="16">
        <v>12.2</v>
      </c>
      <c r="H15" s="16">
        <v>11.899999999999999</v>
      </c>
      <c r="I15">
        <v>4</v>
      </c>
      <c r="J15">
        <v>100</v>
      </c>
      <c r="K15">
        <v>100</v>
      </c>
      <c r="L15">
        <v>46</v>
      </c>
      <c r="M15">
        <v>62</v>
      </c>
      <c r="N15">
        <v>12</v>
      </c>
      <c r="O15">
        <v>40</v>
      </c>
      <c r="P15">
        <v>4</v>
      </c>
      <c r="Q15" t="s">
        <v>569</v>
      </c>
      <c r="R15">
        <v>3</v>
      </c>
      <c r="S15">
        <v>400</v>
      </c>
      <c r="T15">
        <v>2</v>
      </c>
      <c r="U15">
        <v>10</v>
      </c>
      <c r="V15">
        <v>570</v>
      </c>
      <c r="W15">
        <v>6</v>
      </c>
      <c r="X15" t="s">
        <v>577</v>
      </c>
      <c r="Y15" s="16">
        <v>130</v>
      </c>
      <c r="Z15">
        <v>87</v>
      </c>
      <c r="AA15" s="16">
        <v>2</v>
      </c>
      <c r="AB15" s="16">
        <v>10</v>
      </c>
    </row>
    <row r="16" spans="1:74" ht="15" customHeight="1" x14ac:dyDescent="0.25">
      <c r="A16" t="s">
        <v>36</v>
      </c>
      <c r="B16" t="s">
        <v>37</v>
      </c>
      <c r="C16">
        <v>115203016</v>
      </c>
      <c r="D16" t="str">
        <f t="shared" si="1"/>
        <v>Akol, Zeynep-115203016</v>
      </c>
      <c r="E16" s="16">
        <v>14</v>
      </c>
      <c r="F16" s="16">
        <v>13.6</v>
      </c>
      <c r="G16" s="16">
        <v>13.2</v>
      </c>
      <c r="H16" s="16">
        <v>13.1</v>
      </c>
      <c r="I16">
        <v>3</v>
      </c>
      <c r="J16">
        <v>400</v>
      </c>
      <c r="K16">
        <v>80</v>
      </c>
      <c r="L16">
        <v>54</v>
      </c>
      <c r="M16">
        <v>68</v>
      </c>
      <c r="N16">
        <v>11</v>
      </c>
      <c r="O16">
        <v>40</v>
      </c>
      <c r="P16">
        <v>4</v>
      </c>
      <c r="Q16" t="s">
        <v>569</v>
      </c>
      <c r="R16">
        <v>2</v>
      </c>
      <c r="S16">
        <v>100</v>
      </c>
      <c r="T16">
        <v>1</v>
      </c>
      <c r="U16">
        <v>8</v>
      </c>
      <c r="V16">
        <v>570</v>
      </c>
      <c r="W16">
        <v>3</v>
      </c>
      <c r="X16" t="s">
        <v>578</v>
      </c>
      <c r="Y16" s="16">
        <v>240</v>
      </c>
      <c r="Z16">
        <v>52</v>
      </c>
      <c r="AA16" s="16">
        <v>2</v>
      </c>
      <c r="AB16" s="16">
        <v>10</v>
      </c>
    </row>
    <row r="17" spans="1:28" ht="15" customHeight="1" x14ac:dyDescent="0.25">
      <c r="A17" t="s">
        <v>38</v>
      </c>
      <c r="B17" t="s">
        <v>39</v>
      </c>
      <c r="C17">
        <v>114204017</v>
      </c>
      <c r="D17" t="str">
        <f t="shared" si="1"/>
        <v>Aksüt, Şevket Mert-114204017</v>
      </c>
      <c r="E17" s="16">
        <v>15</v>
      </c>
      <c r="F17" s="16">
        <v>14.8</v>
      </c>
      <c r="G17" s="16">
        <v>14.5</v>
      </c>
      <c r="H17" s="16">
        <v>14.3</v>
      </c>
      <c r="I17">
        <v>3</v>
      </c>
      <c r="J17">
        <v>200</v>
      </c>
      <c r="K17">
        <v>110</v>
      </c>
      <c r="L17">
        <v>55</v>
      </c>
      <c r="M17">
        <v>66</v>
      </c>
      <c r="N17">
        <v>12</v>
      </c>
      <c r="O17">
        <v>30</v>
      </c>
      <c r="P17">
        <v>4</v>
      </c>
      <c r="Q17" t="s">
        <v>569</v>
      </c>
      <c r="R17">
        <v>2</v>
      </c>
      <c r="S17">
        <v>400</v>
      </c>
      <c r="T17">
        <v>1</v>
      </c>
      <c r="U17">
        <v>8</v>
      </c>
      <c r="V17">
        <v>440</v>
      </c>
      <c r="W17">
        <v>4</v>
      </c>
      <c r="X17" t="s">
        <v>579</v>
      </c>
      <c r="Y17" s="16">
        <v>150</v>
      </c>
      <c r="Z17">
        <v>79</v>
      </c>
      <c r="AA17" s="16">
        <v>3</v>
      </c>
      <c r="AB17" s="16">
        <v>15</v>
      </c>
    </row>
    <row r="18" spans="1:28" ht="15" customHeight="1" x14ac:dyDescent="0.25">
      <c r="A18" t="s">
        <v>40</v>
      </c>
      <c r="B18" t="s">
        <v>41</v>
      </c>
      <c r="C18">
        <v>116204064</v>
      </c>
      <c r="D18" t="str">
        <f t="shared" si="1"/>
        <v>Aktaş, Yılmaz Can-116204064</v>
      </c>
      <c r="E18" s="16">
        <v>14</v>
      </c>
      <c r="F18" s="16">
        <v>13.6</v>
      </c>
      <c r="G18" s="16">
        <v>13.299999999999999</v>
      </c>
      <c r="H18" s="16">
        <v>13.1</v>
      </c>
      <c r="I18">
        <v>2</v>
      </c>
      <c r="J18">
        <v>600</v>
      </c>
      <c r="K18">
        <v>90</v>
      </c>
      <c r="L18">
        <v>51</v>
      </c>
      <c r="M18">
        <v>65</v>
      </c>
      <c r="N18">
        <v>13</v>
      </c>
      <c r="O18">
        <v>20</v>
      </c>
      <c r="P18">
        <v>3</v>
      </c>
      <c r="Q18" t="s">
        <v>570</v>
      </c>
      <c r="R18">
        <v>1</v>
      </c>
      <c r="S18">
        <v>400</v>
      </c>
      <c r="T18">
        <v>1</v>
      </c>
      <c r="U18">
        <v>8</v>
      </c>
      <c r="V18">
        <v>550</v>
      </c>
      <c r="W18">
        <v>3</v>
      </c>
      <c r="X18" t="s">
        <v>578</v>
      </c>
      <c r="Y18" s="16">
        <v>210</v>
      </c>
      <c r="Z18">
        <v>90</v>
      </c>
      <c r="AA18" s="16">
        <v>2</v>
      </c>
      <c r="AB18" s="16">
        <v>10</v>
      </c>
    </row>
    <row r="19" spans="1:28" ht="15" customHeight="1" x14ac:dyDescent="0.25">
      <c r="A19" t="s">
        <v>42</v>
      </c>
      <c r="B19" t="s">
        <v>43</v>
      </c>
      <c r="C19">
        <v>115204006</v>
      </c>
      <c r="D19" t="str">
        <f t="shared" si="1"/>
        <v>Aktürk, Furkan-115204006</v>
      </c>
      <c r="E19" s="16">
        <v>15</v>
      </c>
      <c r="F19" s="16">
        <v>14.9</v>
      </c>
      <c r="G19" s="16">
        <v>14.700000000000001</v>
      </c>
      <c r="H19" s="16">
        <v>14.200000000000001</v>
      </c>
      <c r="I19">
        <v>4</v>
      </c>
      <c r="J19">
        <v>700</v>
      </c>
      <c r="K19">
        <v>80</v>
      </c>
      <c r="L19">
        <v>49</v>
      </c>
      <c r="M19">
        <v>64</v>
      </c>
      <c r="N19">
        <v>12</v>
      </c>
      <c r="O19">
        <v>40</v>
      </c>
      <c r="P19">
        <v>4</v>
      </c>
      <c r="Q19" t="s">
        <v>569</v>
      </c>
      <c r="R19">
        <v>3</v>
      </c>
      <c r="S19">
        <v>200</v>
      </c>
      <c r="T19">
        <v>1</v>
      </c>
      <c r="U19">
        <v>8</v>
      </c>
      <c r="V19">
        <v>450</v>
      </c>
      <c r="W19">
        <v>5</v>
      </c>
      <c r="X19" t="s">
        <v>576</v>
      </c>
      <c r="Y19" s="16">
        <v>120</v>
      </c>
      <c r="Z19">
        <v>35</v>
      </c>
      <c r="AA19" s="16">
        <v>1</v>
      </c>
      <c r="AB19" s="16">
        <v>8</v>
      </c>
    </row>
    <row r="20" spans="1:28" ht="15" customHeight="1" x14ac:dyDescent="0.25">
      <c r="A20" t="s">
        <v>44</v>
      </c>
      <c r="B20" t="s">
        <v>45</v>
      </c>
      <c r="C20">
        <v>114201049</v>
      </c>
      <c r="D20" t="str">
        <f t="shared" si="1"/>
        <v>Akülkü, İrem-114201049</v>
      </c>
      <c r="E20" s="16">
        <v>14</v>
      </c>
      <c r="F20" s="16">
        <v>13.9</v>
      </c>
      <c r="G20" s="16">
        <v>13.700000000000001</v>
      </c>
      <c r="H20" s="16">
        <v>13.500000000000002</v>
      </c>
      <c r="I20">
        <v>4</v>
      </c>
      <c r="J20">
        <v>200</v>
      </c>
      <c r="K20">
        <v>180</v>
      </c>
      <c r="L20">
        <v>44</v>
      </c>
      <c r="M20">
        <v>64</v>
      </c>
      <c r="N20">
        <v>10</v>
      </c>
      <c r="O20">
        <v>20</v>
      </c>
      <c r="P20">
        <v>2</v>
      </c>
      <c r="Q20" t="s">
        <v>568</v>
      </c>
      <c r="R20">
        <v>3</v>
      </c>
      <c r="S20">
        <v>100</v>
      </c>
      <c r="T20">
        <v>3</v>
      </c>
      <c r="U20">
        <v>15</v>
      </c>
      <c r="V20">
        <v>560</v>
      </c>
      <c r="W20">
        <v>3</v>
      </c>
      <c r="X20" t="s">
        <v>578</v>
      </c>
      <c r="Y20" s="16">
        <v>220</v>
      </c>
      <c r="Z20">
        <v>61</v>
      </c>
      <c r="AA20" s="16">
        <v>3</v>
      </c>
      <c r="AB20" s="16">
        <v>15</v>
      </c>
    </row>
    <row r="21" spans="1:28" ht="15" customHeight="1" x14ac:dyDescent="0.25">
      <c r="A21" t="s">
        <v>46</v>
      </c>
      <c r="B21" t="s">
        <v>47</v>
      </c>
      <c r="C21">
        <v>115203102</v>
      </c>
      <c r="D21" t="str">
        <f t="shared" si="1"/>
        <v>Akyüz, Uğur Barış-115203102</v>
      </c>
      <c r="E21" s="16">
        <v>15</v>
      </c>
      <c r="F21" s="16">
        <v>14.9</v>
      </c>
      <c r="G21" s="16">
        <v>14.5</v>
      </c>
      <c r="H21" s="16">
        <v>14.2</v>
      </c>
      <c r="I21">
        <v>2</v>
      </c>
      <c r="J21">
        <v>300</v>
      </c>
      <c r="K21">
        <v>170</v>
      </c>
      <c r="L21">
        <v>50</v>
      </c>
      <c r="M21">
        <v>63</v>
      </c>
      <c r="N21">
        <v>13</v>
      </c>
      <c r="O21">
        <v>40</v>
      </c>
      <c r="P21">
        <v>2</v>
      </c>
      <c r="Q21" t="s">
        <v>568</v>
      </c>
      <c r="R21">
        <v>1</v>
      </c>
      <c r="S21">
        <v>400</v>
      </c>
      <c r="T21">
        <v>1</v>
      </c>
      <c r="U21">
        <v>8</v>
      </c>
      <c r="V21">
        <v>410</v>
      </c>
      <c r="W21">
        <v>4</v>
      </c>
      <c r="X21" t="s">
        <v>579</v>
      </c>
      <c r="Y21" s="16">
        <v>140</v>
      </c>
      <c r="Z21">
        <v>41</v>
      </c>
      <c r="AA21" s="16">
        <v>3</v>
      </c>
      <c r="AB21" s="16">
        <v>15</v>
      </c>
    </row>
    <row r="22" spans="1:28" ht="15" customHeight="1" x14ac:dyDescent="0.25">
      <c r="A22" t="s">
        <v>48</v>
      </c>
      <c r="B22" t="s">
        <v>49</v>
      </c>
      <c r="C22">
        <v>116203011</v>
      </c>
      <c r="D22" t="str">
        <f t="shared" si="1"/>
        <v>Alazem, Sulaiman-116203011</v>
      </c>
      <c r="E22" s="16">
        <v>11</v>
      </c>
      <c r="F22" s="16">
        <v>10.7</v>
      </c>
      <c r="G22" s="16">
        <v>10.5</v>
      </c>
      <c r="H22" s="16">
        <v>10.3</v>
      </c>
      <c r="I22">
        <v>2</v>
      </c>
      <c r="J22">
        <v>400</v>
      </c>
      <c r="K22">
        <v>110</v>
      </c>
      <c r="L22">
        <v>46</v>
      </c>
      <c r="M22">
        <v>57</v>
      </c>
      <c r="N22">
        <v>10</v>
      </c>
      <c r="O22">
        <v>20</v>
      </c>
      <c r="P22">
        <v>4</v>
      </c>
      <c r="Q22" t="s">
        <v>569</v>
      </c>
      <c r="R22">
        <v>1</v>
      </c>
      <c r="S22">
        <v>300</v>
      </c>
      <c r="T22">
        <v>1</v>
      </c>
      <c r="U22">
        <v>8</v>
      </c>
      <c r="V22">
        <v>480</v>
      </c>
      <c r="W22">
        <v>3</v>
      </c>
      <c r="X22" t="s">
        <v>578</v>
      </c>
      <c r="Y22" s="16">
        <v>210</v>
      </c>
      <c r="Z22">
        <v>88</v>
      </c>
      <c r="AA22" s="16">
        <v>3</v>
      </c>
      <c r="AB22" s="16">
        <v>15</v>
      </c>
    </row>
    <row r="23" spans="1:28" ht="15" customHeight="1" x14ac:dyDescent="0.25">
      <c r="A23" t="s">
        <v>50</v>
      </c>
      <c r="B23" t="s">
        <v>51</v>
      </c>
      <c r="C23">
        <v>115203015</v>
      </c>
      <c r="D23" t="str">
        <f t="shared" si="1"/>
        <v>Alçın, Arınç-115203015</v>
      </c>
      <c r="E23" s="16">
        <v>13</v>
      </c>
      <c r="F23" s="16">
        <v>12.8</v>
      </c>
      <c r="G23" s="16">
        <v>12.3</v>
      </c>
      <c r="H23" s="16">
        <v>12.100000000000001</v>
      </c>
      <c r="I23">
        <v>3</v>
      </c>
      <c r="J23">
        <v>700</v>
      </c>
      <c r="K23">
        <v>130</v>
      </c>
      <c r="L23">
        <v>45</v>
      </c>
      <c r="M23">
        <v>63</v>
      </c>
      <c r="N23">
        <v>11</v>
      </c>
      <c r="O23">
        <v>30</v>
      </c>
      <c r="P23">
        <v>3</v>
      </c>
      <c r="Q23" t="s">
        <v>570</v>
      </c>
      <c r="R23">
        <v>2</v>
      </c>
      <c r="S23">
        <v>300</v>
      </c>
      <c r="T23">
        <v>3</v>
      </c>
      <c r="U23">
        <v>15</v>
      </c>
      <c r="V23">
        <v>410</v>
      </c>
      <c r="W23">
        <v>5</v>
      </c>
      <c r="X23" t="s">
        <v>576</v>
      </c>
      <c r="Y23" s="16">
        <v>110</v>
      </c>
      <c r="Z23">
        <v>31</v>
      </c>
      <c r="AA23" s="16">
        <v>1</v>
      </c>
      <c r="AB23" s="16">
        <v>8</v>
      </c>
    </row>
    <row r="24" spans="1:28" x14ac:dyDescent="0.25">
      <c r="A24" t="s">
        <v>52</v>
      </c>
      <c r="B24" t="s">
        <v>53</v>
      </c>
      <c r="C24">
        <v>116204004</v>
      </c>
      <c r="D24" t="str">
        <f t="shared" si="1"/>
        <v>AlHariri, Alaa Essam-116204004</v>
      </c>
      <c r="E24" s="16">
        <v>15</v>
      </c>
      <c r="F24" s="16">
        <v>14.8</v>
      </c>
      <c r="G24" s="16">
        <v>14.3</v>
      </c>
      <c r="H24" s="16">
        <v>13.8</v>
      </c>
      <c r="I24">
        <v>4</v>
      </c>
      <c r="J24">
        <v>900</v>
      </c>
      <c r="K24">
        <v>160</v>
      </c>
      <c r="L24">
        <v>48</v>
      </c>
      <c r="M24">
        <v>60</v>
      </c>
      <c r="N24">
        <v>10</v>
      </c>
      <c r="O24">
        <v>40</v>
      </c>
      <c r="P24">
        <v>2</v>
      </c>
      <c r="Q24" t="s">
        <v>568</v>
      </c>
      <c r="R24">
        <v>3</v>
      </c>
      <c r="S24">
        <v>200</v>
      </c>
      <c r="T24">
        <v>2</v>
      </c>
      <c r="U24">
        <v>10</v>
      </c>
      <c r="V24">
        <v>400</v>
      </c>
      <c r="W24">
        <v>4</v>
      </c>
      <c r="X24" t="s">
        <v>579</v>
      </c>
      <c r="Y24" s="16">
        <v>140</v>
      </c>
      <c r="Z24">
        <v>45</v>
      </c>
      <c r="AA24" s="16">
        <v>1</v>
      </c>
      <c r="AB24" s="16">
        <v>8</v>
      </c>
    </row>
    <row r="25" spans="1:28" x14ac:dyDescent="0.25">
      <c r="A25" t="s">
        <v>54</v>
      </c>
      <c r="B25" t="s">
        <v>55</v>
      </c>
      <c r="C25">
        <v>117203107</v>
      </c>
      <c r="D25" t="str">
        <f t="shared" si="1"/>
        <v>Aloush, Bashar-117203107</v>
      </c>
      <c r="E25" s="16">
        <v>14</v>
      </c>
      <c r="F25" s="16">
        <v>13.5</v>
      </c>
      <c r="G25" s="16">
        <v>13.2</v>
      </c>
      <c r="H25" s="16">
        <v>12.7</v>
      </c>
      <c r="I25">
        <v>2</v>
      </c>
      <c r="J25">
        <v>500</v>
      </c>
      <c r="K25">
        <v>160</v>
      </c>
      <c r="L25">
        <v>41</v>
      </c>
      <c r="M25">
        <v>56</v>
      </c>
      <c r="N25">
        <v>13</v>
      </c>
      <c r="O25">
        <v>30</v>
      </c>
      <c r="P25">
        <v>3</v>
      </c>
      <c r="Q25" t="s">
        <v>570</v>
      </c>
      <c r="R25">
        <v>1</v>
      </c>
      <c r="S25">
        <v>400</v>
      </c>
      <c r="T25">
        <v>2</v>
      </c>
      <c r="U25">
        <v>10</v>
      </c>
      <c r="V25">
        <v>580</v>
      </c>
      <c r="W25">
        <v>6</v>
      </c>
      <c r="X25" t="s">
        <v>577</v>
      </c>
      <c r="Y25" s="16">
        <v>150</v>
      </c>
      <c r="Z25">
        <v>58</v>
      </c>
      <c r="AA25" s="16">
        <v>2</v>
      </c>
      <c r="AB25" s="16">
        <v>10</v>
      </c>
    </row>
    <row r="26" spans="1:28" x14ac:dyDescent="0.25">
      <c r="A26" t="s">
        <v>56</v>
      </c>
      <c r="B26" t="s">
        <v>57</v>
      </c>
      <c r="C26">
        <v>115203120</v>
      </c>
      <c r="D26" t="str">
        <f t="shared" si="1"/>
        <v>Altahan, Mohammad-115203120</v>
      </c>
      <c r="E26" s="16">
        <v>11</v>
      </c>
      <c r="F26" s="16">
        <v>10.7</v>
      </c>
      <c r="G26" s="16">
        <v>10.6</v>
      </c>
      <c r="H26" s="16">
        <v>10.1</v>
      </c>
      <c r="I26">
        <v>3</v>
      </c>
      <c r="J26">
        <v>800</v>
      </c>
      <c r="K26">
        <v>80</v>
      </c>
      <c r="L26">
        <v>42</v>
      </c>
      <c r="M26">
        <v>55</v>
      </c>
      <c r="N26">
        <v>11</v>
      </c>
      <c r="O26">
        <v>40</v>
      </c>
      <c r="P26">
        <v>3</v>
      </c>
      <c r="Q26" t="s">
        <v>570</v>
      </c>
      <c r="R26">
        <v>2</v>
      </c>
      <c r="S26">
        <v>300</v>
      </c>
      <c r="T26">
        <v>3</v>
      </c>
      <c r="U26">
        <v>15</v>
      </c>
      <c r="V26">
        <v>430</v>
      </c>
      <c r="W26">
        <v>5</v>
      </c>
      <c r="X26" t="s">
        <v>576</v>
      </c>
      <c r="Y26" s="16">
        <v>120</v>
      </c>
      <c r="Z26">
        <v>48</v>
      </c>
      <c r="AA26" s="16">
        <v>2</v>
      </c>
      <c r="AB26" s="16">
        <v>10</v>
      </c>
    </row>
    <row r="27" spans="1:28" x14ac:dyDescent="0.25">
      <c r="A27" t="s">
        <v>58</v>
      </c>
      <c r="B27" t="s">
        <v>59</v>
      </c>
      <c r="C27">
        <v>115203024</v>
      </c>
      <c r="D27" t="str">
        <f t="shared" si="1"/>
        <v>Altuncu, Ekin Deren-115203024</v>
      </c>
      <c r="E27" s="16">
        <v>15</v>
      </c>
      <c r="F27" s="16">
        <v>14.9</v>
      </c>
      <c r="G27" s="16">
        <v>14.5</v>
      </c>
      <c r="H27" s="16">
        <v>14.4</v>
      </c>
      <c r="I27">
        <v>4</v>
      </c>
      <c r="J27">
        <v>800</v>
      </c>
      <c r="K27">
        <v>100</v>
      </c>
      <c r="L27">
        <v>45</v>
      </c>
      <c r="M27">
        <v>60</v>
      </c>
      <c r="N27">
        <v>12</v>
      </c>
      <c r="O27">
        <v>30</v>
      </c>
      <c r="P27">
        <v>4</v>
      </c>
      <c r="Q27" t="s">
        <v>569</v>
      </c>
      <c r="R27">
        <v>3</v>
      </c>
      <c r="S27">
        <v>200</v>
      </c>
      <c r="T27">
        <v>3</v>
      </c>
      <c r="U27">
        <v>15</v>
      </c>
      <c r="V27">
        <v>570</v>
      </c>
      <c r="W27">
        <v>4</v>
      </c>
      <c r="X27" t="s">
        <v>579</v>
      </c>
      <c r="Y27" s="16">
        <v>180</v>
      </c>
      <c r="Z27">
        <v>77</v>
      </c>
      <c r="AA27" s="16">
        <v>2</v>
      </c>
      <c r="AB27" s="16">
        <v>10</v>
      </c>
    </row>
    <row r="28" spans="1:28" x14ac:dyDescent="0.25">
      <c r="A28" t="s">
        <v>60</v>
      </c>
      <c r="B28" t="s">
        <v>61</v>
      </c>
      <c r="C28">
        <v>114201066</v>
      </c>
      <c r="D28" t="str">
        <f t="shared" si="1"/>
        <v>Amir, Rohama-114201066</v>
      </c>
      <c r="E28" s="16">
        <v>12</v>
      </c>
      <c r="F28" s="16">
        <v>11.9</v>
      </c>
      <c r="G28" s="16">
        <v>11.4</v>
      </c>
      <c r="H28" s="16">
        <v>10.9</v>
      </c>
      <c r="I28">
        <v>2</v>
      </c>
      <c r="J28">
        <v>100</v>
      </c>
      <c r="K28">
        <v>110</v>
      </c>
      <c r="L28">
        <v>53</v>
      </c>
      <c r="M28">
        <v>67</v>
      </c>
      <c r="N28">
        <v>15</v>
      </c>
      <c r="O28">
        <v>40</v>
      </c>
      <c r="P28">
        <v>4</v>
      </c>
      <c r="Q28" t="s">
        <v>569</v>
      </c>
      <c r="R28">
        <v>1</v>
      </c>
      <c r="S28">
        <v>200</v>
      </c>
      <c r="T28">
        <v>1</v>
      </c>
      <c r="U28">
        <v>8</v>
      </c>
      <c r="V28">
        <v>400</v>
      </c>
      <c r="W28">
        <v>4</v>
      </c>
      <c r="X28" t="s">
        <v>579</v>
      </c>
      <c r="Y28" s="16">
        <v>150</v>
      </c>
      <c r="Z28">
        <v>75</v>
      </c>
      <c r="AA28" s="16">
        <v>1</v>
      </c>
      <c r="AB28" s="16">
        <v>8</v>
      </c>
    </row>
    <row r="29" spans="1:28" x14ac:dyDescent="0.25">
      <c r="A29" t="s">
        <v>62</v>
      </c>
      <c r="B29" t="s">
        <v>63</v>
      </c>
      <c r="C29">
        <v>115203053</v>
      </c>
      <c r="D29" t="str">
        <f t="shared" si="1"/>
        <v>Aras, Duygu-115203053</v>
      </c>
      <c r="E29" s="16">
        <v>11</v>
      </c>
      <c r="F29" s="16">
        <v>10.6</v>
      </c>
      <c r="G29" s="16">
        <v>10.5</v>
      </c>
      <c r="H29" s="16">
        <v>10</v>
      </c>
      <c r="I29">
        <v>3</v>
      </c>
      <c r="J29">
        <v>100</v>
      </c>
      <c r="K29">
        <v>160</v>
      </c>
      <c r="L29">
        <v>48</v>
      </c>
      <c r="M29">
        <v>68</v>
      </c>
      <c r="N29">
        <v>14</v>
      </c>
      <c r="O29">
        <v>30</v>
      </c>
      <c r="P29">
        <v>4</v>
      </c>
      <c r="Q29" t="s">
        <v>569</v>
      </c>
      <c r="R29">
        <v>2</v>
      </c>
      <c r="S29">
        <v>200</v>
      </c>
      <c r="T29">
        <v>2</v>
      </c>
      <c r="U29">
        <v>10</v>
      </c>
      <c r="V29">
        <v>440</v>
      </c>
      <c r="W29">
        <v>5</v>
      </c>
      <c r="X29" t="s">
        <v>576</v>
      </c>
      <c r="Y29" s="16">
        <v>140</v>
      </c>
      <c r="Z29">
        <v>74</v>
      </c>
      <c r="AA29" s="16">
        <v>1</v>
      </c>
      <c r="AB29" s="16">
        <v>8</v>
      </c>
    </row>
    <row r="30" spans="1:28" x14ac:dyDescent="0.25">
      <c r="A30" t="s">
        <v>64</v>
      </c>
      <c r="B30" t="s">
        <v>65</v>
      </c>
      <c r="C30">
        <v>115200048</v>
      </c>
      <c r="D30" t="str">
        <f t="shared" si="1"/>
        <v>Aren, Barış Doruk-115200048</v>
      </c>
      <c r="E30" s="16">
        <v>14</v>
      </c>
      <c r="F30" s="16">
        <v>13.9</v>
      </c>
      <c r="G30" s="16">
        <v>13.4</v>
      </c>
      <c r="H30" s="16">
        <v>13.1</v>
      </c>
      <c r="I30">
        <v>3</v>
      </c>
      <c r="J30">
        <v>500</v>
      </c>
      <c r="K30">
        <v>130</v>
      </c>
      <c r="L30">
        <v>50</v>
      </c>
      <c r="M30">
        <v>60</v>
      </c>
      <c r="N30">
        <v>14</v>
      </c>
      <c r="O30">
        <v>30</v>
      </c>
      <c r="P30">
        <v>3</v>
      </c>
      <c r="Q30" t="s">
        <v>570</v>
      </c>
      <c r="R30">
        <v>2</v>
      </c>
      <c r="S30">
        <v>400</v>
      </c>
      <c r="T30">
        <v>1</v>
      </c>
      <c r="U30">
        <v>8</v>
      </c>
      <c r="V30">
        <v>530</v>
      </c>
      <c r="W30">
        <v>3</v>
      </c>
      <c r="X30" t="s">
        <v>578</v>
      </c>
      <c r="Y30" s="16">
        <v>210</v>
      </c>
      <c r="Z30">
        <v>68</v>
      </c>
      <c r="AA30" s="16">
        <v>3</v>
      </c>
      <c r="AB30" s="16">
        <v>15</v>
      </c>
    </row>
    <row r="31" spans="1:28" x14ac:dyDescent="0.25">
      <c r="A31" t="s">
        <v>66</v>
      </c>
      <c r="B31" t="s">
        <v>67</v>
      </c>
      <c r="C31">
        <v>116204012</v>
      </c>
      <c r="D31" t="str">
        <f t="shared" si="1"/>
        <v>Arık, Koray-116204012</v>
      </c>
      <c r="E31" s="16">
        <v>12</v>
      </c>
      <c r="F31" s="16">
        <v>11.9</v>
      </c>
      <c r="G31" s="16">
        <v>11.4</v>
      </c>
      <c r="H31" s="16">
        <v>11</v>
      </c>
      <c r="I31">
        <v>2</v>
      </c>
      <c r="J31">
        <v>200</v>
      </c>
      <c r="K31">
        <v>160</v>
      </c>
      <c r="L31">
        <v>45</v>
      </c>
      <c r="M31">
        <v>55</v>
      </c>
      <c r="N31">
        <v>15</v>
      </c>
      <c r="O31">
        <v>30</v>
      </c>
      <c r="P31">
        <v>3</v>
      </c>
      <c r="Q31" t="s">
        <v>570</v>
      </c>
      <c r="R31">
        <v>1</v>
      </c>
      <c r="S31">
        <v>300</v>
      </c>
      <c r="T31">
        <v>3</v>
      </c>
      <c r="U31">
        <v>15</v>
      </c>
      <c r="V31">
        <v>540</v>
      </c>
      <c r="W31">
        <v>5</v>
      </c>
      <c r="X31" t="s">
        <v>576</v>
      </c>
      <c r="Y31" s="16">
        <v>140</v>
      </c>
      <c r="Z31">
        <v>89</v>
      </c>
      <c r="AA31" s="16">
        <v>2</v>
      </c>
      <c r="AB31" s="16">
        <v>10</v>
      </c>
    </row>
    <row r="32" spans="1:28" x14ac:dyDescent="0.25">
      <c r="A32" t="s">
        <v>68</v>
      </c>
      <c r="B32" t="s">
        <v>69</v>
      </c>
      <c r="C32">
        <v>115204049</v>
      </c>
      <c r="D32" t="str">
        <f t="shared" si="1"/>
        <v>Arslan, Beyza-115204049</v>
      </c>
      <c r="E32" s="16">
        <v>15</v>
      </c>
      <c r="F32" s="16">
        <v>14.9</v>
      </c>
      <c r="G32" s="16">
        <v>14.4</v>
      </c>
      <c r="H32" s="16">
        <v>14.3</v>
      </c>
      <c r="I32">
        <v>4</v>
      </c>
      <c r="J32">
        <v>500</v>
      </c>
      <c r="K32">
        <v>150</v>
      </c>
      <c r="L32">
        <v>42</v>
      </c>
      <c r="M32">
        <v>62</v>
      </c>
      <c r="N32">
        <v>14</v>
      </c>
      <c r="O32">
        <v>30</v>
      </c>
      <c r="P32">
        <v>4</v>
      </c>
      <c r="Q32" t="s">
        <v>569</v>
      </c>
      <c r="R32">
        <v>3</v>
      </c>
      <c r="S32">
        <v>200</v>
      </c>
      <c r="T32">
        <v>3</v>
      </c>
      <c r="U32">
        <v>15</v>
      </c>
      <c r="V32">
        <v>500</v>
      </c>
      <c r="W32">
        <v>5</v>
      </c>
      <c r="X32" t="s">
        <v>576</v>
      </c>
      <c r="Y32" s="16">
        <v>130</v>
      </c>
      <c r="Z32">
        <v>50</v>
      </c>
      <c r="AA32" s="16">
        <v>1</v>
      </c>
      <c r="AB32" s="16">
        <v>8</v>
      </c>
    </row>
    <row r="33" spans="1:28" x14ac:dyDescent="0.25">
      <c r="A33" t="s">
        <v>68</v>
      </c>
      <c r="B33" t="s">
        <v>70</v>
      </c>
      <c r="C33">
        <v>116204001</v>
      </c>
      <c r="D33" t="str">
        <f t="shared" si="1"/>
        <v>Arslan, Dara Deniz-116204001</v>
      </c>
      <c r="E33" s="16">
        <v>13</v>
      </c>
      <c r="F33" s="16">
        <v>12.5</v>
      </c>
      <c r="G33" s="16">
        <v>12</v>
      </c>
      <c r="H33" s="16">
        <v>11.7</v>
      </c>
      <c r="I33">
        <v>2</v>
      </c>
      <c r="J33">
        <v>600</v>
      </c>
      <c r="K33">
        <v>120</v>
      </c>
      <c r="L33">
        <v>53</v>
      </c>
      <c r="M33">
        <v>69</v>
      </c>
      <c r="N33">
        <v>12</v>
      </c>
      <c r="O33">
        <v>30</v>
      </c>
      <c r="P33">
        <v>2</v>
      </c>
      <c r="Q33" t="s">
        <v>568</v>
      </c>
      <c r="R33">
        <v>1</v>
      </c>
      <c r="S33">
        <v>200</v>
      </c>
      <c r="T33">
        <v>3</v>
      </c>
      <c r="U33">
        <v>15</v>
      </c>
      <c r="V33">
        <v>550</v>
      </c>
      <c r="W33">
        <v>4</v>
      </c>
      <c r="X33" t="s">
        <v>579</v>
      </c>
      <c r="Y33" s="16">
        <v>190</v>
      </c>
      <c r="Z33">
        <v>65</v>
      </c>
      <c r="AA33" s="16">
        <v>1</v>
      </c>
      <c r="AB33" s="16">
        <v>8</v>
      </c>
    </row>
    <row r="34" spans="1:28" x14ac:dyDescent="0.25">
      <c r="A34" t="s">
        <v>68</v>
      </c>
      <c r="B34" t="s">
        <v>71</v>
      </c>
      <c r="C34">
        <v>116203018</v>
      </c>
      <c r="D34" t="str">
        <f t="shared" si="1"/>
        <v>Arslan, Pelin-116203018</v>
      </c>
      <c r="E34" s="16">
        <v>12</v>
      </c>
      <c r="F34" s="16">
        <v>11.5</v>
      </c>
      <c r="G34" s="16">
        <v>11</v>
      </c>
      <c r="H34" s="16">
        <v>10.6</v>
      </c>
      <c r="I34">
        <v>4</v>
      </c>
      <c r="J34">
        <v>200</v>
      </c>
      <c r="K34">
        <v>180</v>
      </c>
      <c r="L34">
        <v>45</v>
      </c>
      <c r="M34">
        <v>65</v>
      </c>
      <c r="N34">
        <v>13</v>
      </c>
      <c r="O34">
        <v>30</v>
      </c>
      <c r="P34">
        <v>3</v>
      </c>
      <c r="Q34" t="s">
        <v>570</v>
      </c>
      <c r="R34">
        <v>3</v>
      </c>
      <c r="S34">
        <v>200</v>
      </c>
      <c r="T34">
        <v>1</v>
      </c>
      <c r="U34">
        <v>8</v>
      </c>
      <c r="V34">
        <v>560</v>
      </c>
      <c r="W34">
        <v>4</v>
      </c>
      <c r="X34" t="s">
        <v>579</v>
      </c>
      <c r="Y34" s="16">
        <v>190</v>
      </c>
      <c r="Z34">
        <v>76</v>
      </c>
      <c r="AA34" s="16">
        <v>1</v>
      </c>
      <c r="AB34" s="16">
        <v>8</v>
      </c>
    </row>
    <row r="35" spans="1:28" x14ac:dyDescent="0.25">
      <c r="A35" t="s">
        <v>72</v>
      </c>
      <c r="B35" t="s">
        <v>73</v>
      </c>
      <c r="C35">
        <v>116205079</v>
      </c>
      <c r="D35" t="str">
        <f t="shared" si="1"/>
        <v>Atalık, Berkay-116205079</v>
      </c>
      <c r="E35" s="16">
        <v>11</v>
      </c>
      <c r="F35" s="16">
        <v>10.8</v>
      </c>
      <c r="G35" s="16">
        <v>10.600000000000001</v>
      </c>
      <c r="H35" s="16">
        <v>10.200000000000001</v>
      </c>
      <c r="I35">
        <v>3</v>
      </c>
      <c r="J35">
        <v>500</v>
      </c>
      <c r="K35">
        <v>80</v>
      </c>
      <c r="L35">
        <v>50</v>
      </c>
      <c r="M35">
        <v>69</v>
      </c>
      <c r="N35">
        <v>11</v>
      </c>
      <c r="O35">
        <v>40</v>
      </c>
      <c r="P35">
        <v>4</v>
      </c>
      <c r="Q35" t="s">
        <v>569</v>
      </c>
      <c r="R35">
        <v>2</v>
      </c>
      <c r="S35">
        <v>100</v>
      </c>
      <c r="T35">
        <v>1</v>
      </c>
      <c r="U35">
        <v>8</v>
      </c>
      <c r="V35">
        <v>510</v>
      </c>
      <c r="W35">
        <v>3</v>
      </c>
      <c r="X35" t="s">
        <v>578</v>
      </c>
      <c r="Y35" s="16">
        <v>210</v>
      </c>
      <c r="Z35">
        <v>91</v>
      </c>
      <c r="AA35" s="16">
        <v>1</v>
      </c>
      <c r="AB35" s="16">
        <v>8</v>
      </c>
    </row>
    <row r="36" spans="1:28" x14ac:dyDescent="0.25">
      <c r="A36" t="s">
        <v>74</v>
      </c>
      <c r="B36" t="s">
        <v>75</v>
      </c>
      <c r="C36">
        <v>114206050</v>
      </c>
      <c r="D36" t="str">
        <f t="shared" si="1"/>
        <v>Atasoy, Pamir-114206050</v>
      </c>
      <c r="E36" s="16">
        <v>12</v>
      </c>
      <c r="F36" s="16">
        <v>11.9</v>
      </c>
      <c r="G36" s="16">
        <v>11.8</v>
      </c>
      <c r="H36" s="16">
        <v>11.600000000000001</v>
      </c>
      <c r="I36">
        <v>3</v>
      </c>
      <c r="J36">
        <v>400</v>
      </c>
      <c r="K36">
        <v>100</v>
      </c>
      <c r="L36">
        <v>44</v>
      </c>
      <c r="M36">
        <v>60</v>
      </c>
      <c r="N36">
        <v>11</v>
      </c>
      <c r="O36">
        <v>20</v>
      </c>
      <c r="P36">
        <v>4</v>
      </c>
      <c r="Q36" t="s">
        <v>569</v>
      </c>
      <c r="R36">
        <v>2</v>
      </c>
      <c r="S36">
        <v>200</v>
      </c>
      <c r="T36">
        <v>3</v>
      </c>
      <c r="U36">
        <v>15</v>
      </c>
      <c r="V36">
        <v>530</v>
      </c>
      <c r="W36">
        <v>4</v>
      </c>
      <c r="X36" t="s">
        <v>579</v>
      </c>
      <c r="Y36" s="16">
        <v>160</v>
      </c>
      <c r="Z36">
        <v>88</v>
      </c>
      <c r="AA36" s="16">
        <v>2</v>
      </c>
      <c r="AB36" s="16">
        <v>10</v>
      </c>
    </row>
    <row r="37" spans="1:28" x14ac:dyDescent="0.25">
      <c r="A37" t="s">
        <v>76</v>
      </c>
      <c r="B37" t="s">
        <v>77</v>
      </c>
      <c r="C37">
        <v>112202056</v>
      </c>
      <c r="D37" t="str">
        <f t="shared" si="1"/>
        <v>Avunç, Eren-112202056</v>
      </c>
      <c r="E37" s="16">
        <v>14</v>
      </c>
      <c r="F37" s="16">
        <v>13.7</v>
      </c>
      <c r="G37" s="16">
        <v>13.299999999999999</v>
      </c>
      <c r="H37" s="16">
        <v>13.1</v>
      </c>
      <c r="I37">
        <v>2</v>
      </c>
      <c r="J37">
        <v>200</v>
      </c>
      <c r="K37">
        <v>100</v>
      </c>
      <c r="L37">
        <v>49</v>
      </c>
      <c r="M37">
        <v>64</v>
      </c>
      <c r="N37">
        <v>12</v>
      </c>
      <c r="O37">
        <v>40</v>
      </c>
      <c r="P37">
        <v>2</v>
      </c>
      <c r="Q37" t="s">
        <v>568</v>
      </c>
      <c r="R37">
        <v>1</v>
      </c>
      <c r="S37">
        <v>400</v>
      </c>
      <c r="T37">
        <v>1</v>
      </c>
      <c r="U37">
        <v>8</v>
      </c>
      <c r="V37">
        <v>520</v>
      </c>
      <c r="W37">
        <v>6</v>
      </c>
      <c r="X37" t="s">
        <v>577</v>
      </c>
      <c r="Y37" s="16">
        <v>130</v>
      </c>
      <c r="Z37">
        <v>92</v>
      </c>
      <c r="AA37" s="16">
        <v>2</v>
      </c>
      <c r="AB37" s="16">
        <v>10</v>
      </c>
    </row>
    <row r="38" spans="1:28" x14ac:dyDescent="0.25">
      <c r="A38" t="s">
        <v>78</v>
      </c>
      <c r="B38" t="s">
        <v>79</v>
      </c>
      <c r="C38">
        <v>115204005</v>
      </c>
      <c r="D38" t="str">
        <f t="shared" si="1"/>
        <v>Ayar, Metin Can-115204005</v>
      </c>
      <c r="E38" s="16">
        <v>12</v>
      </c>
      <c r="F38" s="16">
        <v>11.7</v>
      </c>
      <c r="G38" s="16">
        <v>11.5</v>
      </c>
      <c r="H38" s="16">
        <v>11.3</v>
      </c>
      <c r="I38">
        <v>4</v>
      </c>
      <c r="J38">
        <v>500</v>
      </c>
      <c r="K38">
        <v>180</v>
      </c>
      <c r="L38">
        <v>50</v>
      </c>
      <c r="M38">
        <v>63</v>
      </c>
      <c r="N38">
        <v>15</v>
      </c>
      <c r="O38">
        <v>20</v>
      </c>
      <c r="P38">
        <v>2</v>
      </c>
      <c r="Q38" t="s">
        <v>568</v>
      </c>
      <c r="R38">
        <v>3</v>
      </c>
      <c r="S38">
        <v>100</v>
      </c>
      <c r="T38">
        <v>1</v>
      </c>
      <c r="U38">
        <v>8</v>
      </c>
      <c r="V38">
        <v>570</v>
      </c>
      <c r="W38">
        <v>6</v>
      </c>
      <c r="X38" t="s">
        <v>577</v>
      </c>
      <c r="Y38" s="16">
        <v>140</v>
      </c>
      <c r="Z38">
        <v>72</v>
      </c>
      <c r="AA38" s="16">
        <v>1</v>
      </c>
      <c r="AB38" s="16">
        <v>8</v>
      </c>
    </row>
    <row r="39" spans="1:28" x14ac:dyDescent="0.25">
      <c r="A39" t="s">
        <v>80</v>
      </c>
      <c r="B39" t="s">
        <v>81</v>
      </c>
      <c r="C39">
        <v>115202123</v>
      </c>
      <c r="D39" t="str">
        <f t="shared" si="1"/>
        <v>Aydın, Doğancan-115202123</v>
      </c>
      <c r="E39" s="16">
        <v>11</v>
      </c>
      <c r="F39" s="16">
        <v>10.9</v>
      </c>
      <c r="G39" s="16">
        <v>10.8</v>
      </c>
      <c r="H39" s="16">
        <v>10.700000000000001</v>
      </c>
      <c r="I39">
        <v>4</v>
      </c>
      <c r="J39">
        <v>100</v>
      </c>
      <c r="K39">
        <v>130</v>
      </c>
      <c r="L39">
        <v>42</v>
      </c>
      <c r="M39">
        <v>52</v>
      </c>
      <c r="N39">
        <v>13</v>
      </c>
      <c r="O39">
        <v>20</v>
      </c>
      <c r="P39">
        <v>2</v>
      </c>
      <c r="Q39" t="s">
        <v>568</v>
      </c>
      <c r="R39">
        <v>3</v>
      </c>
      <c r="S39">
        <v>200</v>
      </c>
      <c r="T39">
        <v>1</v>
      </c>
      <c r="U39">
        <v>8</v>
      </c>
      <c r="V39">
        <v>470</v>
      </c>
      <c r="W39">
        <v>4</v>
      </c>
      <c r="X39" t="s">
        <v>579</v>
      </c>
      <c r="Y39" s="16">
        <v>150</v>
      </c>
      <c r="Z39">
        <v>67</v>
      </c>
      <c r="AA39" s="16">
        <v>1</v>
      </c>
      <c r="AB39" s="16">
        <v>8</v>
      </c>
    </row>
    <row r="40" spans="1:28" x14ac:dyDescent="0.25">
      <c r="A40" t="s">
        <v>80</v>
      </c>
      <c r="B40" t="s">
        <v>82</v>
      </c>
      <c r="C40">
        <v>112205018</v>
      </c>
      <c r="D40" t="str">
        <f t="shared" si="1"/>
        <v>Aydın, Hamza-112205018</v>
      </c>
      <c r="E40" s="16">
        <v>13</v>
      </c>
      <c r="F40" s="16">
        <v>12.8</v>
      </c>
      <c r="G40" s="16">
        <v>12.700000000000001</v>
      </c>
      <c r="H40" s="16">
        <v>12.500000000000002</v>
      </c>
      <c r="I40">
        <v>3</v>
      </c>
      <c r="J40">
        <v>500</v>
      </c>
      <c r="K40">
        <v>140</v>
      </c>
      <c r="L40">
        <v>42</v>
      </c>
      <c r="M40">
        <v>53</v>
      </c>
      <c r="N40">
        <v>14</v>
      </c>
      <c r="O40">
        <v>40</v>
      </c>
      <c r="P40">
        <v>2</v>
      </c>
      <c r="Q40" t="s">
        <v>568</v>
      </c>
      <c r="R40">
        <v>2</v>
      </c>
      <c r="S40">
        <v>200</v>
      </c>
      <c r="T40">
        <v>1</v>
      </c>
      <c r="U40">
        <v>8</v>
      </c>
      <c r="V40">
        <v>510</v>
      </c>
      <c r="W40">
        <v>6</v>
      </c>
      <c r="X40" t="s">
        <v>577</v>
      </c>
      <c r="Y40" s="16">
        <v>120</v>
      </c>
      <c r="Z40">
        <v>76</v>
      </c>
      <c r="AA40" s="16">
        <v>1</v>
      </c>
      <c r="AB40" s="16">
        <v>8</v>
      </c>
    </row>
    <row r="41" spans="1:28" x14ac:dyDescent="0.25">
      <c r="A41" t="s">
        <v>80</v>
      </c>
      <c r="B41" t="s">
        <v>83</v>
      </c>
      <c r="C41">
        <v>113200075</v>
      </c>
      <c r="D41" t="str">
        <f t="shared" si="1"/>
        <v>Aydın, Munzur Onur-113200075</v>
      </c>
      <c r="E41" s="16">
        <v>11</v>
      </c>
      <c r="F41" s="16">
        <v>10.7</v>
      </c>
      <c r="G41" s="16">
        <v>10.199999999999999</v>
      </c>
      <c r="H41" s="16">
        <v>10.1</v>
      </c>
      <c r="I41">
        <v>3</v>
      </c>
      <c r="J41">
        <v>400</v>
      </c>
      <c r="K41">
        <v>180</v>
      </c>
      <c r="L41">
        <v>49</v>
      </c>
      <c r="M41">
        <v>68</v>
      </c>
      <c r="N41">
        <v>13</v>
      </c>
      <c r="O41">
        <v>20</v>
      </c>
      <c r="P41">
        <v>2</v>
      </c>
      <c r="Q41" t="s">
        <v>568</v>
      </c>
      <c r="R41">
        <v>2</v>
      </c>
      <c r="S41">
        <v>400</v>
      </c>
      <c r="T41">
        <v>1</v>
      </c>
      <c r="U41">
        <v>8</v>
      </c>
      <c r="V41">
        <v>550</v>
      </c>
      <c r="W41">
        <v>3</v>
      </c>
      <c r="X41" t="s">
        <v>578</v>
      </c>
      <c r="Y41" s="16">
        <v>230</v>
      </c>
      <c r="Z41">
        <v>60</v>
      </c>
      <c r="AA41" s="16">
        <v>3</v>
      </c>
      <c r="AB41" s="16">
        <v>15</v>
      </c>
    </row>
    <row r="42" spans="1:28" x14ac:dyDescent="0.25">
      <c r="A42" t="s">
        <v>84</v>
      </c>
      <c r="B42" t="s">
        <v>85</v>
      </c>
      <c r="C42">
        <v>115205018</v>
      </c>
      <c r="D42" t="str">
        <f t="shared" si="1"/>
        <v>Aydoğdu, Tolga-115205018</v>
      </c>
      <c r="E42" s="16">
        <v>13</v>
      </c>
      <c r="F42" s="16">
        <v>12.9</v>
      </c>
      <c r="G42" s="16">
        <v>12.8</v>
      </c>
      <c r="H42" s="16">
        <v>12.600000000000001</v>
      </c>
      <c r="I42">
        <v>3</v>
      </c>
      <c r="J42">
        <v>400</v>
      </c>
      <c r="K42">
        <v>100</v>
      </c>
      <c r="L42">
        <v>41</v>
      </c>
      <c r="M42">
        <v>58</v>
      </c>
      <c r="N42">
        <v>11</v>
      </c>
      <c r="O42">
        <v>30</v>
      </c>
      <c r="P42">
        <v>3</v>
      </c>
      <c r="Q42" t="s">
        <v>570</v>
      </c>
      <c r="R42">
        <v>2</v>
      </c>
      <c r="S42">
        <v>100</v>
      </c>
      <c r="T42">
        <v>2</v>
      </c>
      <c r="U42">
        <v>10</v>
      </c>
      <c r="V42">
        <v>400</v>
      </c>
      <c r="W42">
        <v>3</v>
      </c>
      <c r="X42" t="s">
        <v>578</v>
      </c>
      <c r="Y42" s="16">
        <v>180</v>
      </c>
      <c r="Z42">
        <v>40</v>
      </c>
      <c r="AA42" s="16">
        <v>3</v>
      </c>
      <c r="AB42" s="16">
        <v>15</v>
      </c>
    </row>
    <row r="43" spans="1:28" x14ac:dyDescent="0.25">
      <c r="A43" t="s">
        <v>86</v>
      </c>
      <c r="B43" t="s">
        <v>87</v>
      </c>
      <c r="C43">
        <v>115202018</v>
      </c>
      <c r="D43" t="str">
        <f t="shared" si="1"/>
        <v>Aytekin, Anıl Aydın-115202018</v>
      </c>
      <c r="E43" s="16">
        <v>11</v>
      </c>
      <c r="F43" s="16">
        <v>10.8</v>
      </c>
      <c r="G43" s="16">
        <v>10.700000000000001</v>
      </c>
      <c r="H43" s="16">
        <v>10.3</v>
      </c>
      <c r="I43">
        <v>2</v>
      </c>
      <c r="J43">
        <v>500</v>
      </c>
      <c r="K43">
        <v>100</v>
      </c>
      <c r="L43">
        <v>55</v>
      </c>
      <c r="M43">
        <v>70</v>
      </c>
      <c r="N43">
        <v>10</v>
      </c>
      <c r="O43">
        <v>40</v>
      </c>
      <c r="P43">
        <v>3</v>
      </c>
      <c r="Q43" t="s">
        <v>570</v>
      </c>
      <c r="R43">
        <v>1</v>
      </c>
      <c r="S43">
        <v>100</v>
      </c>
      <c r="T43">
        <v>2</v>
      </c>
      <c r="U43">
        <v>10</v>
      </c>
      <c r="V43">
        <v>410</v>
      </c>
      <c r="W43">
        <v>4</v>
      </c>
      <c r="X43" t="s">
        <v>579</v>
      </c>
      <c r="Y43" s="16">
        <v>130</v>
      </c>
      <c r="Z43">
        <v>66</v>
      </c>
      <c r="AA43" s="16">
        <v>1</v>
      </c>
      <c r="AB43" s="16">
        <v>8</v>
      </c>
    </row>
    <row r="44" spans="1:28" x14ac:dyDescent="0.25">
      <c r="A44" t="s">
        <v>88</v>
      </c>
      <c r="B44" t="s">
        <v>89</v>
      </c>
      <c r="C44">
        <v>116203201</v>
      </c>
      <c r="D44" t="str">
        <f t="shared" si="1"/>
        <v>Badr, Abdullah-116203201</v>
      </c>
      <c r="E44" s="16">
        <v>11</v>
      </c>
      <c r="F44" s="16">
        <v>10.5</v>
      </c>
      <c r="G44" s="16">
        <v>10.4</v>
      </c>
      <c r="H44" s="16">
        <v>10.1</v>
      </c>
      <c r="I44">
        <v>2</v>
      </c>
      <c r="J44">
        <v>600</v>
      </c>
      <c r="K44">
        <v>100</v>
      </c>
      <c r="L44">
        <v>53</v>
      </c>
      <c r="M44">
        <v>64</v>
      </c>
      <c r="N44">
        <v>14</v>
      </c>
      <c r="O44">
        <v>40</v>
      </c>
      <c r="P44">
        <v>3</v>
      </c>
      <c r="Q44" t="s">
        <v>570</v>
      </c>
      <c r="R44">
        <v>1</v>
      </c>
      <c r="S44">
        <v>400</v>
      </c>
      <c r="T44">
        <v>3</v>
      </c>
      <c r="U44">
        <v>15</v>
      </c>
      <c r="V44">
        <v>510</v>
      </c>
      <c r="W44">
        <v>3</v>
      </c>
      <c r="X44" t="s">
        <v>578</v>
      </c>
      <c r="Y44" s="16">
        <v>200</v>
      </c>
      <c r="Z44">
        <v>56</v>
      </c>
      <c r="AA44" s="16">
        <v>3</v>
      </c>
      <c r="AB44" s="16">
        <v>15</v>
      </c>
    </row>
    <row r="45" spans="1:28" x14ac:dyDescent="0.25">
      <c r="A45" t="s">
        <v>90</v>
      </c>
      <c r="B45" t="s">
        <v>91</v>
      </c>
      <c r="C45">
        <v>113201012</v>
      </c>
      <c r="D45" t="str">
        <f t="shared" si="1"/>
        <v>Bakanoğlu, Mehmet-113201012</v>
      </c>
      <c r="E45" s="16">
        <v>14</v>
      </c>
      <c r="F45" s="16">
        <v>13.9</v>
      </c>
      <c r="G45" s="16">
        <v>13.5</v>
      </c>
      <c r="H45" s="16">
        <v>13.1</v>
      </c>
      <c r="I45">
        <v>2</v>
      </c>
      <c r="J45">
        <v>500</v>
      </c>
      <c r="K45">
        <v>100</v>
      </c>
      <c r="L45">
        <v>53</v>
      </c>
      <c r="M45">
        <v>64</v>
      </c>
      <c r="N45">
        <v>15</v>
      </c>
      <c r="O45">
        <v>20</v>
      </c>
      <c r="P45">
        <v>4</v>
      </c>
      <c r="Q45" t="s">
        <v>569</v>
      </c>
      <c r="R45">
        <v>1</v>
      </c>
      <c r="S45">
        <v>300</v>
      </c>
      <c r="T45">
        <v>3</v>
      </c>
      <c r="U45">
        <v>15</v>
      </c>
      <c r="V45">
        <v>460</v>
      </c>
      <c r="W45">
        <v>4</v>
      </c>
      <c r="X45" t="s">
        <v>579</v>
      </c>
      <c r="Y45" s="16">
        <v>170</v>
      </c>
      <c r="Z45">
        <v>56</v>
      </c>
      <c r="AA45" s="16">
        <v>3</v>
      </c>
      <c r="AB45" s="16">
        <v>15</v>
      </c>
    </row>
    <row r="46" spans="1:28" x14ac:dyDescent="0.25">
      <c r="A46" t="s">
        <v>92</v>
      </c>
      <c r="B46" t="s">
        <v>43</v>
      </c>
      <c r="C46">
        <v>116200101</v>
      </c>
      <c r="D46" t="str">
        <f t="shared" si="1"/>
        <v>Balasar, Furkan-116200101</v>
      </c>
      <c r="E46" s="16">
        <v>13</v>
      </c>
      <c r="F46" s="16">
        <v>12.5</v>
      </c>
      <c r="G46" s="16">
        <v>12.3</v>
      </c>
      <c r="H46" s="16">
        <v>12.200000000000001</v>
      </c>
      <c r="I46">
        <v>2</v>
      </c>
      <c r="J46">
        <v>200</v>
      </c>
      <c r="K46">
        <v>150</v>
      </c>
      <c r="L46">
        <v>44</v>
      </c>
      <c r="M46">
        <v>58</v>
      </c>
      <c r="N46">
        <v>11</v>
      </c>
      <c r="O46">
        <v>40</v>
      </c>
      <c r="P46">
        <v>3</v>
      </c>
      <c r="Q46" t="s">
        <v>570</v>
      </c>
      <c r="R46">
        <v>1</v>
      </c>
      <c r="S46">
        <v>200</v>
      </c>
      <c r="T46">
        <v>3</v>
      </c>
      <c r="U46">
        <v>15</v>
      </c>
      <c r="V46">
        <v>530</v>
      </c>
      <c r="W46">
        <v>4</v>
      </c>
      <c r="X46" t="s">
        <v>579</v>
      </c>
      <c r="Y46" s="16">
        <v>180</v>
      </c>
      <c r="Z46">
        <v>68</v>
      </c>
      <c r="AA46" s="16">
        <v>3</v>
      </c>
      <c r="AB46" s="16">
        <v>15</v>
      </c>
    </row>
    <row r="47" spans="1:28" x14ac:dyDescent="0.25">
      <c r="A47" t="s">
        <v>93</v>
      </c>
      <c r="B47" t="s">
        <v>94</v>
      </c>
      <c r="C47">
        <v>115203051</v>
      </c>
      <c r="D47" t="str">
        <f t="shared" si="1"/>
        <v>Balay, Hakan-115203051</v>
      </c>
      <c r="E47" s="16">
        <v>12</v>
      </c>
      <c r="F47" s="16">
        <v>11.9</v>
      </c>
      <c r="G47" s="16">
        <v>11.8</v>
      </c>
      <c r="H47" s="16">
        <v>11.4</v>
      </c>
      <c r="I47">
        <v>2</v>
      </c>
      <c r="J47">
        <v>200</v>
      </c>
      <c r="K47">
        <v>80</v>
      </c>
      <c r="L47">
        <v>42</v>
      </c>
      <c r="M47">
        <v>57</v>
      </c>
      <c r="N47">
        <v>13</v>
      </c>
      <c r="O47">
        <v>30</v>
      </c>
      <c r="P47">
        <v>2</v>
      </c>
      <c r="Q47" t="s">
        <v>568</v>
      </c>
      <c r="R47">
        <v>1</v>
      </c>
      <c r="S47">
        <v>400</v>
      </c>
      <c r="T47">
        <v>1</v>
      </c>
      <c r="U47">
        <v>8</v>
      </c>
      <c r="V47">
        <v>540</v>
      </c>
      <c r="W47">
        <v>3</v>
      </c>
      <c r="X47" t="s">
        <v>578</v>
      </c>
      <c r="Y47" s="16">
        <v>220</v>
      </c>
      <c r="Z47">
        <v>79</v>
      </c>
      <c r="AA47" s="16">
        <v>2</v>
      </c>
      <c r="AB47" s="16">
        <v>10</v>
      </c>
    </row>
    <row r="48" spans="1:28" x14ac:dyDescent="0.25">
      <c r="A48" t="s">
        <v>95</v>
      </c>
      <c r="B48" t="s">
        <v>94</v>
      </c>
      <c r="C48">
        <v>114204044</v>
      </c>
      <c r="D48" t="str">
        <f t="shared" si="1"/>
        <v>Balcan, Hakan-114204044</v>
      </c>
      <c r="E48" s="16">
        <v>15</v>
      </c>
      <c r="F48" s="16">
        <v>14.5</v>
      </c>
      <c r="G48" s="16">
        <v>14.4</v>
      </c>
      <c r="H48" s="16">
        <v>14.200000000000001</v>
      </c>
      <c r="I48">
        <v>2</v>
      </c>
      <c r="J48">
        <v>300</v>
      </c>
      <c r="K48">
        <v>170</v>
      </c>
      <c r="L48">
        <v>49</v>
      </c>
      <c r="M48">
        <v>64</v>
      </c>
      <c r="N48">
        <v>13</v>
      </c>
      <c r="O48">
        <v>30</v>
      </c>
      <c r="P48">
        <v>4</v>
      </c>
      <c r="Q48" t="s">
        <v>569</v>
      </c>
      <c r="R48">
        <v>1</v>
      </c>
      <c r="S48">
        <v>300</v>
      </c>
      <c r="T48">
        <v>2</v>
      </c>
      <c r="U48">
        <v>10</v>
      </c>
      <c r="V48">
        <v>550</v>
      </c>
      <c r="W48">
        <v>5</v>
      </c>
      <c r="X48" t="s">
        <v>576</v>
      </c>
      <c r="Y48" s="16">
        <v>160</v>
      </c>
      <c r="Z48">
        <v>55</v>
      </c>
      <c r="AA48" s="16">
        <v>1</v>
      </c>
      <c r="AB48" s="16">
        <v>8</v>
      </c>
    </row>
    <row r="49" spans="1:28" x14ac:dyDescent="0.25">
      <c r="A49" t="s">
        <v>96</v>
      </c>
      <c r="B49" t="s">
        <v>97</v>
      </c>
      <c r="C49">
        <v>116203056</v>
      </c>
      <c r="D49" t="str">
        <f t="shared" si="1"/>
        <v>Balcı, Diyar-116203056</v>
      </c>
      <c r="E49" s="16">
        <v>15</v>
      </c>
      <c r="F49" s="16">
        <v>14.7</v>
      </c>
      <c r="G49" s="16">
        <v>14.6</v>
      </c>
      <c r="H49" s="16">
        <v>14.1</v>
      </c>
      <c r="I49">
        <v>4</v>
      </c>
      <c r="J49">
        <v>500</v>
      </c>
      <c r="K49">
        <v>80</v>
      </c>
      <c r="L49">
        <v>47</v>
      </c>
      <c r="M49">
        <v>62</v>
      </c>
      <c r="N49">
        <v>14</v>
      </c>
      <c r="O49">
        <v>40</v>
      </c>
      <c r="P49">
        <v>2</v>
      </c>
      <c r="Q49" t="s">
        <v>568</v>
      </c>
      <c r="R49">
        <v>3</v>
      </c>
      <c r="S49">
        <v>100</v>
      </c>
      <c r="T49">
        <v>1</v>
      </c>
      <c r="U49">
        <v>8</v>
      </c>
      <c r="V49">
        <v>500</v>
      </c>
      <c r="W49">
        <v>5</v>
      </c>
      <c r="X49" t="s">
        <v>576</v>
      </c>
      <c r="Y49" s="16">
        <v>150</v>
      </c>
      <c r="Z49">
        <v>70</v>
      </c>
      <c r="AA49" s="16">
        <v>1</v>
      </c>
      <c r="AB49" s="16">
        <v>8</v>
      </c>
    </row>
    <row r="50" spans="1:28" x14ac:dyDescent="0.25">
      <c r="A50" t="s">
        <v>96</v>
      </c>
      <c r="B50" t="s">
        <v>98</v>
      </c>
      <c r="C50">
        <v>115206048</v>
      </c>
      <c r="D50" t="str">
        <f t="shared" si="1"/>
        <v>Balcı, Erdem-115206048</v>
      </c>
      <c r="E50" s="16">
        <v>11</v>
      </c>
      <c r="F50" s="16">
        <v>10.8</v>
      </c>
      <c r="G50" s="16">
        <v>10.3</v>
      </c>
      <c r="H50" s="16">
        <v>9.8000000000000007</v>
      </c>
      <c r="I50">
        <v>4</v>
      </c>
      <c r="J50">
        <v>800</v>
      </c>
      <c r="K50">
        <v>100</v>
      </c>
      <c r="L50">
        <v>40</v>
      </c>
      <c r="M50">
        <v>57</v>
      </c>
      <c r="N50">
        <v>12</v>
      </c>
      <c r="O50">
        <v>40</v>
      </c>
      <c r="P50">
        <v>4</v>
      </c>
      <c r="Q50" t="s">
        <v>569</v>
      </c>
      <c r="R50">
        <v>3</v>
      </c>
      <c r="S50">
        <v>200</v>
      </c>
      <c r="T50">
        <v>2</v>
      </c>
      <c r="U50">
        <v>10</v>
      </c>
      <c r="V50">
        <v>500</v>
      </c>
      <c r="W50">
        <v>4</v>
      </c>
      <c r="X50" t="s">
        <v>579</v>
      </c>
      <c r="Y50" s="16">
        <v>170</v>
      </c>
      <c r="Z50">
        <v>50</v>
      </c>
      <c r="AA50" s="16">
        <v>2</v>
      </c>
      <c r="AB50" s="16">
        <v>10</v>
      </c>
    </row>
    <row r="51" spans="1:28" x14ac:dyDescent="0.25">
      <c r="A51" t="s">
        <v>99</v>
      </c>
      <c r="B51" t="s">
        <v>100</v>
      </c>
      <c r="C51">
        <v>115206066</v>
      </c>
      <c r="D51" t="str">
        <f t="shared" si="1"/>
        <v>Baran, Yasin-115206066</v>
      </c>
      <c r="E51" s="16">
        <v>13</v>
      </c>
      <c r="F51" s="16">
        <v>12.6</v>
      </c>
      <c r="G51" s="16">
        <v>12.5</v>
      </c>
      <c r="H51" s="16">
        <v>12.1</v>
      </c>
      <c r="I51">
        <v>2</v>
      </c>
      <c r="J51">
        <v>700</v>
      </c>
      <c r="K51">
        <v>80</v>
      </c>
      <c r="L51">
        <v>55</v>
      </c>
      <c r="M51">
        <v>73</v>
      </c>
      <c r="N51">
        <v>10</v>
      </c>
      <c r="O51">
        <v>20</v>
      </c>
      <c r="P51">
        <v>2</v>
      </c>
      <c r="Q51" t="s">
        <v>568</v>
      </c>
      <c r="R51">
        <v>1</v>
      </c>
      <c r="S51">
        <v>100</v>
      </c>
      <c r="T51">
        <v>3</v>
      </c>
      <c r="U51">
        <v>15</v>
      </c>
      <c r="V51">
        <v>570</v>
      </c>
      <c r="W51">
        <v>6</v>
      </c>
      <c r="X51" t="s">
        <v>577</v>
      </c>
      <c r="Y51" s="16">
        <v>130</v>
      </c>
      <c r="Z51">
        <v>57</v>
      </c>
      <c r="AA51" s="16">
        <v>1</v>
      </c>
      <c r="AB51" s="16">
        <v>8</v>
      </c>
    </row>
    <row r="52" spans="1:28" x14ac:dyDescent="0.25">
      <c r="A52" t="s">
        <v>101</v>
      </c>
      <c r="B52" t="s">
        <v>102</v>
      </c>
      <c r="C52">
        <v>113206042</v>
      </c>
      <c r="D52" t="str">
        <f t="shared" si="1"/>
        <v>Barut, Uğurcan-113206042</v>
      </c>
      <c r="E52" s="16">
        <v>13</v>
      </c>
      <c r="F52" s="16">
        <v>12.7</v>
      </c>
      <c r="G52" s="16">
        <v>12.299999999999999</v>
      </c>
      <c r="H52" s="16">
        <v>11.999999999999998</v>
      </c>
      <c r="I52">
        <v>2</v>
      </c>
      <c r="J52">
        <v>100</v>
      </c>
      <c r="K52">
        <v>100</v>
      </c>
      <c r="L52">
        <v>54</v>
      </c>
      <c r="M52">
        <v>72</v>
      </c>
      <c r="N52">
        <v>14</v>
      </c>
      <c r="O52">
        <v>30</v>
      </c>
      <c r="P52">
        <v>4</v>
      </c>
      <c r="Q52" t="s">
        <v>569</v>
      </c>
      <c r="R52">
        <v>1</v>
      </c>
      <c r="S52">
        <v>400</v>
      </c>
      <c r="T52">
        <v>1</v>
      </c>
      <c r="U52">
        <v>8</v>
      </c>
      <c r="V52">
        <v>400</v>
      </c>
      <c r="W52">
        <v>6</v>
      </c>
      <c r="X52" t="s">
        <v>577</v>
      </c>
      <c r="Y52" s="16">
        <v>110</v>
      </c>
      <c r="Z52">
        <v>70</v>
      </c>
      <c r="AA52" s="16">
        <v>1</v>
      </c>
      <c r="AB52" s="16">
        <v>8</v>
      </c>
    </row>
    <row r="53" spans="1:28" x14ac:dyDescent="0.25">
      <c r="A53" t="s">
        <v>103</v>
      </c>
      <c r="B53" t="s">
        <v>104</v>
      </c>
      <c r="C53">
        <v>115206036</v>
      </c>
      <c r="D53" t="str">
        <f t="shared" si="1"/>
        <v>Bayezid, Elif-115206036</v>
      </c>
      <c r="E53" s="16">
        <v>12</v>
      </c>
      <c r="F53" s="16">
        <v>11.8</v>
      </c>
      <c r="G53" s="16">
        <v>11.5</v>
      </c>
      <c r="H53" s="16">
        <v>11.4</v>
      </c>
      <c r="I53">
        <v>3</v>
      </c>
      <c r="J53">
        <v>600</v>
      </c>
      <c r="K53">
        <v>130</v>
      </c>
      <c r="L53">
        <v>52</v>
      </c>
      <c r="M53">
        <v>62</v>
      </c>
      <c r="N53">
        <v>12</v>
      </c>
      <c r="O53">
        <v>40</v>
      </c>
      <c r="P53">
        <v>4</v>
      </c>
      <c r="Q53" t="s">
        <v>569</v>
      </c>
      <c r="R53">
        <v>2</v>
      </c>
      <c r="S53">
        <v>200</v>
      </c>
      <c r="T53">
        <v>2</v>
      </c>
      <c r="U53">
        <v>10</v>
      </c>
      <c r="V53">
        <v>600</v>
      </c>
      <c r="W53">
        <v>6</v>
      </c>
      <c r="X53" t="s">
        <v>577</v>
      </c>
      <c r="Y53" s="16">
        <v>140</v>
      </c>
      <c r="Z53">
        <v>95</v>
      </c>
      <c r="AA53" s="16">
        <v>3</v>
      </c>
      <c r="AB53" s="16">
        <v>15</v>
      </c>
    </row>
    <row r="54" spans="1:28" x14ac:dyDescent="0.25">
      <c r="A54" t="s">
        <v>105</v>
      </c>
      <c r="B54" t="s">
        <v>106</v>
      </c>
      <c r="C54">
        <v>115204037</v>
      </c>
      <c r="D54" t="str">
        <f t="shared" si="1"/>
        <v>Baykal, Kemal-115204037</v>
      </c>
      <c r="E54" s="16">
        <v>14</v>
      </c>
      <c r="F54" s="16">
        <v>13.7</v>
      </c>
      <c r="G54" s="16">
        <v>13.2</v>
      </c>
      <c r="H54" s="16">
        <v>13</v>
      </c>
      <c r="I54">
        <v>2</v>
      </c>
      <c r="J54">
        <v>600</v>
      </c>
      <c r="K54">
        <v>120</v>
      </c>
      <c r="L54">
        <v>52</v>
      </c>
      <c r="M54">
        <v>64</v>
      </c>
      <c r="N54">
        <v>13</v>
      </c>
      <c r="O54">
        <v>30</v>
      </c>
      <c r="P54">
        <v>4</v>
      </c>
      <c r="Q54" t="s">
        <v>569</v>
      </c>
      <c r="R54">
        <v>1</v>
      </c>
      <c r="S54">
        <v>300</v>
      </c>
      <c r="T54">
        <v>3</v>
      </c>
      <c r="U54">
        <v>15</v>
      </c>
      <c r="V54">
        <v>540</v>
      </c>
      <c r="W54">
        <v>3</v>
      </c>
      <c r="X54" t="s">
        <v>578</v>
      </c>
      <c r="Y54" s="16">
        <v>210</v>
      </c>
      <c r="Z54">
        <v>74</v>
      </c>
      <c r="AA54" s="16">
        <v>3</v>
      </c>
      <c r="AB54" s="16">
        <v>15</v>
      </c>
    </row>
    <row r="55" spans="1:28" x14ac:dyDescent="0.25">
      <c r="A55" t="s">
        <v>107</v>
      </c>
      <c r="B55" t="s">
        <v>108</v>
      </c>
      <c r="C55">
        <v>115200043</v>
      </c>
      <c r="D55" t="str">
        <f t="shared" si="1"/>
        <v>Bayraktar, Ahmet Faruk-115200043</v>
      </c>
      <c r="E55" s="16">
        <v>14</v>
      </c>
      <c r="F55" s="16">
        <v>13.8</v>
      </c>
      <c r="G55" s="16">
        <v>13.4</v>
      </c>
      <c r="H55" s="16">
        <v>13</v>
      </c>
      <c r="I55">
        <v>3</v>
      </c>
      <c r="J55">
        <v>600</v>
      </c>
      <c r="K55">
        <v>170</v>
      </c>
      <c r="L55">
        <v>46</v>
      </c>
      <c r="M55">
        <v>61</v>
      </c>
      <c r="N55">
        <v>11</v>
      </c>
      <c r="O55">
        <v>30</v>
      </c>
      <c r="P55">
        <v>4</v>
      </c>
      <c r="Q55" t="s">
        <v>569</v>
      </c>
      <c r="R55">
        <v>2</v>
      </c>
      <c r="S55">
        <v>300</v>
      </c>
      <c r="T55">
        <v>2</v>
      </c>
      <c r="U55">
        <v>10</v>
      </c>
      <c r="V55">
        <v>560</v>
      </c>
      <c r="W55">
        <v>6</v>
      </c>
      <c r="X55" t="s">
        <v>577</v>
      </c>
      <c r="Y55" s="16">
        <v>120</v>
      </c>
      <c r="Z55">
        <v>81</v>
      </c>
      <c r="AA55" s="16">
        <v>3</v>
      </c>
      <c r="AB55" s="16">
        <v>15</v>
      </c>
    </row>
    <row r="56" spans="1:28" x14ac:dyDescent="0.25">
      <c r="A56" t="s">
        <v>109</v>
      </c>
      <c r="B56" t="s">
        <v>73</v>
      </c>
      <c r="C56">
        <v>114202042</v>
      </c>
      <c r="D56" t="str">
        <f t="shared" si="1"/>
        <v>Bayram, Berkay-114202042</v>
      </c>
      <c r="E56" s="16">
        <v>15</v>
      </c>
      <c r="F56" s="16">
        <v>14.6</v>
      </c>
      <c r="G56" s="16">
        <v>14.5</v>
      </c>
      <c r="H56" s="16">
        <v>14.2</v>
      </c>
      <c r="I56">
        <v>4</v>
      </c>
      <c r="J56">
        <v>700</v>
      </c>
      <c r="K56">
        <v>180</v>
      </c>
      <c r="L56">
        <v>46</v>
      </c>
      <c r="M56">
        <v>56</v>
      </c>
      <c r="N56">
        <v>13</v>
      </c>
      <c r="O56">
        <v>30</v>
      </c>
      <c r="P56">
        <v>4</v>
      </c>
      <c r="Q56" t="s">
        <v>569</v>
      </c>
      <c r="R56">
        <v>3</v>
      </c>
      <c r="S56">
        <v>400</v>
      </c>
      <c r="T56">
        <v>2</v>
      </c>
      <c r="U56">
        <v>10</v>
      </c>
      <c r="V56">
        <v>440</v>
      </c>
      <c r="W56">
        <v>3</v>
      </c>
      <c r="X56" t="s">
        <v>578</v>
      </c>
      <c r="Y56" s="16">
        <v>200</v>
      </c>
      <c r="Z56">
        <v>64</v>
      </c>
      <c r="AA56" s="16">
        <v>1</v>
      </c>
      <c r="AB56" s="16">
        <v>8</v>
      </c>
    </row>
    <row r="57" spans="1:28" x14ac:dyDescent="0.25">
      <c r="A57" t="s">
        <v>109</v>
      </c>
      <c r="B57" t="s">
        <v>110</v>
      </c>
      <c r="C57">
        <v>115200129</v>
      </c>
      <c r="D57" t="str">
        <f t="shared" si="1"/>
        <v>Bayram, Oğuzhan-115200129</v>
      </c>
      <c r="E57" s="16">
        <v>14</v>
      </c>
      <c r="F57" s="16">
        <v>13.5</v>
      </c>
      <c r="G57" s="16">
        <v>13.1</v>
      </c>
      <c r="H57" s="16">
        <v>12.7</v>
      </c>
      <c r="I57">
        <v>4</v>
      </c>
      <c r="J57">
        <v>300</v>
      </c>
      <c r="K57">
        <v>90</v>
      </c>
      <c r="L57">
        <v>42</v>
      </c>
      <c r="M57">
        <v>54</v>
      </c>
      <c r="N57">
        <v>10</v>
      </c>
      <c r="O57">
        <v>30</v>
      </c>
      <c r="P57">
        <v>3</v>
      </c>
      <c r="Q57" t="s">
        <v>570</v>
      </c>
      <c r="R57">
        <v>3</v>
      </c>
      <c r="S57">
        <v>300</v>
      </c>
      <c r="T57">
        <v>3</v>
      </c>
      <c r="U57">
        <v>15</v>
      </c>
      <c r="V57">
        <v>470</v>
      </c>
      <c r="W57">
        <v>4</v>
      </c>
      <c r="X57" t="s">
        <v>579</v>
      </c>
      <c r="Y57" s="16">
        <v>170</v>
      </c>
      <c r="Z57">
        <v>52</v>
      </c>
      <c r="AA57" s="16">
        <v>3</v>
      </c>
      <c r="AB57" s="16">
        <v>15</v>
      </c>
    </row>
    <row r="58" spans="1:28" x14ac:dyDescent="0.25">
      <c r="A58" t="s">
        <v>111</v>
      </c>
      <c r="B58" t="s">
        <v>112</v>
      </c>
      <c r="C58">
        <v>115203084</v>
      </c>
      <c r="D58" t="str">
        <f t="shared" si="1"/>
        <v>Bennani Ziatni, Dilara-115203084</v>
      </c>
      <c r="E58" s="16">
        <v>13</v>
      </c>
      <c r="F58" s="16">
        <v>12.6</v>
      </c>
      <c r="G58" s="16">
        <v>12.4</v>
      </c>
      <c r="H58" s="16">
        <v>12</v>
      </c>
      <c r="I58">
        <v>2</v>
      </c>
      <c r="J58">
        <v>100</v>
      </c>
      <c r="K58">
        <v>80</v>
      </c>
      <c r="L58">
        <v>53</v>
      </c>
      <c r="M58">
        <v>66</v>
      </c>
      <c r="N58">
        <v>10</v>
      </c>
      <c r="O58">
        <v>30</v>
      </c>
      <c r="P58">
        <v>4</v>
      </c>
      <c r="Q58" t="s">
        <v>569</v>
      </c>
      <c r="R58">
        <v>1</v>
      </c>
      <c r="S58">
        <v>400</v>
      </c>
      <c r="T58">
        <v>2</v>
      </c>
      <c r="U58">
        <v>10</v>
      </c>
      <c r="V58">
        <v>440</v>
      </c>
      <c r="W58">
        <v>3</v>
      </c>
      <c r="X58" t="s">
        <v>578</v>
      </c>
      <c r="Y58" s="16">
        <v>180</v>
      </c>
      <c r="Z58">
        <v>69</v>
      </c>
      <c r="AA58" s="16">
        <v>2</v>
      </c>
      <c r="AB58" s="16">
        <v>10</v>
      </c>
    </row>
    <row r="59" spans="1:28" x14ac:dyDescent="0.25">
      <c r="A59" t="s">
        <v>115</v>
      </c>
      <c r="B59" t="s">
        <v>116</v>
      </c>
      <c r="C59">
        <v>115203052</v>
      </c>
      <c r="D59" t="str">
        <f t="shared" si="1"/>
        <v>Bici, Şeyda Nur-115203052</v>
      </c>
      <c r="E59" s="16">
        <v>12</v>
      </c>
      <c r="F59" s="16">
        <v>11.9</v>
      </c>
      <c r="G59" s="16">
        <v>11.8</v>
      </c>
      <c r="H59" s="16">
        <v>11.3</v>
      </c>
      <c r="I59">
        <v>2</v>
      </c>
      <c r="J59">
        <v>400</v>
      </c>
      <c r="K59">
        <v>80</v>
      </c>
      <c r="L59">
        <v>48</v>
      </c>
      <c r="M59">
        <v>62</v>
      </c>
      <c r="N59">
        <v>13</v>
      </c>
      <c r="O59">
        <v>40</v>
      </c>
      <c r="P59">
        <v>3</v>
      </c>
      <c r="Q59" t="s">
        <v>570</v>
      </c>
      <c r="R59">
        <v>1</v>
      </c>
      <c r="S59">
        <v>400</v>
      </c>
      <c r="T59">
        <v>2</v>
      </c>
      <c r="U59">
        <v>10</v>
      </c>
      <c r="V59">
        <v>550</v>
      </c>
      <c r="W59">
        <v>3</v>
      </c>
      <c r="X59" t="s">
        <v>578</v>
      </c>
      <c r="Y59" s="16">
        <v>210</v>
      </c>
      <c r="Z59">
        <v>65</v>
      </c>
      <c r="AA59" s="16">
        <v>1</v>
      </c>
      <c r="AB59" s="16">
        <v>8</v>
      </c>
    </row>
    <row r="60" spans="1:28" x14ac:dyDescent="0.25">
      <c r="A60" t="s">
        <v>113</v>
      </c>
      <c r="B60" t="s">
        <v>114</v>
      </c>
      <c r="C60">
        <v>116203164</v>
      </c>
      <c r="D60" t="str">
        <f t="shared" si="1"/>
        <v>Biçer, Senanur-116203164</v>
      </c>
      <c r="E60" s="16">
        <v>14</v>
      </c>
      <c r="F60" s="16">
        <v>13.5</v>
      </c>
      <c r="G60" s="16">
        <v>13.2</v>
      </c>
      <c r="H60" s="16">
        <v>12.799999999999999</v>
      </c>
      <c r="I60">
        <v>3</v>
      </c>
      <c r="J60">
        <v>600</v>
      </c>
      <c r="K60">
        <v>130</v>
      </c>
      <c r="L60">
        <v>40</v>
      </c>
      <c r="M60">
        <v>57</v>
      </c>
      <c r="N60">
        <v>11</v>
      </c>
      <c r="O60">
        <v>20</v>
      </c>
      <c r="P60">
        <v>2</v>
      </c>
      <c r="Q60" t="s">
        <v>568</v>
      </c>
      <c r="R60">
        <v>2</v>
      </c>
      <c r="S60">
        <v>300</v>
      </c>
      <c r="T60">
        <v>1</v>
      </c>
      <c r="U60">
        <v>8</v>
      </c>
      <c r="V60">
        <v>560</v>
      </c>
      <c r="W60">
        <v>6</v>
      </c>
      <c r="X60" t="s">
        <v>577</v>
      </c>
      <c r="Y60" s="16">
        <v>130</v>
      </c>
      <c r="Z60">
        <v>46</v>
      </c>
      <c r="AA60" s="16">
        <v>3</v>
      </c>
      <c r="AB60" s="16">
        <v>15</v>
      </c>
    </row>
    <row r="61" spans="1:28" x14ac:dyDescent="0.25">
      <c r="A61" t="s">
        <v>117</v>
      </c>
      <c r="B61" t="s">
        <v>118</v>
      </c>
      <c r="C61">
        <v>113205043</v>
      </c>
      <c r="D61" t="str">
        <f t="shared" si="1"/>
        <v>Birkalan, Barış Can-113205043</v>
      </c>
      <c r="E61" s="16">
        <v>12</v>
      </c>
      <c r="F61" s="16">
        <v>11.7</v>
      </c>
      <c r="G61" s="16">
        <v>11.5</v>
      </c>
      <c r="H61" s="16">
        <v>11.1</v>
      </c>
      <c r="I61">
        <v>4</v>
      </c>
      <c r="J61">
        <v>300</v>
      </c>
      <c r="K61">
        <v>130</v>
      </c>
      <c r="L61">
        <v>42</v>
      </c>
      <c r="M61">
        <v>57</v>
      </c>
      <c r="N61">
        <v>11</v>
      </c>
      <c r="O61">
        <v>40</v>
      </c>
      <c r="P61">
        <v>2</v>
      </c>
      <c r="Q61" t="s">
        <v>568</v>
      </c>
      <c r="R61">
        <v>3</v>
      </c>
      <c r="S61">
        <v>200</v>
      </c>
      <c r="T61">
        <v>3</v>
      </c>
      <c r="U61">
        <v>15</v>
      </c>
      <c r="V61">
        <v>570</v>
      </c>
      <c r="W61">
        <v>5</v>
      </c>
      <c r="X61" t="s">
        <v>576</v>
      </c>
      <c r="Y61" s="16">
        <v>140</v>
      </c>
      <c r="Z61">
        <v>97</v>
      </c>
      <c r="AA61" s="16">
        <v>1</v>
      </c>
      <c r="AB61" s="16">
        <v>8</v>
      </c>
    </row>
    <row r="62" spans="1:28" x14ac:dyDescent="0.25">
      <c r="A62" t="s">
        <v>119</v>
      </c>
      <c r="B62" t="s">
        <v>25</v>
      </c>
      <c r="C62">
        <v>114205026</v>
      </c>
      <c r="D62" t="str">
        <f t="shared" si="1"/>
        <v>Bozbaş, Kerem-114205026</v>
      </c>
      <c r="E62" s="16">
        <v>14</v>
      </c>
      <c r="F62" s="16">
        <v>13.9</v>
      </c>
      <c r="G62" s="16">
        <v>13.6</v>
      </c>
      <c r="H62" s="16">
        <v>13.299999999999999</v>
      </c>
      <c r="I62">
        <v>2</v>
      </c>
      <c r="J62">
        <v>100</v>
      </c>
      <c r="K62">
        <v>140</v>
      </c>
      <c r="L62">
        <v>42</v>
      </c>
      <c r="M62">
        <v>54</v>
      </c>
      <c r="N62">
        <v>15</v>
      </c>
      <c r="O62">
        <v>40</v>
      </c>
      <c r="P62">
        <v>4</v>
      </c>
      <c r="Q62" t="s">
        <v>569</v>
      </c>
      <c r="R62">
        <v>1</v>
      </c>
      <c r="S62">
        <v>200</v>
      </c>
      <c r="T62">
        <v>1</v>
      </c>
      <c r="U62">
        <v>8</v>
      </c>
      <c r="V62">
        <v>520</v>
      </c>
      <c r="W62">
        <v>6</v>
      </c>
      <c r="X62" t="s">
        <v>577</v>
      </c>
      <c r="Y62" s="16">
        <v>130</v>
      </c>
      <c r="Z62">
        <v>72</v>
      </c>
      <c r="AA62" s="16">
        <v>3</v>
      </c>
      <c r="AB62" s="16">
        <v>15</v>
      </c>
    </row>
    <row r="63" spans="1:28" x14ac:dyDescent="0.25">
      <c r="A63" t="s">
        <v>120</v>
      </c>
      <c r="B63" t="s">
        <v>121</v>
      </c>
      <c r="C63">
        <v>114200027</v>
      </c>
      <c r="D63" t="str">
        <f t="shared" si="1"/>
        <v>Bozkaya, Onur-114200027</v>
      </c>
      <c r="E63" s="16">
        <v>12</v>
      </c>
      <c r="F63" s="16">
        <v>11.7</v>
      </c>
      <c r="G63" s="16">
        <v>11.6</v>
      </c>
      <c r="H63" s="16">
        <v>11.5</v>
      </c>
      <c r="I63">
        <v>3</v>
      </c>
      <c r="J63">
        <v>100</v>
      </c>
      <c r="K63">
        <v>150</v>
      </c>
      <c r="L63">
        <v>45</v>
      </c>
      <c r="M63">
        <v>55</v>
      </c>
      <c r="N63">
        <v>10</v>
      </c>
      <c r="O63">
        <v>20</v>
      </c>
      <c r="P63">
        <v>2</v>
      </c>
      <c r="Q63" t="s">
        <v>568</v>
      </c>
      <c r="R63">
        <v>2</v>
      </c>
      <c r="S63">
        <v>100</v>
      </c>
      <c r="T63">
        <v>3</v>
      </c>
      <c r="U63">
        <v>15</v>
      </c>
      <c r="V63">
        <v>550</v>
      </c>
      <c r="W63">
        <v>4</v>
      </c>
      <c r="X63" t="s">
        <v>579</v>
      </c>
      <c r="Y63" s="16">
        <v>190</v>
      </c>
      <c r="Z63">
        <v>65</v>
      </c>
      <c r="AA63" s="16">
        <v>3</v>
      </c>
      <c r="AB63" s="16">
        <v>15</v>
      </c>
    </row>
    <row r="64" spans="1:28" x14ac:dyDescent="0.25">
      <c r="A64" t="s">
        <v>122</v>
      </c>
      <c r="B64" t="s">
        <v>123</v>
      </c>
      <c r="C64">
        <v>116200055</v>
      </c>
      <c r="D64" t="str">
        <f t="shared" si="1"/>
        <v>Bozkurt, Selin-116200055</v>
      </c>
      <c r="E64" s="16">
        <v>14</v>
      </c>
      <c r="F64" s="16">
        <v>13.7</v>
      </c>
      <c r="G64" s="16">
        <v>13.2</v>
      </c>
      <c r="H64" s="16">
        <v>13</v>
      </c>
      <c r="I64">
        <v>4</v>
      </c>
      <c r="J64">
        <v>100</v>
      </c>
      <c r="K64">
        <v>140</v>
      </c>
      <c r="L64">
        <v>45</v>
      </c>
      <c r="M64">
        <v>59</v>
      </c>
      <c r="N64">
        <v>13</v>
      </c>
      <c r="O64">
        <v>30</v>
      </c>
      <c r="P64">
        <v>3</v>
      </c>
      <c r="Q64" t="s">
        <v>570</v>
      </c>
      <c r="R64">
        <v>3</v>
      </c>
      <c r="S64">
        <v>200</v>
      </c>
      <c r="T64">
        <v>3</v>
      </c>
      <c r="U64">
        <v>15</v>
      </c>
      <c r="V64">
        <v>520</v>
      </c>
      <c r="W64">
        <v>6</v>
      </c>
      <c r="X64" t="s">
        <v>577</v>
      </c>
      <c r="Y64" s="16">
        <v>140</v>
      </c>
      <c r="Z64">
        <v>87</v>
      </c>
      <c r="AA64" s="16">
        <v>2</v>
      </c>
      <c r="AB64" s="16">
        <v>10</v>
      </c>
    </row>
    <row r="65" spans="1:28" x14ac:dyDescent="0.25">
      <c r="A65" t="s">
        <v>124</v>
      </c>
      <c r="B65" t="s">
        <v>91</v>
      </c>
      <c r="C65">
        <v>115203075</v>
      </c>
      <c r="D65" t="str">
        <f t="shared" si="1"/>
        <v>Budak, Mehmet-115203075</v>
      </c>
      <c r="E65" s="16">
        <v>15</v>
      </c>
      <c r="F65" s="16">
        <v>14.6</v>
      </c>
      <c r="G65" s="16">
        <v>14.299999999999999</v>
      </c>
      <c r="H65" s="16">
        <v>13.999999999999998</v>
      </c>
      <c r="I65">
        <v>4</v>
      </c>
      <c r="J65">
        <v>600</v>
      </c>
      <c r="K65">
        <v>110</v>
      </c>
      <c r="L65">
        <v>42</v>
      </c>
      <c r="M65">
        <v>57</v>
      </c>
      <c r="N65">
        <v>10</v>
      </c>
      <c r="O65">
        <v>30</v>
      </c>
      <c r="P65">
        <v>2</v>
      </c>
      <c r="Q65" t="s">
        <v>568</v>
      </c>
      <c r="R65">
        <v>3</v>
      </c>
      <c r="S65">
        <v>400</v>
      </c>
      <c r="T65">
        <v>2</v>
      </c>
      <c r="U65">
        <v>10</v>
      </c>
      <c r="V65">
        <v>570</v>
      </c>
      <c r="W65">
        <v>4</v>
      </c>
      <c r="X65" t="s">
        <v>579</v>
      </c>
      <c r="Y65" s="16">
        <v>180</v>
      </c>
      <c r="Z65">
        <v>52</v>
      </c>
      <c r="AA65" s="16">
        <v>1</v>
      </c>
      <c r="AB65" s="16">
        <v>8</v>
      </c>
    </row>
    <row r="66" spans="1:28" x14ac:dyDescent="0.25">
      <c r="A66" t="s">
        <v>125</v>
      </c>
      <c r="B66" t="s">
        <v>126</v>
      </c>
      <c r="C66">
        <v>115206025</v>
      </c>
      <c r="D66" t="str">
        <f t="shared" si="1"/>
        <v>Buğdaycı, Merihcan-115206025</v>
      </c>
      <c r="E66" s="16">
        <v>13</v>
      </c>
      <c r="F66" s="16">
        <v>12.8</v>
      </c>
      <c r="G66" s="16">
        <v>12.3</v>
      </c>
      <c r="H66" s="16">
        <v>12.200000000000001</v>
      </c>
      <c r="I66">
        <v>3</v>
      </c>
      <c r="J66">
        <v>800</v>
      </c>
      <c r="K66">
        <v>130</v>
      </c>
      <c r="L66">
        <v>51</v>
      </c>
      <c r="M66">
        <v>61</v>
      </c>
      <c r="N66">
        <v>10</v>
      </c>
      <c r="O66">
        <v>20</v>
      </c>
      <c r="P66">
        <v>4</v>
      </c>
      <c r="Q66" t="s">
        <v>569</v>
      </c>
      <c r="R66">
        <v>2</v>
      </c>
      <c r="S66">
        <v>300</v>
      </c>
      <c r="T66">
        <v>3</v>
      </c>
      <c r="U66">
        <v>15</v>
      </c>
      <c r="V66">
        <v>420</v>
      </c>
      <c r="W66">
        <v>4</v>
      </c>
      <c r="X66" t="s">
        <v>579</v>
      </c>
      <c r="Y66" s="16">
        <v>140</v>
      </c>
      <c r="Z66">
        <v>67</v>
      </c>
      <c r="AA66" s="16">
        <v>2</v>
      </c>
      <c r="AB66" s="16">
        <v>10</v>
      </c>
    </row>
    <row r="67" spans="1:28" x14ac:dyDescent="0.25">
      <c r="A67" t="s">
        <v>127</v>
      </c>
      <c r="B67" t="s">
        <v>128</v>
      </c>
      <c r="C67">
        <v>116203017</v>
      </c>
      <c r="D67" t="str">
        <f t="shared" si="1"/>
        <v>Büyüközkan, Alp-116203017</v>
      </c>
      <c r="E67" s="16">
        <v>11</v>
      </c>
      <c r="F67" s="16">
        <v>10.5</v>
      </c>
      <c r="G67" s="16">
        <v>10.4</v>
      </c>
      <c r="H67" s="16">
        <v>10.3</v>
      </c>
      <c r="I67">
        <v>4</v>
      </c>
      <c r="J67">
        <v>600</v>
      </c>
      <c r="K67">
        <v>90</v>
      </c>
      <c r="L67">
        <v>49</v>
      </c>
      <c r="M67">
        <v>66</v>
      </c>
      <c r="N67">
        <v>11</v>
      </c>
      <c r="O67">
        <v>30</v>
      </c>
      <c r="P67">
        <v>3</v>
      </c>
      <c r="Q67" t="s">
        <v>570</v>
      </c>
      <c r="R67">
        <v>3</v>
      </c>
      <c r="S67">
        <v>400</v>
      </c>
      <c r="T67">
        <v>3</v>
      </c>
      <c r="U67">
        <v>15</v>
      </c>
      <c r="V67">
        <v>600</v>
      </c>
      <c r="W67">
        <v>5</v>
      </c>
      <c r="X67" t="s">
        <v>576</v>
      </c>
      <c r="Y67" s="16">
        <v>170</v>
      </c>
      <c r="Z67">
        <v>50</v>
      </c>
      <c r="AA67" s="16">
        <v>2</v>
      </c>
      <c r="AB67" s="16">
        <v>10</v>
      </c>
    </row>
    <row r="68" spans="1:28" x14ac:dyDescent="0.25">
      <c r="A68" t="s">
        <v>145</v>
      </c>
      <c r="B68" t="s">
        <v>146</v>
      </c>
      <c r="C68">
        <v>114207006</v>
      </c>
      <c r="D68" t="str">
        <f t="shared" ref="D68:D131" si="2">A68&amp;", "&amp;B68&amp;"-"&amp;C68</f>
        <v>Cevizci, Semi-114207006</v>
      </c>
      <c r="E68" s="16">
        <v>14</v>
      </c>
      <c r="F68" s="16">
        <v>13.7</v>
      </c>
      <c r="G68" s="16">
        <v>13.2</v>
      </c>
      <c r="H68" s="16">
        <v>13</v>
      </c>
      <c r="I68">
        <v>4</v>
      </c>
      <c r="J68">
        <v>400</v>
      </c>
      <c r="K68">
        <v>80</v>
      </c>
      <c r="L68">
        <v>55</v>
      </c>
      <c r="M68">
        <v>70</v>
      </c>
      <c r="N68">
        <v>13</v>
      </c>
      <c r="O68">
        <v>40</v>
      </c>
      <c r="P68">
        <v>2</v>
      </c>
      <c r="Q68" t="s">
        <v>568</v>
      </c>
      <c r="R68">
        <v>3</v>
      </c>
      <c r="S68">
        <v>100</v>
      </c>
      <c r="T68">
        <v>1</v>
      </c>
      <c r="U68">
        <v>8</v>
      </c>
      <c r="V68">
        <v>510</v>
      </c>
      <c r="W68">
        <v>6</v>
      </c>
      <c r="X68" t="s">
        <v>577</v>
      </c>
      <c r="Y68" s="16">
        <v>140</v>
      </c>
      <c r="Z68">
        <v>66</v>
      </c>
      <c r="AA68" s="16">
        <v>2</v>
      </c>
      <c r="AB68" s="16">
        <v>10</v>
      </c>
    </row>
    <row r="69" spans="1:28" x14ac:dyDescent="0.25">
      <c r="A69" t="s">
        <v>147</v>
      </c>
      <c r="B69" t="s">
        <v>148</v>
      </c>
      <c r="C69">
        <v>116203190</v>
      </c>
      <c r="D69" t="str">
        <f t="shared" si="2"/>
        <v>Ceyhan, Efeaydın-116203190</v>
      </c>
      <c r="E69" s="16">
        <v>13</v>
      </c>
      <c r="F69" s="16">
        <v>12.8</v>
      </c>
      <c r="G69" s="16">
        <v>12.700000000000001</v>
      </c>
      <c r="H69" s="16">
        <v>12.600000000000001</v>
      </c>
      <c r="I69">
        <v>2</v>
      </c>
      <c r="J69">
        <v>300</v>
      </c>
      <c r="K69">
        <v>170</v>
      </c>
      <c r="L69">
        <v>49</v>
      </c>
      <c r="M69">
        <v>64</v>
      </c>
      <c r="N69">
        <v>13</v>
      </c>
      <c r="O69">
        <v>20</v>
      </c>
      <c r="P69">
        <v>3</v>
      </c>
      <c r="Q69" t="s">
        <v>570</v>
      </c>
      <c r="R69">
        <v>1</v>
      </c>
      <c r="S69">
        <v>100</v>
      </c>
      <c r="T69">
        <v>3</v>
      </c>
      <c r="U69">
        <v>15</v>
      </c>
      <c r="V69">
        <v>470</v>
      </c>
      <c r="W69">
        <v>3</v>
      </c>
      <c r="X69" t="s">
        <v>578</v>
      </c>
      <c r="Y69" s="16">
        <v>200</v>
      </c>
      <c r="Z69">
        <v>47</v>
      </c>
      <c r="AA69" s="16">
        <v>2</v>
      </c>
      <c r="AB69" s="16">
        <v>10</v>
      </c>
    </row>
    <row r="70" spans="1:28" x14ac:dyDescent="0.25">
      <c r="A70" t="s">
        <v>157</v>
      </c>
      <c r="B70" t="s">
        <v>158</v>
      </c>
      <c r="C70">
        <v>116205108</v>
      </c>
      <c r="D70" t="str">
        <f t="shared" si="2"/>
        <v>Coşgun, Metin-116205108</v>
      </c>
      <c r="E70" s="16">
        <v>15</v>
      </c>
      <c r="F70" s="16">
        <v>14.8</v>
      </c>
      <c r="G70" s="16">
        <v>14.4</v>
      </c>
      <c r="H70" s="16">
        <v>14.3</v>
      </c>
      <c r="I70">
        <v>4</v>
      </c>
      <c r="J70">
        <v>300</v>
      </c>
      <c r="K70">
        <v>80</v>
      </c>
      <c r="L70">
        <v>40</v>
      </c>
      <c r="M70">
        <v>53</v>
      </c>
      <c r="N70">
        <v>11</v>
      </c>
      <c r="O70">
        <v>40</v>
      </c>
      <c r="P70">
        <v>2</v>
      </c>
      <c r="Q70" t="s">
        <v>568</v>
      </c>
      <c r="R70">
        <v>3</v>
      </c>
      <c r="S70">
        <v>200</v>
      </c>
      <c r="T70">
        <v>1</v>
      </c>
      <c r="U70">
        <v>8</v>
      </c>
      <c r="V70">
        <v>400</v>
      </c>
      <c r="W70">
        <v>3</v>
      </c>
      <c r="X70" t="s">
        <v>578</v>
      </c>
      <c r="Y70" s="16">
        <v>160</v>
      </c>
      <c r="Z70">
        <v>45</v>
      </c>
      <c r="AA70" s="16">
        <v>2</v>
      </c>
      <c r="AB70" s="16">
        <v>10</v>
      </c>
    </row>
    <row r="71" spans="1:28" x14ac:dyDescent="0.25">
      <c r="A71" t="s">
        <v>159</v>
      </c>
      <c r="B71" t="s">
        <v>160</v>
      </c>
      <c r="C71">
        <v>115203035</v>
      </c>
      <c r="D71" t="str">
        <f t="shared" si="2"/>
        <v>Coşkun, Abdullah Berhan-115203035</v>
      </c>
      <c r="E71" s="16">
        <v>14</v>
      </c>
      <c r="F71" s="16">
        <v>13.6</v>
      </c>
      <c r="G71" s="16">
        <v>13.299999999999999</v>
      </c>
      <c r="H71" s="16">
        <v>12.899999999999999</v>
      </c>
      <c r="I71">
        <v>4</v>
      </c>
      <c r="J71">
        <v>300</v>
      </c>
      <c r="K71">
        <v>100</v>
      </c>
      <c r="L71">
        <v>53</v>
      </c>
      <c r="M71">
        <v>66</v>
      </c>
      <c r="N71">
        <v>10</v>
      </c>
      <c r="O71">
        <v>20</v>
      </c>
      <c r="P71">
        <v>3</v>
      </c>
      <c r="Q71" t="s">
        <v>570</v>
      </c>
      <c r="R71">
        <v>3</v>
      </c>
      <c r="S71">
        <v>100</v>
      </c>
      <c r="T71">
        <v>3</v>
      </c>
      <c r="U71">
        <v>15</v>
      </c>
      <c r="V71">
        <v>540</v>
      </c>
      <c r="W71">
        <v>5</v>
      </c>
      <c r="X71" t="s">
        <v>576</v>
      </c>
      <c r="Y71" s="16">
        <v>150</v>
      </c>
      <c r="Z71">
        <v>74</v>
      </c>
      <c r="AA71" s="16">
        <v>3</v>
      </c>
      <c r="AB71" s="16">
        <v>15</v>
      </c>
    </row>
    <row r="72" spans="1:28" x14ac:dyDescent="0.25">
      <c r="A72" t="s">
        <v>159</v>
      </c>
      <c r="B72" t="s">
        <v>45</v>
      </c>
      <c r="C72">
        <v>115203081</v>
      </c>
      <c r="D72" t="str">
        <f t="shared" si="2"/>
        <v>Coşkun, İrem-115203081</v>
      </c>
      <c r="E72" s="16">
        <v>14</v>
      </c>
      <c r="F72" s="16">
        <v>13.5</v>
      </c>
      <c r="G72" s="16">
        <v>13.3</v>
      </c>
      <c r="H72" s="16">
        <v>13.200000000000001</v>
      </c>
      <c r="I72">
        <v>2</v>
      </c>
      <c r="J72">
        <v>100</v>
      </c>
      <c r="K72">
        <v>160</v>
      </c>
      <c r="L72">
        <v>40</v>
      </c>
      <c r="M72">
        <v>55</v>
      </c>
      <c r="N72">
        <v>10</v>
      </c>
      <c r="O72">
        <v>30</v>
      </c>
      <c r="P72">
        <v>3</v>
      </c>
      <c r="Q72" t="s">
        <v>570</v>
      </c>
      <c r="R72">
        <v>1</v>
      </c>
      <c r="S72">
        <v>100</v>
      </c>
      <c r="T72">
        <v>2</v>
      </c>
      <c r="U72">
        <v>10</v>
      </c>
      <c r="V72">
        <v>570</v>
      </c>
      <c r="W72">
        <v>3</v>
      </c>
      <c r="X72" t="s">
        <v>578</v>
      </c>
      <c r="Y72" s="16">
        <v>230</v>
      </c>
      <c r="Z72">
        <v>77</v>
      </c>
      <c r="AA72" s="16">
        <v>3</v>
      </c>
      <c r="AB72" s="16">
        <v>15</v>
      </c>
    </row>
    <row r="73" spans="1:28" x14ac:dyDescent="0.25">
      <c r="A73" t="s">
        <v>159</v>
      </c>
      <c r="B73" t="s">
        <v>162</v>
      </c>
      <c r="C73">
        <v>115203036</v>
      </c>
      <c r="D73" t="str">
        <f t="shared" si="2"/>
        <v>Coşkun, Utku Özer-115203036</v>
      </c>
      <c r="E73" s="16">
        <v>15</v>
      </c>
      <c r="F73" s="16">
        <v>14.7</v>
      </c>
      <c r="G73" s="16">
        <v>14.2</v>
      </c>
      <c r="H73" s="16">
        <v>13.7</v>
      </c>
      <c r="I73">
        <v>4</v>
      </c>
      <c r="J73">
        <v>400</v>
      </c>
      <c r="K73">
        <v>90</v>
      </c>
      <c r="L73">
        <v>44</v>
      </c>
      <c r="M73">
        <v>57</v>
      </c>
      <c r="N73">
        <v>12</v>
      </c>
      <c r="O73">
        <v>30</v>
      </c>
      <c r="P73">
        <v>2</v>
      </c>
      <c r="Q73" t="s">
        <v>568</v>
      </c>
      <c r="R73">
        <v>3</v>
      </c>
      <c r="S73">
        <v>400</v>
      </c>
      <c r="T73">
        <v>3</v>
      </c>
      <c r="U73">
        <v>15</v>
      </c>
      <c r="V73">
        <v>580</v>
      </c>
      <c r="W73">
        <v>5</v>
      </c>
      <c r="X73" t="s">
        <v>576</v>
      </c>
      <c r="Y73" s="16">
        <v>150</v>
      </c>
      <c r="Z73">
        <v>83</v>
      </c>
      <c r="AA73" s="16">
        <v>2</v>
      </c>
      <c r="AB73" s="16">
        <v>10</v>
      </c>
    </row>
    <row r="74" spans="1:28" x14ac:dyDescent="0.25">
      <c r="A74" t="s">
        <v>159</v>
      </c>
      <c r="B74" t="s">
        <v>161</v>
      </c>
      <c r="C74">
        <v>116203208</v>
      </c>
      <c r="D74" t="str">
        <f t="shared" si="2"/>
        <v>Coşkun, Özgür-116203208</v>
      </c>
      <c r="E74" s="16">
        <v>12</v>
      </c>
      <c r="F74" s="16">
        <v>11.9</v>
      </c>
      <c r="G74" s="16">
        <v>11.8</v>
      </c>
      <c r="H74" s="16">
        <v>11.5</v>
      </c>
      <c r="I74">
        <v>3</v>
      </c>
      <c r="J74">
        <v>600</v>
      </c>
      <c r="K74">
        <v>180</v>
      </c>
      <c r="L74">
        <v>41</v>
      </c>
      <c r="M74">
        <v>53</v>
      </c>
      <c r="N74">
        <v>15</v>
      </c>
      <c r="O74">
        <v>30</v>
      </c>
      <c r="P74">
        <v>3</v>
      </c>
      <c r="Q74" t="s">
        <v>570</v>
      </c>
      <c r="R74">
        <v>2</v>
      </c>
      <c r="S74">
        <v>400</v>
      </c>
      <c r="T74">
        <v>1</v>
      </c>
      <c r="U74">
        <v>8</v>
      </c>
      <c r="V74">
        <v>480</v>
      </c>
      <c r="W74">
        <v>6</v>
      </c>
      <c r="X74" t="s">
        <v>577</v>
      </c>
      <c r="Y74" s="16">
        <v>110</v>
      </c>
      <c r="Z74">
        <v>53</v>
      </c>
      <c r="AA74" s="16">
        <v>2</v>
      </c>
      <c r="AB74" s="16">
        <v>10</v>
      </c>
    </row>
    <row r="75" spans="1:28" x14ac:dyDescent="0.25">
      <c r="A75" t="s">
        <v>169</v>
      </c>
      <c r="B75" t="s">
        <v>170</v>
      </c>
      <c r="C75">
        <v>116203036</v>
      </c>
      <c r="D75" t="str">
        <f t="shared" si="2"/>
        <v>Cürgül, Şelale Yaren-116203036</v>
      </c>
      <c r="E75" s="16">
        <v>11</v>
      </c>
      <c r="F75" s="16">
        <v>10.5</v>
      </c>
      <c r="G75" s="16">
        <v>10.1</v>
      </c>
      <c r="H75" s="16">
        <v>9.6999999999999993</v>
      </c>
      <c r="I75">
        <v>3</v>
      </c>
      <c r="J75">
        <v>100</v>
      </c>
      <c r="K75">
        <v>140</v>
      </c>
      <c r="L75">
        <v>43</v>
      </c>
      <c r="M75">
        <v>54</v>
      </c>
      <c r="N75">
        <v>10</v>
      </c>
      <c r="O75">
        <v>40</v>
      </c>
      <c r="P75">
        <v>3</v>
      </c>
      <c r="Q75" t="s">
        <v>570</v>
      </c>
      <c r="R75">
        <v>2</v>
      </c>
      <c r="S75">
        <v>200</v>
      </c>
      <c r="T75">
        <v>1</v>
      </c>
      <c r="U75">
        <v>8</v>
      </c>
      <c r="V75">
        <v>560</v>
      </c>
      <c r="W75">
        <v>6</v>
      </c>
      <c r="X75" t="s">
        <v>577</v>
      </c>
      <c r="Y75" s="16">
        <v>140</v>
      </c>
      <c r="Z75">
        <v>81</v>
      </c>
      <c r="AA75" s="16">
        <v>2</v>
      </c>
      <c r="AB75" s="16">
        <v>10</v>
      </c>
    </row>
    <row r="76" spans="1:28" x14ac:dyDescent="0.25">
      <c r="A76" t="s">
        <v>129</v>
      </c>
      <c r="B76" t="s">
        <v>130</v>
      </c>
      <c r="C76">
        <v>115203014</v>
      </c>
      <c r="D76" t="str">
        <f t="shared" si="2"/>
        <v>Çağlar, Mehmet Fatih-115203014</v>
      </c>
      <c r="E76" s="16">
        <v>15</v>
      </c>
      <c r="F76" s="16">
        <v>14.6</v>
      </c>
      <c r="G76" s="16">
        <v>14.299999999999999</v>
      </c>
      <c r="H76" s="16">
        <v>13.999999999999998</v>
      </c>
      <c r="I76">
        <v>4</v>
      </c>
      <c r="J76">
        <v>900</v>
      </c>
      <c r="K76">
        <v>80</v>
      </c>
      <c r="L76">
        <v>47</v>
      </c>
      <c r="M76">
        <v>58</v>
      </c>
      <c r="N76">
        <v>11</v>
      </c>
      <c r="O76">
        <v>30</v>
      </c>
      <c r="P76">
        <v>4</v>
      </c>
      <c r="Q76" t="s">
        <v>569</v>
      </c>
      <c r="R76">
        <v>3</v>
      </c>
      <c r="S76">
        <v>100</v>
      </c>
      <c r="T76">
        <v>1</v>
      </c>
      <c r="U76">
        <v>8</v>
      </c>
      <c r="V76">
        <v>480</v>
      </c>
      <c r="W76">
        <v>4</v>
      </c>
      <c r="X76" t="s">
        <v>579</v>
      </c>
      <c r="Y76" s="16">
        <v>160</v>
      </c>
      <c r="Z76">
        <v>43</v>
      </c>
      <c r="AA76" s="16">
        <v>1</v>
      </c>
      <c r="AB76" s="16">
        <v>8</v>
      </c>
    </row>
    <row r="77" spans="1:28" x14ac:dyDescent="0.25">
      <c r="A77" t="s">
        <v>131</v>
      </c>
      <c r="B77" t="s">
        <v>132</v>
      </c>
      <c r="C77">
        <v>114201012</v>
      </c>
      <c r="D77" t="str">
        <f t="shared" si="2"/>
        <v>Çakırsoy, Didem-114201012</v>
      </c>
      <c r="E77" s="16">
        <v>13</v>
      </c>
      <c r="F77" s="16">
        <v>12.8</v>
      </c>
      <c r="G77" s="16">
        <v>12.700000000000001</v>
      </c>
      <c r="H77" s="16">
        <v>12.600000000000001</v>
      </c>
      <c r="I77">
        <v>2</v>
      </c>
      <c r="J77">
        <v>600</v>
      </c>
      <c r="K77">
        <v>90</v>
      </c>
      <c r="L77">
        <v>45</v>
      </c>
      <c r="M77">
        <v>61</v>
      </c>
      <c r="N77">
        <v>11</v>
      </c>
      <c r="O77">
        <v>30</v>
      </c>
      <c r="P77">
        <v>2</v>
      </c>
      <c r="Q77" t="s">
        <v>568</v>
      </c>
      <c r="R77">
        <v>1</v>
      </c>
      <c r="S77">
        <v>400</v>
      </c>
      <c r="T77">
        <v>2</v>
      </c>
      <c r="U77">
        <v>10</v>
      </c>
      <c r="V77">
        <v>410</v>
      </c>
      <c r="W77">
        <v>5</v>
      </c>
      <c r="X77" t="s">
        <v>576</v>
      </c>
      <c r="Y77" s="16">
        <v>130</v>
      </c>
      <c r="Z77">
        <v>61</v>
      </c>
      <c r="AA77" s="16">
        <v>1</v>
      </c>
      <c r="AB77" s="16">
        <v>8</v>
      </c>
    </row>
    <row r="78" spans="1:28" x14ac:dyDescent="0.25">
      <c r="A78" t="s">
        <v>133</v>
      </c>
      <c r="B78" t="s">
        <v>134</v>
      </c>
      <c r="C78">
        <v>115204043</v>
      </c>
      <c r="D78" t="str">
        <f t="shared" si="2"/>
        <v>Çalışır, Eymen-115204043</v>
      </c>
      <c r="E78" s="16">
        <v>12</v>
      </c>
      <c r="F78" s="16">
        <v>11.5</v>
      </c>
      <c r="G78" s="16">
        <v>11.2</v>
      </c>
      <c r="H78" s="16">
        <v>10.799999999999999</v>
      </c>
      <c r="I78">
        <v>4</v>
      </c>
      <c r="J78">
        <v>800</v>
      </c>
      <c r="K78">
        <v>80</v>
      </c>
      <c r="L78">
        <v>51</v>
      </c>
      <c r="M78">
        <v>62</v>
      </c>
      <c r="N78">
        <v>15</v>
      </c>
      <c r="O78">
        <v>30</v>
      </c>
      <c r="P78">
        <v>2</v>
      </c>
      <c r="Q78" t="s">
        <v>568</v>
      </c>
      <c r="R78">
        <v>3</v>
      </c>
      <c r="S78">
        <v>200</v>
      </c>
      <c r="T78">
        <v>2</v>
      </c>
      <c r="U78">
        <v>10</v>
      </c>
      <c r="V78">
        <v>490</v>
      </c>
      <c r="W78">
        <v>3</v>
      </c>
      <c r="X78" t="s">
        <v>578</v>
      </c>
      <c r="Y78" s="16">
        <v>210</v>
      </c>
      <c r="Z78">
        <v>59</v>
      </c>
      <c r="AA78" s="16">
        <v>3</v>
      </c>
      <c r="AB78" s="16">
        <v>15</v>
      </c>
    </row>
    <row r="79" spans="1:28" x14ac:dyDescent="0.25">
      <c r="A79" t="s">
        <v>135</v>
      </c>
      <c r="B79" t="s">
        <v>136</v>
      </c>
      <c r="C79">
        <v>115203078</v>
      </c>
      <c r="D79" t="str">
        <f t="shared" si="2"/>
        <v>Çalışkan, Damla-115203078</v>
      </c>
      <c r="E79" s="16">
        <v>13</v>
      </c>
      <c r="F79" s="16">
        <v>12.6</v>
      </c>
      <c r="G79" s="16">
        <v>12.1</v>
      </c>
      <c r="H79" s="16">
        <v>11.799999999999999</v>
      </c>
      <c r="I79">
        <v>3</v>
      </c>
      <c r="J79">
        <v>300</v>
      </c>
      <c r="K79">
        <v>150</v>
      </c>
      <c r="L79">
        <v>42</v>
      </c>
      <c r="M79">
        <v>62</v>
      </c>
      <c r="N79">
        <v>13</v>
      </c>
      <c r="O79">
        <v>40</v>
      </c>
      <c r="P79">
        <v>4</v>
      </c>
      <c r="Q79" t="s">
        <v>569</v>
      </c>
      <c r="R79">
        <v>2</v>
      </c>
      <c r="S79">
        <v>100</v>
      </c>
      <c r="T79">
        <v>2</v>
      </c>
      <c r="U79">
        <v>10</v>
      </c>
      <c r="V79">
        <v>470</v>
      </c>
      <c r="W79">
        <v>6</v>
      </c>
      <c r="X79" t="s">
        <v>577</v>
      </c>
      <c r="Y79" s="16">
        <v>130</v>
      </c>
      <c r="Z79">
        <v>42</v>
      </c>
      <c r="AA79" s="16">
        <v>3</v>
      </c>
      <c r="AB79" s="16">
        <v>15</v>
      </c>
    </row>
    <row r="80" spans="1:28" x14ac:dyDescent="0.25">
      <c r="A80" t="s">
        <v>137</v>
      </c>
      <c r="B80" t="s">
        <v>138</v>
      </c>
      <c r="C80">
        <v>116203028</v>
      </c>
      <c r="D80" t="str">
        <f t="shared" si="2"/>
        <v>Çamlıbel, Berke-116203028</v>
      </c>
      <c r="E80" s="16">
        <v>12</v>
      </c>
      <c r="F80" s="16">
        <v>11.6</v>
      </c>
      <c r="G80" s="16">
        <v>11.299999999999999</v>
      </c>
      <c r="H80" s="16">
        <v>10.899999999999999</v>
      </c>
      <c r="I80">
        <v>2</v>
      </c>
      <c r="J80">
        <v>400</v>
      </c>
      <c r="K80">
        <v>130</v>
      </c>
      <c r="L80">
        <v>54</v>
      </c>
      <c r="M80">
        <v>64</v>
      </c>
      <c r="N80">
        <v>14</v>
      </c>
      <c r="O80">
        <v>30</v>
      </c>
      <c r="P80">
        <v>2</v>
      </c>
      <c r="Q80" t="s">
        <v>568</v>
      </c>
      <c r="R80">
        <v>1</v>
      </c>
      <c r="S80">
        <v>400</v>
      </c>
      <c r="T80">
        <v>3</v>
      </c>
      <c r="U80">
        <v>15</v>
      </c>
      <c r="V80">
        <v>440</v>
      </c>
      <c r="W80">
        <v>4</v>
      </c>
      <c r="X80" t="s">
        <v>579</v>
      </c>
      <c r="Y80" s="16">
        <v>140</v>
      </c>
      <c r="Z80">
        <v>34</v>
      </c>
      <c r="AA80" s="16">
        <v>1</v>
      </c>
      <c r="AB80" s="16">
        <v>8</v>
      </c>
    </row>
    <row r="81" spans="1:28" x14ac:dyDescent="0.25">
      <c r="A81" t="s">
        <v>139</v>
      </c>
      <c r="B81" t="s">
        <v>140</v>
      </c>
      <c r="C81">
        <v>113201023</v>
      </c>
      <c r="D81" t="str">
        <f t="shared" si="2"/>
        <v>Çatana, Banu Zeynep-113201023</v>
      </c>
      <c r="E81" s="16">
        <v>14</v>
      </c>
      <c r="F81" s="16">
        <v>13.8</v>
      </c>
      <c r="G81" s="16">
        <v>13.600000000000001</v>
      </c>
      <c r="H81" s="16">
        <v>13.3</v>
      </c>
      <c r="I81">
        <v>4</v>
      </c>
      <c r="J81">
        <v>500</v>
      </c>
      <c r="K81">
        <v>140</v>
      </c>
      <c r="L81">
        <v>41</v>
      </c>
      <c r="M81">
        <v>58</v>
      </c>
      <c r="N81">
        <v>15</v>
      </c>
      <c r="O81">
        <v>20</v>
      </c>
      <c r="P81">
        <v>3</v>
      </c>
      <c r="Q81" t="s">
        <v>570</v>
      </c>
      <c r="R81">
        <v>3</v>
      </c>
      <c r="S81">
        <v>400</v>
      </c>
      <c r="T81">
        <v>2</v>
      </c>
      <c r="U81">
        <v>10</v>
      </c>
      <c r="V81">
        <v>520</v>
      </c>
      <c r="W81">
        <v>6</v>
      </c>
      <c r="X81" t="s">
        <v>577</v>
      </c>
      <c r="Y81" s="16">
        <v>130</v>
      </c>
      <c r="Z81">
        <v>72</v>
      </c>
      <c r="AA81" s="16">
        <v>1</v>
      </c>
      <c r="AB81" s="16">
        <v>8</v>
      </c>
    </row>
    <row r="82" spans="1:28" x14ac:dyDescent="0.25">
      <c r="A82" t="s">
        <v>141</v>
      </c>
      <c r="B82" t="s">
        <v>142</v>
      </c>
      <c r="C82">
        <v>115204013</v>
      </c>
      <c r="D82" t="str">
        <f t="shared" si="2"/>
        <v>Çelebi, Jülide Müşerref-115204013</v>
      </c>
      <c r="E82" s="16">
        <v>12</v>
      </c>
      <c r="F82" s="16">
        <v>11.7</v>
      </c>
      <c r="G82" s="16">
        <v>11.399999999999999</v>
      </c>
      <c r="H82" s="16">
        <v>11.299999999999999</v>
      </c>
      <c r="I82">
        <v>3</v>
      </c>
      <c r="J82">
        <v>500</v>
      </c>
      <c r="K82">
        <v>90</v>
      </c>
      <c r="L82">
        <v>55</v>
      </c>
      <c r="M82">
        <v>73</v>
      </c>
      <c r="N82">
        <v>13</v>
      </c>
      <c r="O82">
        <v>20</v>
      </c>
      <c r="P82">
        <v>4</v>
      </c>
      <c r="Q82" t="s">
        <v>569</v>
      </c>
      <c r="R82">
        <v>2</v>
      </c>
      <c r="S82">
        <v>400</v>
      </c>
      <c r="T82">
        <v>3</v>
      </c>
      <c r="U82">
        <v>15</v>
      </c>
      <c r="V82">
        <v>420</v>
      </c>
      <c r="W82">
        <v>3</v>
      </c>
      <c r="X82" t="s">
        <v>578</v>
      </c>
      <c r="Y82" s="16">
        <v>180</v>
      </c>
      <c r="Z82">
        <v>62</v>
      </c>
      <c r="AA82" s="16">
        <v>3</v>
      </c>
      <c r="AB82" s="16">
        <v>15</v>
      </c>
    </row>
    <row r="83" spans="1:28" x14ac:dyDescent="0.25">
      <c r="A83" t="s">
        <v>143</v>
      </c>
      <c r="B83" t="s">
        <v>144</v>
      </c>
      <c r="C83">
        <v>114204029</v>
      </c>
      <c r="D83" t="str">
        <f t="shared" si="2"/>
        <v>Çelik, Ahmet Cansın-114204029</v>
      </c>
      <c r="E83" s="16">
        <v>12</v>
      </c>
      <c r="F83" s="16">
        <v>11.6</v>
      </c>
      <c r="G83" s="16">
        <v>11.299999999999999</v>
      </c>
      <c r="H83" s="16">
        <v>11.2</v>
      </c>
      <c r="I83">
        <v>3</v>
      </c>
      <c r="J83">
        <v>600</v>
      </c>
      <c r="K83">
        <v>170</v>
      </c>
      <c r="L83">
        <v>51</v>
      </c>
      <c r="M83">
        <v>68</v>
      </c>
      <c r="N83">
        <v>10</v>
      </c>
      <c r="O83">
        <v>30</v>
      </c>
      <c r="P83">
        <v>4</v>
      </c>
      <c r="Q83" t="s">
        <v>569</v>
      </c>
      <c r="R83">
        <v>2</v>
      </c>
      <c r="S83">
        <v>200</v>
      </c>
      <c r="T83">
        <v>1</v>
      </c>
      <c r="U83">
        <v>8</v>
      </c>
      <c r="V83">
        <v>490</v>
      </c>
      <c r="W83">
        <v>3</v>
      </c>
      <c r="X83" t="s">
        <v>578</v>
      </c>
      <c r="Y83" s="16">
        <v>210</v>
      </c>
      <c r="Z83">
        <v>69</v>
      </c>
      <c r="AA83" s="16">
        <v>3</v>
      </c>
      <c r="AB83" s="16">
        <v>15</v>
      </c>
    </row>
    <row r="84" spans="1:28" x14ac:dyDescent="0.25">
      <c r="A84" t="s">
        <v>151</v>
      </c>
      <c r="B84" t="s">
        <v>152</v>
      </c>
      <c r="C84">
        <v>115201061</v>
      </c>
      <c r="D84" t="str">
        <f t="shared" si="2"/>
        <v>Çınar, Ezgi-115201061</v>
      </c>
      <c r="E84" s="16">
        <v>11</v>
      </c>
      <c r="F84" s="16">
        <v>10.5</v>
      </c>
      <c r="G84" s="16">
        <v>10.3</v>
      </c>
      <c r="H84" s="16">
        <v>10.200000000000001</v>
      </c>
      <c r="I84">
        <v>3</v>
      </c>
      <c r="J84">
        <v>800</v>
      </c>
      <c r="K84">
        <v>160</v>
      </c>
      <c r="L84">
        <v>49</v>
      </c>
      <c r="M84">
        <v>61</v>
      </c>
      <c r="N84">
        <v>14</v>
      </c>
      <c r="O84">
        <v>20</v>
      </c>
      <c r="P84">
        <v>3</v>
      </c>
      <c r="Q84" t="s">
        <v>570</v>
      </c>
      <c r="R84">
        <v>2</v>
      </c>
      <c r="S84">
        <v>400</v>
      </c>
      <c r="T84">
        <v>1</v>
      </c>
      <c r="U84">
        <v>8</v>
      </c>
      <c r="V84">
        <v>470</v>
      </c>
      <c r="W84">
        <v>6</v>
      </c>
      <c r="X84" t="s">
        <v>577</v>
      </c>
      <c r="Y84" s="16">
        <v>110</v>
      </c>
      <c r="Z84">
        <v>47</v>
      </c>
      <c r="AA84" s="16">
        <v>2</v>
      </c>
      <c r="AB84" s="16">
        <v>10</v>
      </c>
    </row>
    <row r="85" spans="1:28" x14ac:dyDescent="0.25">
      <c r="A85" t="s">
        <v>151</v>
      </c>
      <c r="B85" t="s">
        <v>153</v>
      </c>
      <c r="C85">
        <v>115203031</v>
      </c>
      <c r="D85" t="str">
        <f t="shared" si="2"/>
        <v>Çınar, Ferhat Görkem-115203031</v>
      </c>
      <c r="E85" s="16">
        <v>13</v>
      </c>
      <c r="F85" s="16">
        <v>12.7</v>
      </c>
      <c r="G85" s="16">
        <v>12.6</v>
      </c>
      <c r="H85" s="16">
        <v>12.5</v>
      </c>
      <c r="I85">
        <v>2</v>
      </c>
      <c r="J85">
        <v>700</v>
      </c>
      <c r="K85">
        <v>120</v>
      </c>
      <c r="L85">
        <v>55</v>
      </c>
      <c r="M85">
        <v>68</v>
      </c>
      <c r="N85">
        <v>11</v>
      </c>
      <c r="O85">
        <v>40</v>
      </c>
      <c r="P85">
        <v>2</v>
      </c>
      <c r="Q85" t="s">
        <v>568</v>
      </c>
      <c r="R85">
        <v>1</v>
      </c>
      <c r="S85">
        <v>200</v>
      </c>
      <c r="T85">
        <v>3</v>
      </c>
      <c r="U85">
        <v>15</v>
      </c>
      <c r="V85">
        <v>520</v>
      </c>
      <c r="W85">
        <v>5</v>
      </c>
      <c r="X85" t="s">
        <v>576</v>
      </c>
      <c r="Y85" s="16">
        <v>140</v>
      </c>
      <c r="Z85">
        <v>77</v>
      </c>
      <c r="AA85" s="16">
        <v>2</v>
      </c>
      <c r="AB85" s="16">
        <v>10</v>
      </c>
    </row>
    <row r="86" spans="1:28" x14ac:dyDescent="0.25">
      <c r="A86" t="s">
        <v>154</v>
      </c>
      <c r="B86" t="s">
        <v>85</v>
      </c>
      <c r="C86">
        <v>115204065</v>
      </c>
      <c r="D86" t="str">
        <f t="shared" si="2"/>
        <v>Çıtır, Tolga-115204065</v>
      </c>
      <c r="E86" s="16">
        <v>13</v>
      </c>
      <c r="F86" s="16">
        <v>12.7</v>
      </c>
      <c r="G86" s="16">
        <v>12.6</v>
      </c>
      <c r="H86" s="16">
        <v>12.5</v>
      </c>
      <c r="I86">
        <v>4</v>
      </c>
      <c r="J86">
        <v>400</v>
      </c>
      <c r="K86">
        <v>90</v>
      </c>
      <c r="L86">
        <v>52</v>
      </c>
      <c r="M86">
        <v>67</v>
      </c>
      <c r="N86">
        <v>13</v>
      </c>
      <c r="O86">
        <v>30</v>
      </c>
      <c r="P86">
        <v>2</v>
      </c>
      <c r="Q86" t="s">
        <v>568</v>
      </c>
      <c r="R86">
        <v>3</v>
      </c>
      <c r="S86">
        <v>200</v>
      </c>
      <c r="T86">
        <v>1</v>
      </c>
      <c r="U86">
        <v>8</v>
      </c>
      <c r="V86">
        <v>500</v>
      </c>
      <c r="W86">
        <v>6</v>
      </c>
      <c r="X86" t="s">
        <v>577</v>
      </c>
      <c r="Y86" s="16">
        <v>110</v>
      </c>
      <c r="Z86">
        <v>45</v>
      </c>
      <c r="AA86" s="16">
        <v>3</v>
      </c>
      <c r="AB86" s="16">
        <v>15</v>
      </c>
    </row>
    <row r="87" spans="1:28" x14ac:dyDescent="0.25">
      <c r="A87" t="s">
        <v>149</v>
      </c>
      <c r="B87" t="s">
        <v>150</v>
      </c>
      <c r="C87">
        <v>115203020</v>
      </c>
      <c r="D87" t="str">
        <f t="shared" si="2"/>
        <v>Çilek, Şebnem-115203020</v>
      </c>
      <c r="E87" s="16">
        <v>15</v>
      </c>
      <c r="F87" s="16">
        <v>14.9</v>
      </c>
      <c r="G87" s="16">
        <v>14.4</v>
      </c>
      <c r="H87" s="16">
        <v>14.1</v>
      </c>
      <c r="I87">
        <v>2</v>
      </c>
      <c r="J87">
        <v>900</v>
      </c>
      <c r="K87">
        <v>90</v>
      </c>
      <c r="L87">
        <v>53</v>
      </c>
      <c r="M87">
        <v>65</v>
      </c>
      <c r="N87">
        <v>13</v>
      </c>
      <c r="O87">
        <v>30</v>
      </c>
      <c r="P87">
        <v>2</v>
      </c>
      <c r="Q87" t="s">
        <v>568</v>
      </c>
      <c r="R87">
        <v>1</v>
      </c>
      <c r="S87">
        <v>200</v>
      </c>
      <c r="T87">
        <v>2</v>
      </c>
      <c r="U87">
        <v>10</v>
      </c>
      <c r="V87">
        <v>550</v>
      </c>
      <c r="W87">
        <v>6</v>
      </c>
      <c r="X87" t="s">
        <v>577</v>
      </c>
      <c r="Y87" s="16">
        <v>140</v>
      </c>
      <c r="Z87">
        <v>85</v>
      </c>
      <c r="AA87" s="16">
        <v>1</v>
      </c>
      <c r="AB87" s="16">
        <v>8</v>
      </c>
    </row>
    <row r="88" spans="1:28" x14ac:dyDescent="0.25">
      <c r="A88" t="s">
        <v>155</v>
      </c>
      <c r="B88" t="s">
        <v>156</v>
      </c>
      <c r="C88">
        <v>115203029</v>
      </c>
      <c r="D88" t="str">
        <f t="shared" si="2"/>
        <v>Çoban, Tutku-115203029</v>
      </c>
      <c r="E88" s="16">
        <v>13</v>
      </c>
      <c r="F88" s="16">
        <v>12.8</v>
      </c>
      <c r="G88" s="16">
        <v>12.600000000000001</v>
      </c>
      <c r="H88" s="16">
        <v>12.400000000000002</v>
      </c>
      <c r="I88">
        <v>2</v>
      </c>
      <c r="J88">
        <v>200</v>
      </c>
      <c r="K88">
        <v>120</v>
      </c>
      <c r="L88">
        <v>50</v>
      </c>
      <c r="M88">
        <v>66</v>
      </c>
      <c r="N88">
        <v>10</v>
      </c>
      <c r="O88">
        <v>30</v>
      </c>
      <c r="P88">
        <v>2</v>
      </c>
      <c r="Q88" t="s">
        <v>568</v>
      </c>
      <c r="R88">
        <v>1</v>
      </c>
      <c r="S88">
        <v>200</v>
      </c>
      <c r="T88">
        <v>3</v>
      </c>
      <c r="U88">
        <v>15</v>
      </c>
      <c r="V88">
        <v>500</v>
      </c>
      <c r="W88">
        <v>3</v>
      </c>
      <c r="X88" t="s">
        <v>578</v>
      </c>
      <c r="Y88" s="16">
        <v>200</v>
      </c>
      <c r="Z88">
        <v>80</v>
      </c>
      <c r="AA88" s="16">
        <v>1</v>
      </c>
      <c r="AB88" s="16">
        <v>8</v>
      </c>
    </row>
    <row r="89" spans="1:28" x14ac:dyDescent="0.25">
      <c r="A89" t="s">
        <v>163</v>
      </c>
      <c r="B89" t="s">
        <v>164</v>
      </c>
      <c r="C89">
        <v>115204041</v>
      </c>
      <c r="D89" t="str">
        <f t="shared" si="2"/>
        <v>Çuhadar, Mehmet Onur-115204041</v>
      </c>
      <c r="E89" s="16">
        <v>15</v>
      </c>
      <c r="F89" s="16">
        <v>14.9</v>
      </c>
      <c r="G89" s="16">
        <v>14.700000000000001</v>
      </c>
      <c r="H89" s="16">
        <v>14.3</v>
      </c>
      <c r="I89">
        <v>4</v>
      </c>
      <c r="J89">
        <v>800</v>
      </c>
      <c r="K89">
        <v>80</v>
      </c>
      <c r="L89">
        <v>49</v>
      </c>
      <c r="M89">
        <v>66</v>
      </c>
      <c r="N89">
        <v>15</v>
      </c>
      <c r="O89">
        <v>40</v>
      </c>
      <c r="P89">
        <v>2</v>
      </c>
      <c r="Q89" t="s">
        <v>568</v>
      </c>
      <c r="R89">
        <v>3</v>
      </c>
      <c r="S89">
        <v>400</v>
      </c>
      <c r="T89">
        <v>3</v>
      </c>
      <c r="U89">
        <v>15</v>
      </c>
      <c r="V89">
        <v>600</v>
      </c>
      <c r="W89">
        <v>4</v>
      </c>
      <c r="X89" t="s">
        <v>579</v>
      </c>
      <c r="Y89" s="16">
        <v>180</v>
      </c>
      <c r="Z89">
        <v>95</v>
      </c>
      <c r="AA89" s="16">
        <v>1</v>
      </c>
      <c r="AB89" s="16">
        <v>8</v>
      </c>
    </row>
    <row r="90" spans="1:28" x14ac:dyDescent="0.25">
      <c r="A90" t="s">
        <v>165</v>
      </c>
      <c r="B90" t="s">
        <v>166</v>
      </c>
      <c r="C90">
        <v>114205027</v>
      </c>
      <c r="D90" t="str">
        <f t="shared" si="2"/>
        <v>Çukurova, Cihan-114205027</v>
      </c>
      <c r="E90" s="16">
        <v>15</v>
      </c>
      <c r="F90" s="16">
        <v>14.7</v>
      </c>
      <c r="G90" s="16">
        <v>14.299999999999999</v>
      </c>
      <c r="H90" s="16">
        <v>13.899999999999999</v>
      </c>
      <c r="I90">
        <v>4</v>
      </c>
      <c r="J90">
        <v>500</v>
      </c>
      <c r="K90">
        <v>110</v>
      </c>
      <c r="L90">
        <v>52</v>
      </c>
      <c r="M90">
        <v>63</v>
      </c>
      <c r="N90">
        <v>10</v>
      </c>
      <c r="O90">
        <v>20</v>
      </c>
      <c r="P90">
        <v>3</v>
      </c>
      <c r="Q90" t="s">
        <v>570</v>
      </c>
      <c r="R90">
        <v>3</v>
      </c>
      <c r="S90">
        <v>400</v>
      </c>
      <c r="T90">
        <v>1</v>
      </c>
      <c r="U90">
        <v>8</v>
      </c>
      <c r="V90">
        <v>400</v>
      </c>
      <c r="W90">
        <v>6</v>
      </c>
      <c r="X90" t="s">
        <v>577</v>
      </c>
      <c r="Y90" s="16">
        <v>110</v>
      </c>
      <c r="Z90">
        <v>55</v>
      </c>
      <c r="AA90" s="16">
        <v>3</v>
      </c>
      <c r="AB90" s="16">
        <v>15</v>
      </c>
    </row>
    <row r="91" spans="1:28" x14ac:dyDescent="0.25">
      <c r="A91" t="s">
        <v>167</v>
      </c>
      <c r="B91" t="s">
        <v>168</v>
      </c>
      <c r="C91">
        <v>116203033</v>
      </c>
      <c r="D91" t="str">
        <f t="shared" si="2"/>
        <v>Çullas, Kağıltay-116203033</v>
      </c>
      <c r="E91" s="16">
        <v>14</v>
      </c>
      <c r="F91" s="16">
        <v>13.5</v>
      </c>
      <c r="G91" s="16">
        <v>13.3</v>
      </c>
      <c r="H91" s="16">
        <v>13.100000000000001</v>
      </c>
      <c r="I91">
        <v>3</v>
      </c>
      <c r="J91">
        <v>800</v>
      </c>
      <c r="K91">
        <v>180</v>
      </c>
      <c r="L91">
        <v>55</v>
      </c>
      <c r="M91">
        <v>71</v>
      </c>
      <c r="N91">
        <v>12</v>
      </c>
      <c r="O91">
        <v>40</v>
      </c>
      <c r="P91">
        <v>2</v>
      </c>
      <c r="Q91" t="s">
        <v>568</v>
      </c>
      <c r="R91">
        <v>2</v>
      </c>
      <c r="S91">
        <v>200</v>
      </c>
      <c r="T91">
        <v>1</v>
      </c>
      <c r="U91">
        <v>8</v>
      </c>
      <c r="V91">
        <v>440</v>
      </c>
      <c r="W91">
        <v>6</v>
      </c>
      <c r="X91" t="s">
        <v>577</v>
      </c>
      <c r="Y91" s="16">
        <v>100</v>
      </c>
      <c r="Z91">
        <v>39</v>
      </c>
      <c r="AA91" s="16">
        <v>2</v>
      </c>
      <c r="AB91" s="16">
        <v>10</v>
      </c>
    </row>
    <row r="92" spans="1:28" x14ac:dyDescent="0.25">
      <c r="A92" t="s">
        <v>171</v>
      </c>
      <c r="B92" t="s">
        <v>172</v>
      </c>
      <c r="C92">
        <v>113206071</v>
      </c>
      <c r="D92" t="str">
        <f t="shared" si="2"/>
        <v>Dağ, Mustafa-113206071</v>
      </c>
      <c r="E92" s="16">
        <v>13</v>
      </c>
      <c r="F92" s="16">
        <v>12.6</v>
      </c>
      <c r="G92" s="16">
        <v>12.299999999999999</v>
      </c>
      <c r="H92" s="16">
        <v>11.899999999999999</v>
      </c>
      <c r="I92">
        <v>4</v>
      </c>
      <c r="J92">
        <v>100</v>
      </c>
      <c r="K92">
        <v>90</v>
      </c>
      <c r="L92">
        <v>43</v>
      </c>
      <c r="M92">
        <v>61</v>
      </c>
      <c r="N92">
        <v>12</v>
      </c>
      <c r="O92">
        <v>40</v>
      </c>
      <c r="P92">
        <v>4</v>
      </c>
      <c r="Q92" t="s">
        <v>569</v>
      </c>
      <c r="R92">
        <v>3</v>
      </c>
      <c r="S92">
        <v>400</v>
      </c>
      <c r="T92">
        <v>1</v>
      </c>
      <c r="U92">
        <v>8</v>
      </c>
      <c r="V92">
        <v>420</v>
      </c>
      <c r="W92">
        <v>4</v>
      </c>
      <c r="X92" t="s">
        <v>579</v>
      </c>
      <c r="Y92" s="16">
        <v>150</v>
      </c>
      <c r="Z92">
        <v>47</v>
      </c>
      <c r="AA92" s="16">
        <v>2</v>
      </c>
      <c r="AB92" s="16">
        <v>10</v>
      </c>
    </row>
    <row r="93" spans="1:28" x14ac:dyDescent="0.25">
      <c r="A93" t="s">
        <v>173</v>
      </c>
      <c r="B93" t="s">
        <v>174</v>
      </c>
      <c r="C93">
        <v>111202022</v>
      </c>
      <c r="D93" t="str">
        <f t="shared" si="2"/>
        <v>Dağlı, Arda-111202022</v>
      </c>
      <c r="E93" s="16">
        <v>14</v>
      </c>
      <c r="F93" s="16">
        <v>13.7</v>
      </c>
      <c r="G93" s="16">
        <v>13.2</v>
      </c>
      <c r="H93" s="16">
        <v>12.7</v>
      </c>
      <c r="I93">
        <v>4</v>
      </c>
      <c r="J93">
        <v>500</v>
      </c>
      <c r="K93">
        <v>180</v>
      </c>
      <c r="L93">
        <v>53</v>
      </c>
      <c r="M93">
        <v>64</v>
      </c>
      <c r="N93">
        <v>10</v>
      </c>
      <c r="O93">
        <v>20</v>
      </c>
      <c r="P93">
        <v>3</v>
      </c>
      <c r="Q93" t="s">
        <v>570</v>
      </c>
      <c r="R93">
        <v>3</v>
      </c>
      <c r="S93">
        <v>400</v>
      </c>
      <c r="T93">
        <v>1</v>
      </c>
      <c r="U93">
        <v>8</v>
      </c>
      <c r="V93">
        <v>520</v>
      </c>
      <c r="W93">
        <v>6</v>
      </c>
      <c r="X93" t="s">
        <v>577</v>
      </c>
      <c r="Y93" s="16">
        <v>130</v>
      </c>
      <c r="Z93">
        <v>47</v>
      </c>
      <c r="AA93" s="16">
        <v>2</v>
      </c>
      <c r="AB93" s="16">
        <v>10</v>
      </c>
    </row>
    <row r="94" spans="1:28" x14ac:dyDescent="0.25">
      <c r="A94" t="s">
        <v>173</v>
      </c>
      <c r="B94" t="s">
        <v>175</v>
      </c>
      <c r="C94">
        <v>112202023</v>
      </c>
      <c r="D94" t="str">
        <f t="shared" si="2"/>
        <v>Dağlı, Cem-112202023</v>
      </c>
      <c r="E94" s="16">
        <v>15</v>
      </c>
      <c r="F94" s="16">
        <v>14.9</v>
      </c>
      <c r="G94" s="16">
        <v>14.5</v>
      </c>
      <c r="H94" s="16">
        <v>14.4</v>
      </c>
      <c r="I94">
        <v>4</v>
      </c>
      <c r="J94">
        <v>700</v>
      </c>
      <c r="K94">
        <v>140</v>
      </c>
      <c r="L94">
        <v>44</v>
      </c>
      <c r="M94">
        <v>55</v>
      </c>
      <c r="N94">
        <v>13</v>
      </c>
      <c r="O94">
        <v>40</v>
      </c>
      <c r="P94">
        <v>3</v>
      </c>
      <c r="Q94" t="s">
        <v>570</v>
      </c>
      <c r="R94">
        <v>3</v>
      </c>
      <c r="S94">
        <v>400</v>
      </c>
      <c r="T94">
        <v>1</v>
      </c>
      <c r="U94">
        <v>8</v>
      </c>
      <c r="V94">
        <v>590</v>
      </c>
      <c r="W94">
        <v>4</v>
      </c>
      <c r="X94" t="s">
        <v>579</v>
      </c>
      <c r="Y94" s="16">
        <v>180</v>
      </c>
      <c r="Z94">
        <v>64</v>
      </c>
      <c r="AA94" s="16">
        <v>2</v>
      </c>
      <c r="AB94" s="16">
        <v>10</v>
      </c>
    </row>
    <row r="95" spans="1:28" x14ac:dyDescent="0.25">
      <c r="A95" t="s">
        <v>176</v>
      </c>
      <c r="B95" t="s">
        <v>177</v>
      </c>
      <c r="C95">
        <v>116202086</v>
      </c>
      <c r="D95" t="str">
        <f t="shared" si="2"/>
        <v>Darkal, Anas-116202086</v>
      </c>
      <c r="E95" s="16">
        <v>11</v>
      </c>
      <c r="F95" s="16">
        <v>10.6</v>
      </c>
      <c r="G95" s="16">
        <v>10.4</v>
      </c>
      <c r="H95" s="16">
        <v>9.9</v>
      </c>
      <c r="I95">
        <v>2</v>
      </c>
      <c r="J95">
        <v>300</v>
      </c>
      <c r="K95">
        <v>150</v>
      </c>
      <c r="L95">
        <v>43</v>
      </c>
      <c r="M95">
        <v>62</v>
      </c>
      <c r="N95">
        <v>13</v>
      </c>
      <c r="O95">
        <v>20</v>
      </c>
      <c r="P95">
        <v>3</v>
      </c>
      <c r="Q95" t="s">
        <v>570</v>
      </c>
      <c r="R95">
        <v>1</v>
      </c>
      <c r="S95">
        <v>100</v>
      </c>
      <c r="T95">
        <v>2</v>
      </c>
      <c r="U95">
        <v>10</v>
      </c>
      <c r="V95">
        <v>530</v>
      </c>
      <c r="W95">
        <v>4</v>
      </c>
      <c r="X95" t="s">
        <v>579</v>
      </c>
      <c r="Y95" s="16">
        <v>180</v>
      </c>
      <c r="Z95">
        <v>58</v>
      </c>
      <c r="AA95" s="16">
        <v>2</v>
      </c>
      <c r="AB95" s="16">
        <v>10</v>
      </c>
    </row>
    <row r="96" spans="1:28" x14ac:dyDescent="0.25">
      <c r="A96" t="s">
        <v>178</v>
      </c>
      <c r="B96" t="s">
        <v>179</v>
      </c>
      <c r="C96">
        <v>111204019</v>
      </c>
      <c r="D96" t="str">
        <f t="shared" si="2"/>
        <v>Dayı, Kaan İsmail-111204019</v>
      </c>
      <c r="E96" s="16">
        <v>13</v>
      </c>
      <c r="F96" s="16">
        <v>12.6</v>
      </c>
      <c r="G96" s="16">
        <v>12.299999999999999</v>
      </c>
      <c r="H96" s="16">
        <v>11.899999999999999</v>
      </c>
      <c r="I96">
        <v>4</v>
      </c>
      <c r="J96">
        <v>100</v>
      </c>
      <c r="K96">
        <v>160</v>
      </c>
      <c r="L96">
        <v>52</v>
      </c>
      <c r="M96">
        <v>69</v>
      </c>
      <c r="N96">
        <v>11</v>
      </c>
      <c r="O96">
        <v>20</v>
      </c>
      <c r="P96">
        <v>4</v>
      </c>
      <c r="Q96" t="s">
        <v>569</v>
      </c>
      <c r="R96">
        <v>3</v>
      </c>
      <c r="S96">
        <v>400</v>
      </c>
      <c r="T96">
        <v>3</v>
      </c>
      <c r="U96">
        <v>15</v>
      </c>
      <c r="V96">
        <v>580</v>
      </c>
      <c r="W96">
        <v>4</v>
      </c>
      <c r="X96" t="s">
        <v>579</v>
      </c>
      <c r="Y96" s="16">
        <v>180</v>
      </c>
      <c r="Z96">
        <v>93</v>
      </c>
      <c r="AA96" s="16">
        <v>2</v>
      </c>
      <c r="AB96" s="16">
        <v>10</v>
      </c>
    </row>
    <row r="97" spans="1:28" x14ac:dyDescent="0.25">
      <c r="A97" t="s">
        <v>180</v>
      </c>
      <c r="B97" t="s">
        <v>181</v>
      </c>
      <c r="C97">
        <v>115206072</v>
      </c>
      <c r="D97" t="str">
        <f t="shared" si="2"/>
        <v>Değer, Kerem Ozan-115206072</v>
      </c>
      <c r="E97" s="16">
        <v>14</v>
      </c>
      <c r="F97" s="16">
        <v>13.5</v>
      </c>
      <c r="G97" s="16">
        <v>13</v>
      </c>
      <c r="H97" s="16">
        <v>12.7</v>
      </c>
      <c r="I97">
        <v>3</v>
      </c>
      <c r="J97">
        <v>100</v>
      </c>
      <c r="K97">
        <v>170</v>
      </c>
      <c r="L97">
        <v>52</v>
      </c>
      <c r="M97">
        <v>67</v>
      </c>
      <c r="N97">
        <v>12</v>
      </c>
      <c r="O97">
        <v>40</v>
      </c>
      <c r="P97">
        <v>4</v>
      </c>
      <c r="Q97" t="s">
        <v>569</v>
      </c>
      <c r="R97">
        <v>2</v>
      </c>
      <c r="S97">
        <v>400</v>
      </c>
      <c r="T97">
        <v>1</v>
      </c>
      <c r="U97">
        <v>8</v>
      </c>
      <c r="V97">
        <v>510</v>
      </c>
      <c r="W97">
        <v>5</v>
      </c>
      <c r="X97" t="s">
        <v>576</v>
      </c>
      <c r="Y97" s="16">
        <v>140</v>
      </c>
      <c r="Z97">
        <v>61</v>
      </c>
      <c r="AA97" s="16">
        <v>2</v>
      </c>
      <c r="AB97" s="16">
        <v>10</v>
      </c>
    </row>
    <row r="98" spans="1:28" x14ac:dyDescent="0.25">
      <c r="A98" t="s">
        <v>182</v>
      </c>
      <c r="B98" t="s">
        <v>183</v>
      </c>
      <c r="C98">
        <v>114205034</v>
      </c>
      <c r="D98" t="str">
        <f t="shared" si="2"/>
        <v>Demer, Beril-114205034</v>
      </c>
      <c r="E98" s="16">
        <v>15</v>
      </c>
      <c r="F98" s="16">
        <v>14.9</v>
      </c>
      <c r="G98" s="16">
        <v>14.8</v>
      </c>
      <c r="H98" s="16">
        <v>14.700000000000001</v>
      </c>
      <c r="I98">
        <v>4</v>
      </c>
      <c r="J98">
        <v>300</v>
      </c>
      <c r="K98">
        <v>140</v>
      </c>
      <c r="L98">
        <v>53</v>
      </c>
      <c r="M98">
        <v>69</v>
      </c>
      <c r="N98">
        <v>11</v>
      </c>
      <c r="O98">
        <v>40</v>
      </c>
      <c r="P98">
        <v>3</v>
      </c>
      <c r="Q98" t="s">
        <v>570</v>
      </c>
      <c r="R98">
        <v>3</v>
      </c>
      <c r="S98">
        <v>300</v>
      </c>
      <c r="T98">
        <v>2</v>
      </c>
      <c r="U98">
        <v>10</v>
      </c>
      <c r="V98">
        <v>530</v>
      </c>
      <c r="W98">
        <v>5</v>
      </c>
      <c r="X98" t="s">
        <v>576</v>
      </c>
      <c r="Y98" s="16">
        <v>150</v>
      </c>
      <c r="Z98">
        <v>93</v>
      </c>
      <c r="AA98" s="16">
        <v>3</v>
      </c>
      <c r="AB98" s="16">
        <v>15</v>
      </c>
    </row>
    <row r="99" spans="1:28" x14ac:dyDescent="0.25">
      <c r="A99" t="s">
        <v>184</v>
      </c>
      <c r="B99" t="s">
        <v>29</v>
      </c>
      <c r="C99">
        <v>113204011</v>
      </c>
      <c r="D99" t="str">
        <f t="shared" si="2"/>
        <v>Demir, Emre-113204011</v>
      </c>
      <c r="E99" s="16">
        <v>14</v>
      </c>
      <c r="F99" s="16">
        <v>13.9</v>
      </c>
      <c r="G99" s="16">
        <v>13.5</v>
      </c>
      <c r="H99" s="16">
        <v>13.1</v>
      </c>
      <c r="I99">
        <v>4</v>
      </c>
      <c r="J99">
        <v>200</v>
      </c>
      <c r="K99">
        <v>100</v>
      </c>
      <c r="L99">
        <v>40</v>
      </c>
      <c r="M99">
        <v>50</v>
      </c>
      <c r="N99">
        <v>12</v>
      </c>
      <c r="O99">
        <v>20</v>
      </c>
      <c r="P99">
        <v>4</v>
      </c>
      <c r="Q99" t="s">
        <v>569</v>
      </c>
      <c r="R99">
        <v>3</v>
      </c>
      <c r="S99">
        <v>400</v>
      </c>
      <c r="T99">
        <v>3</v>
      </c>
      <c r="U99">
        <v>15</v>
      </c>
      <c r="V99">
        <v>520</v>
      </c>
      <c r="W99">
        <v>5</v>
      </c>
      <c r="X99" t="s">
        <v>576</v>
      </c>
      <c r="Y99" s="16">
        <v>130</v>
      </c>
      <c r="Z99">
        <v>77</v>
      </c>
      <c r="AA99" s="16">
        <v>2</v>
      </c>
      <c r="AB99" s="16">
        <v>10</v>
      </c>
    </row>
    <row r="100" spans="1:28" x14ac:dyDescent="0.25">
      <c r="A100" t="s">
        <v>185</v>
      </c>
      <c r="B100" t="s">
        <v>186</v>
      </c>
      <c r="C100">
        <v>116203048</v>
      </c>
      <c r="D100" t="str">
        <f t="shared" si="2"/>
        <v>Demirbaş, Ege-116203048</v>
      </c>
      <c r="E100" s="16">
        <v>14</v>
      </c>
      <c r="F100" s="16">
        <v>13.5</v>
      </c>
      <c r="G100" s="16">
        <v>13.2</v>
      </c>
      <c r="H100" s="16">
        <v>12.799999999999999</v>
      </c>
      <c r="I100">
        <v>2</v>
      </c>
      <c r="J100">
        <v>200</v>
      </c>
      <c r="K100">
        <v>160</v>
      </c>
      <c r="L100">
        <v>55</v>
      </c>
      <c r="M100">
        <v>69</v>
      </c>
      <c r="N100">
        <v>13</v>
      </c>
      <c r="O100">
        <v>30</v>
      </c>
      <c r="P100">
        <v>3</v>
      </c>
      <c r="Q100" t="s">
        <v>570</v>
      </c>
      <c r="R100">
        <v>1</v>
      </c>
      <c r="S100">
        <v>100</v>
      </c>
      <c r="T100">
        <v>3</v>
      </c>
      <c r="U100">
        <v>15</v>
      </c>
      <c r="V100">
        <v>520</v>
      </c>
      <c r="W100">
        <v>5</v>
      </c>
      <c r="X100" t="s">
        <v>576</v>
      </c>
      <c r="Y100" s="16">
        <v>140</v>
      </c>
      <c r="Z100">
        <v>62</v>
      </c>
      <c r="AA100" s="16">
        <v>1</v>
      </c>
      <c r="AB100" s="16">
        <v>8</v>
      </c>
    </row>
    <row r="101" spans="1:28" x14ac:dyDescent="0.25">
      <c r="A101" t="s">
        <v>187</v>
      </c>
      <c r="B101" t="s">
        <v>188</v>
      </c>
      <c r="C101">
        <v>115200132</v>
      </c>
      <c r="D101" t="str">
        <f t="shared" si="2"/>
        <v>Demirbay, Rasim-115200132</v>
      </c>
      <c r="E101" s="16">
        <v>14</v>
      </c>
      <c r="F101" s="16">
        <v>13.6</v>
      </c>
      <c r="G101" s="16">
        <v>13.2</v>
      </c>
      <c r="H101" s="16">
        <v>12.899999999999999</v>
      </c>
      <c r="I101">
        <v>3</v>
      </c>
      <c r="J101">
        <v>400</v>
      </c>
      <c r="K101">
        <v>150</v>
      </c>
      <c r="L101">
        <v>42</v>
      </c>
      <c r="M101">
        <v>52</v>
      </c>
      <c r="N101">
        <v>15</v>
      </c>
      <c r="O101">
        <v>40</v>
      </c>
      <c r="P101">
        <v>2</v>
      </c>
      <c r="Q101" t="s">
        <v>568</v>
      </c>
      <c r="R101">
        <v>2</v>
      </c>
      <c r="S101">
        <v>300</v>
      </c>
      <c r="T101">
        <v>1</v>
      </c>
      <c r="U101">
        <v>8</v>
      </c>
      <c r="V101">
        <v>480</v>
      </c>
      <c r="W101">
        <v>5</v>
      </c>
      <c r="X101" t="s">
        <v>576</v>
      </c>
      <c r="Y101" s="16">
        <v>130</v>
      </c>
      <c r="Z101">
        <v>38</v>
      </c>
      <c r="AA101" s="16">
        <v>3</v>
      </c>
      <c r="AB101" s="16">
        <v>15</v>
      </c>
    </row>
    <row r="102" spans="1:28" x14ac:dyDescent="0.25">
      <c r="A102" t="s">
        <v>189</v>
      </c>
      <c r="B102" t="s">
        <v>190</v>
      </c>
      <c r="C102">
        <v>115203083</v>
      </c>
      <c r="D102" t="str">
        <f t="shared" si="2"/>
        <v>Demircioğlu, Sarp Berk-115203083</v>
      </c>
      <c r="E102" s="16">
        <v>12</v>
      </c>
      <c r="F102" s="16">
        <v>11.7</v>
      </c>
      <c r="G102" s="16">
        <v>11.399999999999999</v>
      </c>
      <c r="H102" s="16">
        <v>11.099999999999998</v>
      </c>
      <c r="I102">
        <v>2</v>
      </c>
      <c r="J102">
        <v>300</v>
      </c>
      <c r="K102">
        <v>140</v>
      </c>
      <c r="L102">
        <v>55</v>
      </c>
      <c r="M102">
        <v>65</v>
      </c>
      <c r="N102">
        <v>10</v>
      </c>
      <c r="O102">
        <v>30</v>
      </c>
      <c r="P102">
        <v>3</v>
      </c>
      <c r="Q102" t="s">
        <v>570</v>
      </c>
      <c r="R102">
        <v>1</v>
      </c>
      <c r="S102">
        <v>300</v>
      </c>
      <c r="T102">
        <v>3</v>
      </c>
      <c r="U102">
        <v>15</v>
      </c>
      <c r="V102">
        <v>600</v>
      </c>
      <c r="W102">
        <v>3</v>
      </c>
      <c r="X102" t="s">
        <v>578</v>
      </c>
      <c r="Y102" s="16">
        <v>240</v>
      </c>
      <c r="Z102">
        <v>90</v>
      </c>
      <c r="AA102" s="16">
        <v>3</v>
      </c>
      <c r="AB102" s="16">
        <v>15</v>
      </c>
    </row>
    <row r="103" spans="1:28" x14ac:dyDescent="0.25">
      <c r="A103" t="s">
        <v>191</v>
      </c>
      <c r="B103" t="s">
        <v>192</v>
      </c>
      <c r="C103">
        <v>116201149</v>
      </c>
      <c r="D103" t="str">
        <f t="shared" si="2"/>
        <v>Demirkol, Nihal-116201149</v>
      </c>
      <c r="E103" s="16">
        <v>15</v>
      </c>
      <c r="F103" s="16">
        <v>14.5</v>
      </c>
      <c r="G103" s="16">
        <v>14.3</v>
      </c>
      <c r="H103" s="16">
        <v>14.200000000000001</v>
      </c>
      <c r="I103">
        <v>4</v>
      </c>
      <c r="J103">
        <v>700</v>
      </c>
      <c r="K103">
        <v>140</v>
      </c>
      <c r="L103">
        <v>49</v>
      </c>
      <c r="M103">
        <v>59</v>
      </c>
      <c r="N103">
        <v>14</v>
      </c>
      <c r="O103">
        <v>30</v>
      </c>
      <c r="P103">
        <v>4</v>
      </c>
      <c r="Q103" t="s">
        <v>569</v>
      </c>
      <c r="R103">
        <v>3</v>
      </c>
      <c r="S103">
        <v>400</v>
      </c>
      <c r="T103">
        <v>2</v>
      </c>
      <c r="U103">
        <v>10</v>
      </c>
      <c r="V103">
        <v>540</v>
      </c>
      <c r="W103">
        <v>6</v>
      </c>
      <c r="X103" t="s">
        <v>577</v>
      </c>
      <c r="Y103" s="16">
        <v>140</v>
      </c>
      <c r="Z103">
        <v>54</v>
      </c>
      <c r="AA103" s="16">
        <v>1</v>
      </c>
      <c r="AB103" s="16">
        <v>8</v>
      </c>
    </row>
    <row r="104" spans="1:28" x14ac:dyDescent="0.25">
      <c r="A104" t="s">
        <v>193</v>
      </c>
      <c r="B104" t="s">
        <v>194</v>
      </c>
      <c r="C104">
        <v>115204002</v>
      </c>
      <c r="D104" t="str">
        <f t="shared" si="2"/>
        <v>Diken, Fırat-115204002</v>
      </c>
      <c r="E104" s="16">
        <v>15</v>
      </c>
      <c r="F104" s="16">
        <v>14.6</v>
      </c>
      <c r="G104" s="16">
        <v>14.5</v>
      </c>
      <c r="H104" s="16">
        <v>14.3</v>
      </c>
      <c r="I104">
        <v>3</v>
      </c>
      <c r="J104">
        <v>400</v>
      </c>
      <c r="K104">
        <v>180</v>
      </c>
      <c r="L104">
        <v>55</v>
      </c>
      <c r="M104">
        <v>74</v>
      </c>
      <c r="N104">
        <v>10</v>
      </c>
      <c r="O104">
        <v>30</v>
      </c>
      <c r="P104">
        <v>3</v>
      </c>
      <c r="Q104" t="s">
        <v>570</v>
      </c>
      <c r="R104">
        <v>2</v>
      </c>
      <c r="S104">
        <v>100</v>
      </c>
      <c r="T104">
        <v>3</v>
      </c>
      <c r="U104">
        <v>15</v>
      </c>
      <c r="V104">
        <v>510</v>
      </c>
      <c r="W104">
        <v>5</v>
      </c>
      <c r="X104" t="s">
        <v>576</v>
      </c>
      <c r="Y104" s="16">
        <v>150</v>
      </c>
      <c r="Z104">
        <v>51</v>
      </c>
      <c r="AA104" s="16">
        <v>2</v>
      </c>
      <c r="AB104" s="16">
        <v>10</v>
      </c>
    </row>
    <row r="105" spans="1:28" x14ac:dyDescent="0.25">
      <c r="A105" t="s">
        <v>195</v>
      </c>
      <c r="B105" t="s">
        <v>196</v>
      </c>
      <c r="C105">
        <v>116203084</v>
      </c>
      <c r="D105" t="str">
        <f t="shared" si="2"/>
        <v>Diriker, Çağla-116203084</v>
      </c>
      <c r="E105" s="16">
        <v>13</v>
      </c>
      <c r="F105" s="16">
        <v>12.5</v>
      </c>
      <c r="G105" s="16">
        <v>12.4</v>
      </c>
      <c r="H105" s="16">
        <v>12.3</v>
      </c>
      <c r="I105">
        <v>3</v>
      </c>
      <c r="J105">
        <v>600</v>
      </c>
      <c r="K105">
        <v>90</v>
      </c>
      <c r="L105">
        <v>54</v>
      </c>
      <c r="M105">
        <v>68</v>
      </c>
      <c r="N105">
        <v>12</v>
      </c>
      <c r="O105">
        <v>40</v>
      </c>
      <c r="P105">
        <v>2</v>
      </c>
      <c r="Q105" t="s">
        <v>568</v>
      </c>
      <c r="R105">
        <v>2</v>
      </c>
      <c r="S105">
        <v>300</v>
      </c>
      <c r="T105">
        <v>2</v>
      </c>
      <c r="U105">
        <v>10</v>
      </c>
      <c r="V105">
        <v>480</v>
      </c>
      <c r="W105">
        <v>5</v>
      </c>
      <c r="X105" t="s">
        <v>576</v>
      </c>
      <c r="Y105" s="16">
        <v>140</v>
      </c>
      <c r="Z105">
        <v>58</v>
      </c>
      <c r="AA105" s="16">
        <v>3</v>
      </c>
      <c r="AB105" s="16">
        <v>15</v>
      </c>
    </row>
    <row r="106" spans="1:28" x14ac:dyDescent="0.25">
      <c r="A106" t="s">
        <v>197</v>
      </c>
      <c r="B106" t="s">
        <v>198</v>
      </c>
      <c r="C106">
        <v>114200081</v>
      </c>
      <c r="D106" t="str">
        <f t="shared" si="2"/>
        <v>Doğan, Ekim-114200081</v>
      </c>
      <c r="E106" s="16">
        <v>13</v>
      </c>
      <c r="F106" s="16">
        <v>12.5</v>
      </c>
      <c r="G106" s="16">
        <v>12.1</v>
      </c>
      <c r="H106" s="16">
        <v>11.7</v>
      </c>
      <c r="I106">
        <v>4</v>
      </c>
      <c r="J106">
        <v>600</v>
      </c>
      <c r="K106">
        <v>170</v>
      </c>
      <c r="L106">
        <v>54</v>
      </c>
      <c r="M106">
        <v>71</v>
      </c>
      <c r="N106">
        <v>13</v>
      </c>
      <c r="O106">
        <v>20</v>
      </c>
      <c r="P106">
        <v>4</v>
      </c>
      <c r="Q106" t="s">
        <v>569</v>
      </c>
      <c r="R106">
        <v>3</v>
      </c>
      <c r="S106">
        <v>100</v>
      </c>
      <c r="T106">
        <v>3</v>
      </c>
      <c r="U106">
        <v>15</v>
      </c>
      <c r="V106">
        <v>520</v>
      </c>
      <c r="W106">
        <v>4</v>
      </c>
      <c r="X106" t="s">
        <v>579</v>
      </c>
      <c r="Y106" s="16">
        <v>180</v>
      </c>
      <c r="Z106">
        <v>72</v>
      </c>
      <c r="AA106" s="16">
        <v>1</v>
      </c>
      <c r="AB106" s="16">
        <v>8</v>
      </c>
    </row>
    <row r="107" spans="1:28" x14ac:dyDescent="0.25">
      <c r="A107" t="s">
        <v>199</v>
      </c>
      <c r="B107" t="s">
        <v>29</v>
      </c>
      <c r="C107">
        <v>114205022</v>
      </c>
      <c r="D107" t="str">
        <f t="shared" si="2"/>
        <v>Doğmuş, Emre-114205022</v>
      </c>
      <c r="E107" s="16">
        <v>12</v>
      </c>
      <c r="F107" s="16">
        <v>11.5</v>
      </c>
      <c r="G107" s="16">
        <v>11.1</v>
      </c>
      <c r="H107" s="16">
        <v>10.9</v>
      </c>
      <c r="I107">
        <v>3</v>
      </c>
      <c r="J107">
        <v>500</v>
      </c>
      <c r="K107">
        <v>130</v>
      </c>
      <c r="L107">
        <v>49</v>
      </c>
      <c r="M107">
        <v>60</v>
      </c>
      <c r="N107">
        <v>12</v>
      </c>
      <c r="O107">
        <v>30</v>
      </c>
      <c r="P107">
        <v>4</v>
      </c>
      <c r="Q107" t="s">
        <v>569</v>
      </c>
      <c r="R107">
        <v>2</v>
      </c>
      <c r="S107">
        <v>400</v>
      </c>
      <c r="T107">
        <v>2</v>
      </c>
      <c r="U107">
        <v>10</v>
      </c>
      <c r="V107">
        <v>420</v>
      </c>
      <c r="W107">
        <v>3</v>
      </c>
      <c r="X107" t="s">
        <v>578</v>
      </c>
      <c r="Y107" s="16">
        <v>170</v>
      </c>
      <c r="Z107">
        <v>77</v>
      </c>
      <c r="AA107" s="16">
        <v>3</v>
      </c>
      <c r="AB107" s="16">
        <v>15</v>
      </c>
    </row>
    <row r="108" spans="1:28" x14ac:dyDescent="0.25">
      <c r="A108" t="s">
        <v>200</v>
      </c>
      <c r="B108" t="s">
        <v>201</v>
      </c>
      <c r="C108">
        <v>115205052</v>
      </c>
      <c r="D108" t="str">
        <f t="shared" si="2"/>
        <v>Dondurmacı, Can-115205052</v>
      </c>
      <c r="E108" s="16">
        <v>14</v>
      </c>
      <c r="F108" s="16">
        <v>13.6</v>
      </c>
      <c r="G108" s="16">
        <v>13.4</v>
      </c>
      <c r="H108" s="16">
        <v>13</v>
      </c>
      <c r="I108">
        <v>4</v>
      </c>
      <c r="J108">
        <v>400</v>
      </c>
      <c r="K108">
        <v>150</v>
      </c>
      <c r="L108">
        <v>54</v>
      </c>
      <c r="M108">
        <v>65</v>
      </c>
      <c r="N108">
        <v>12</v>
      </c>
      <c r="O108">
        <v>30</v>
      </c>
      <c r="P108">
        <v>4</v>
      </c>
      <c r="Q108" t="s">
        <v>569</v>
      </c>
      <c r="R108">
        <v>3</v>
      </c>
      <c r="S108">
        <v>400</v>
      </c>
      <c r="T108">
        <v>1</v>
      </c>
      <c r="U108">
        <v>8</v>
      </c>
      <c r="V108">
        <v>460</v>
      </c>
      <c r="W108">
        <v>4</v>
      </c>
      <c r="X108" t="s">
        <v>579</v>
      </c>
      <c r="Y108" s="16">
        <v>160</v>
      </c>
      <c r="Z108">
        <v>41</v>
      </c>
      <c r="AA108" s="16">
        <v>3</v>
      </c>
      <c r="AB108" s="16">
        <v>15</v>
      </c>
    </row>
    <row r="109" spans="1:28" x14ac:dyDescent="0.25">
      <c r="A109" t="s">
        <v>202</v>
      </c>
      <c r="B109" t="s">
        <v>203</v>
      </c>
      <c r="C109">
        <v>115204021</v>
      </c>
      <c r="D109" t="str">
        <f t="shared" si="2"/>
        <v>Duymaz, Adem-115204021</v>
      </c>
      <c r="E109" s="16">
        <v>15</v>
      </c>
      <c r="F109" s="16">
        <v>14.5</v>
      </c>
      <c r="G109" s="16">
        <v>14.1</v>
      </c>
      <c r="H109" s="16">
        <v>13.7</v>
      </c>
      <c r="I109">
        <v>3</v>
      </c>
      <c r="J109">
        <v>400</v>
      </c>
      <c r="K109">
        <v>140</v>
      </c>
      <c r="L109">
        <v>48</v>
      </c>
      <c r="M109">
        <v>62</v>
      </c>
      <c r="N109">
        <v>14</v>
      </c>
      <c r="O109">
        <v>30</v>
      </c>
      <c r="P109">
        <v>2</v>
      </c>
      <c r="Q109" t="s">
        <v>568</v>
      </c>
      <c r="R109">
        <v>2</v>
      </c>
      <c r="S109">
        <v>300</v>
      </c>
      <c r="T109">
        <v>1</v>
      </c>
      <c r="U109">
        <v>8</v>
      </c>
      <c r="V109">
        <v>420</v>
      </c>
      <c r="W109">
        <v>5</v>
      </c>
      <c r="X109" t="s">
        <v>576</v>
      </c>
      <c r="Y109" s="16">
        <v>110</v>
      </c>
      <c r="Z109">
        <v>82</v>
      </c>
      <c r="AA109" s="16">
        <v>3</v>
      </c>
      <c r="AB109" s="16">
        <v>15</v>
      </c>
    </row>
    <row r="110" spans="1:28" x14ac:dyDescent="0.25">
      <c r="A110" t="s">
        <v>204</v>
      </c>
      <c r="B110" t="s">
        <v>205</v>
      </c>
      <c r="C110">
        <v>114207005</v>
      </c>
      <c r="D110" t="str">
        <f t="shared" si="2"/>
        <v>Ebiller, Halit Ege-114207005</v>
      </c>
      <c r="E110" s="16">
        <v>14</v>
      </c>
      <c r="F110" s="16">
        <v>13.9</v>
      </c>
      <c r="G110" s="16">
        <v>13.4</v>
      </c>
      <c r="H110" s="16">
        <v>13</v>
      </c>
      <c r="I110">
        <v>3</v>
      </c>
      <c r="J110">
        <v>100</v>
      </c>
      <c r="K110">
        <v>180</v>
      </c>
      <c r="L110">
        <v>41</v>
      </c>
      <c r="M110">
        <v>61</v>
      </c>
      <c r="N110">
        <v>14</v>
      </c>
      <c r="O110">
        <v>40</v>
      </c>
      <c r="P110">
        <v>3</v>
      </c>
      <c r="Q110" t="s">
        <v>570</v>
      </c>
      <c r="R110">
        <v>2</v>
      </c>
      <c r="S110">
        <v>400</v>
      </c>
      <c r="T110">
        <v>3</v>
      </c>
      <c r="U110">
        <v>15</v>
      </c>
      <c r="V110">
        <v>430</v>
      </c>
      <c r="W110">
        <v>3</v>
      </c>
      <c r="X110" t="s">
        <v>578</v>
      </c>
      <c r="Y110" s="16">
        <v>180</v>
      </c>
      <c r="Z110">
        <v>83</v>
      </c>
      <c r="AA110" s="16">
        <v>1</v>
      </c>
      <c r="AB110" s="16">
        <v>8</v>
      </c>
    </row>
    <row r="111" spans="1:28" x14ac:dyDescent="0.25">
      <c r="A111" t="s">
        <v>206</v>
      </c>
      <c r="B111" t="s">
        <v>37</v>
      </c>
      <c r="C111">
        <v>116203021</v>
      </c>
      <c r="D111" t="str">
        <f t="shared" si="2"/>
        <v>Ecesoy, Zeynep-116203021</v>
      </c>
      <c r="E111" s="16">
        <v>11</v>
      </c>
      <c r="F111" s="16">
        <v>10.6</v>
      </c>
      <c r="G111" s="16">
        <v>10.4</v>
      </c>
      <c r="H111" s="16">
        <v>10.1</v>
      </c>
      <c r="I111">
        <v>4</v>
      </c>
      <c r="J111">
        <v>800</v>
      </c>
      <c r="K111">
        <v>160</v>
      </c>
      <c r="L111">
        <v>46</v>
      </c>
      <c r="M111">
        <v>65</v>
      </c>
      <c r="N111">
        <v>14</v>
      </c>
      <c r="O111">
        <v>40</v>
      </c>
      <c r="P111">
        <v>3</v>
      </c>
      <c r="Q111" t="s">
        <v>570</v>
      </c>
      <c r="R111">
        <v>3</v>
      </c>
      <c r="S111">
        <v>300</v>
      </c>
      <c r="T111">
        <v>2</v>
      </c>
      <c r="U111">
        <v>10</v>
      </c>
      <c r="V111">
        <v>440</v>
      </c>
      <c r="W111">
        <v>6</v>
      </c>
      <c r="X111" t="s">
        <v>577</v>
      </c>
      <c r="Y111" s="16">
        <v>100</v>
      </c>
      <c r="Z111">
        <v>54</v>
      </c>
      <c r="AA111" s="16">
        <v>2</v>
      </c>
      <c r="AB111" s="16">
        <v>10</v>
      </c>
    </row>
    <row r="112" spans="1:28" x14ac:dyDescent="0.25">
      <c r="A112" t="s">
        <v>207</v>
      </c>
      <c r="B112" t="s">
        <v>33</v>
      </c>
      <c r="C112">
        <v>115207041</v>
      </c>
      <c r="D112" t="str">
        <f t="shared" si="2"/>
        <v>Eldem, Berk-115207041</v>
      </c>
      <c r="E112" s="16">
        <v>15</v>
      </c>
      <c r="F112" s="16">
        <v>14.6</v>
      </c>
      <c r="G112" s="16">
        <v>14.4</v>
      </c>
      <c r="H112" s="16">
        <v>13.9</v>
      </c>
      <c r="I112">
        <v>2</v>
      </c>
      <c r="J112">
        <v>900</v>
      </c>
      <c r="K112">
        <v>80</v>
      </c>
      <c r="L112">
        <v>42</v>
      </c>
      <c r="M112">
        <v>62</v>
      </c>
      <c r="N112">
        <v>13</v>
      </c>
      <c r="O112">
        <v>40</v>
      </c>
      <c r="P112">
        <v>4</v>
      </c>
      <c r="Q112" t="s">
        <v>569</v>
      </c>
      <c r="R112">
        <v>1</v>
      </c>
      <c r="S112">
        <v>400</v>
      </c>
      <c r="T112">
        <v>3</v>
      </c>
      <c r="U112">
        <v>15</v>
      </c>
      <c r="V112">
        <v>520</v>
      </c>
      <c r="W112">
        <v>4</v>
      </c>
      <c r="X112" t="s">
        <v>579</v>
      </c>
      <c r="Y112" s="16">
        <v>160</v>
      </c>
      <c r="Z112">
        <v>52</v>
      </c>
      <c r="AA112" s="16">
        <v>2</v>
      </c>
      <c r="AB112" s="16">
        <v>10</v>
      </c>
    </row>
    <row r="113" spans="1:28" x14ac:dyDescent="0.25">
      <c r="A113" t="s">
        <v>208</v>
      </c>
      <c r="B113" t="s">
        <v>209</v>
      </c>
      <c r="C113">
        <v>114200015</v>
      </c>
      <c r="D113" t="str">
        <f t="shared" si="2"/>
        <v>Emecen, Utku-114200015</v>
      </c>
      <c r="E113" s="16">
        <v>13</v>
      </c>
      <c r="F113" s="16">
        <v>12.9</v>
      </c>
      <c r="G113" s="16">
        <v>12.8</v>
      </c>
      <c r="H113" s="16">
        <v>12.700000000000001</v>
      </c>
      <c r="I113">
        <v>3</v>
      </c>
      <c r="J113">
        <v>500</v>
      </c>
      <c r="K113">
        <v>100</v>
      </c>
      <c r="L113">
        <v>43</v>
      </c>
      <c r="M113">
        <v>62</v>
      </c>
      <c r="N113">
        <v>14</v>
      </c>
      <c r="O113">
        <v>20</v>
      </c>
      <c r="P113">
        <v>2</v>
      </c>
      <c r="Q113" t="s">
        <v>568</v>
      </c>
      <c r="R113">
        <v>2</v>
      </c>
      <c r="S113">
        <v>100</v>
      </c>
      <c r="T113">
        <v>2</v>
      </c>
      <c r="U113">
        <v>10</v>
      </c>
      <c r="V113">
        <v>470</v>
      </c>
      <c r="W113">
        <v>5</v>
      </c>
      <c r="X113" t="s">
        <v>576</v>
      </c>
      <c r="Y113" s="16">
        <v>130</v>
      </c>
      <c r="Z113">
        <v>72</v>
      </c>
      <c r="AA113" s="16">
        <v>1</v>
      </c>
      <c r="AB113" s="16">
        <v>8</v>
      </c>
    </row>
    <row r="114" spans="1:28" x14ac:dyDescent="0.25">
      <c r="A114" t="s">
        <v>210</v>
      </c>
      <c r="B114" t="s">
        <v>211</v>
      </c>
      <c r="C114">
        <v>114207010</v>
      </c>
      <c r="D114" t="str">
        <f t="shared" si="2"/>
        <v>Enderer, Berkan-114207010</v>
      </c>
      <c r="E114" s="16">
        <v>14</v>
      </c>
      <c r="F114" s="16">
        <v>13.5</v>
      </c>
      <c r="G114" s="16">
        <v>13</v>
      </c>
      <c r="H114" s="16">
        <v>12.8</v>
      </c>
      <c r="I114">
        <v>4</v>
      </c>
      <c r="J114">
        <v>400</v>
      </c>
      <c r="K114">
        <v>140</v>
      </c>
      <c r="L114">
        <v>53</v>
      </c>
      <c r="M114">
        <v>71</v>
      </c>
      <c r="N114">
        <v>10</v>
      </c>
      <c r="O114">
        <v>30</v>
      </c>
      <c r="P114">
        <v>3</v>
      </c>
      <c r="Q114" t="s">
        <v>570</v>
      </c>
      <c r="R114">
        <v>3</v>
      </c>
      <c r="S114">
        <v>400</v>
      </c>
      <c r="T114">
        <v>3</v>
      </c>
      <c r="U114">
        <v>15</v>
      </c>
      <c r="V114">
        <v>530</v>
      </c>
      <c r="W114">
        <v>4</v>
      </c>
      <c r="X114" t="s">
        <v>579</v>
      </c>
      <c r="Y114" s="16">
        <v>160</v>
      </c>
      <c r="Z114">
        <v>48</v>
      </c>
      <c r="AA114" s="16">
        <v>3</v>
      </c>
      <c r="AB114" s="16">
        <v>15</v>
      </c>
    </row>
    <row r="115" spans="1:28" x14ac:dyDescent="0.25">
      <c r="A115" t="s">
        <v>212</v>
      </c>
      <c r="B115" t="s">
        <v>213</v>
      </c>
      <c r="C115">
        <v>114200070</v>
      </c>
      <c r="D115" t="str">
        <f t="shared" si="2"/>
        <v>Ercan, Eda-114200070</v>
      </c>
      <c r="E115" s="16">
        <v>12</v>
      </c>
      <c r="F115" s="16">
        <v>11.7</v>
      </c>
      <c r="G115" s="16">
        <v>11.2</v>
      </c>
      <c r="H115" s="16">
        <v>11.1</v>
      </c>
      <c r="I115">
        <v>4</v>
      </c>
      <c r="J115">
        <v>400</v>
      </c>
      <c r="K115">
        <v>160</v>
      </c>
      <c r="L115">
        <v>43</v>
      </c>
      <c r="M115">
        <v>62</v>
      </c>
      <c r="N115">
        <v>12</v>
      </c>
      <c r="O115">
        <v>40</v>
      </c>
      <c r="P115">
        <v>4</v>
      </c>
      <c r="Q115" t="s">
        <v>569</v>
      </c>
      <c r="R115">
        <v>3</v>
      </c>
      <c r="S115">
        <v>100</v>
      </c>
      <c r="T115">
        <v>1</v>
      </c>
      <c r="U115">
        <v>8</v>
      </c>
      <c r="V115">
        <v>480</v>
      </c>
      <c r="W115">
        <v>6</v>
      </c>
      <c r="X115" t="s">
        <v>577</v>
      </c>
      <c r="Y115" s="16">
        <v>120</v>
      </c>
      <c r="Z115">
        <v>53</v>
      </c>
      <c r="AA115" s="16">
        <v>2</v>
      </c>
      <c r="AB115" s="16">
        <v>10</v>
      </c>
    </row>
    <row r="116" spans="1:28" x14ac:dyDescent="0.25">
      <c r="A116" t="s">
        <v>214</v>
      </c>
      <c r="B116" t="s">
        <v>215</v>
      </c>
      <c r="C116">
        <v>115205062</v>
      </c>
      <c r="D116" t="str">
        <f t="shared" si="2"/>
        <v>Erdoğan, Burak-115205062</v>
      </c>
      <c r="E116" s="16">
        <v>13</v>
      </c>
      <c r="F116" s="16">
        <v>12.5</v>
      </c>
      <c r="G116" s="16">
        <v>12</v>
      </c>
      <c r="H116" s="16">
        <v>11.5</v>
      </c>
      <c r="I116">
        <v>3</v>
      </c>
      <c r="J116">
        <v>500</v>
      </c>
      <c r="K116">
        <v>150</v>
      </c>
      <c r="L116">
        <v>55</v>
      </c>
      <c r="M116">
        <v>74</v>
      </c>
      <c r="N116">
        <v>14</v>
      </c>
      <c r="O116">
        <v>30</v>
      </c>
      <c r="P116">
        <v>3</v>
      </c>
      <c r="Q116" t="s">
        <v>570</v>
      </c>
      <c r="R116">
        <v>2</v>
      </c>
      <c r="S116">
        <v>200</v>
      </c>
      <c r="T116">
        <v>1</v>
      </c>
      <c r="U116">
        <v>8</v>
      </c>
      <c r="V116">
        <v>550</v>
      </c>
      <c r="W116">
        <v>3</v>
      </c>
      <c r="X116" t="s">
        <v>578</v>
      </c>
      <c r="Y116" s="16">
        <v>210</v>
      </c>
      <c r="Z116">
        <v>70</v>
      </c>
      <c r="AA116" s="16">
        <v>1</v>
      </c>
      <c r="AB116" s="16">
        <v>8</v>
      </c>
    </row>
    <row r="117" spans="1:28" x14ac:dyDescent="0.25">
      <c r="A117" t="s">
        <v>214</v>
      </c>
      <c r="B117" t="s">
        <v>216</v>
      </c>
      <c r="C117">
        <v>115200028</v>
      </c>
      <c r="D117" t="str">
        <f t="shared" si="2"/>
        <v>Erdoğan, Güney-115200028</v>
      </c>
      <c r="E117" s="16">
        <v>15</v>
      </c>
      <c r="F117" s="16">
        <v>14.8</v>
      </c>
      <c r="G117" s="16">
        <v>14.5</v>
      </c>
      <c r="H117" s="16">
        <v>14.1</v>
      </c>
      <c r="I117">
        <v>4</v>
      </c>
      <c r="J117">
        <v>800</v>
      </c>
      <c r="K117">
        <v>120</v>
      </c>
      <c r="L117">
        <v>53</v>
      </c>
      <c r="M117">
        <v>73</v>
      </c>
      <c r="N117">
        <v>14</v>
      </c>
      <c r="O117">
        <v>30</v>
      </c>
      <c r="P117">
        <v>2</v>
      </c>
      <c r="Q117" t="s">
        <v>568</v>
      </c>
      <c r="R117">
        <v>3</v>
      </c>
      <c r="S117">
        <v>400</v>
      </c>
      <c r="T117">
        <v>1</v>
      </c>
      <c r="U117">
        <v>8</v>
      </c>
      <c r="V117">
        <v>580</v>
      </c>
      <c r="W117">
        <v>3</v>
      </c>
      <c r="X117" t="s">
        <v>578</v>
      </c>
      <c r="Y117" s="16">
        <v>220</v>
      </c>
      <c r="Z117">
        <v>58</v>
      </c>
      <c r="AA117" s="16">
        <v>1</v>
      </c>
      <c r="AB117" s="16">
        <v>8</v>
      </c>
    </row>
    <row r="118" spans="1:28" x14ac:dyDescent="0.25">
      <c r="A118" t="s">
        <v>217</v>
      </c>
      <c r="B118" t="s">
        <v>218</v>
      </c>
      <c r="C118">
        <v>115205050</v>
      </c>
      <c r="D118" t="str">
        <f t="shared" si="2"/>
        <v>Ergen, Kaya-115205050</v>
      </c>
      <c r="E118" s="16">
        <v>13</v>
      </c>
      <c r="F118" s="16">
        <v>12.8</v>
      </c>
      <c r="G118" s="16">
        <v>12.3</v>
      </c>
      <c r="H118" s="16">
        <v>12.200000000000001</v>
      </c>
      <c r="I118">
        <v>3</v>
      </c>
      <c r="J118">
        <v>200</v>
      </c>
      <c r="K118">
        <v>150</v>
      </c>
      <c r="L118">
        <v>40</v>
      </c>
      <c r="M118">
        <v>60</v>
      </c>
      <c r="N118">
        <v>10</v>
      </c>
      <c r="O118">
        <v>40</v>
      </c>
      <c r="P118">
        <v>3</v>
      </c>
      <c r="Q118" t="s">
        <v>570</v>
      </c>
      <c r="R118">
        <v>2</v>
      </c>
      <c r="S118">
        <v>100</v>
      </c>
      <c r="T118">
        <v>1</v>
      </c>
      <c r="U118">
        <v>8</v>
      </c>
      <c r="V118">
        <v>440</v>
      </c>
      <c r="W118">
        <v>6</v>
      </c>
      <c r="X118" t="s">
        <v>577</v>
      </c>
      <c r="Y118" s="16">
        <v>100</v>
      </c>
      <c r="Z118">
        <v>49</v>
      </c>
      <c r="AA118" s="16">
        <v>1</v>
      </c>
      <c r="AB118" s="16">
        <v>8</v>
      </c>
    </row>
    <row r="119" spans="1:28" x14ac:dyDescent="0.25">
      <c r="A119" t="s">
        <v>219</v>
      </c>
      <c r="B119" t="s">
        <v>220</v>
      </c>
      <c r="C119">
        <v>115204009</v>
      </c>
      <c r="D119" t="str">
        <f t="shared" si="2"/>
        <v>Erhan, Ali Gökhan-115204009</v>
      </c>
      <c r="E119" s="16">
        <v>13</v>
      </c>
      <c r="F119" s="16">
        <v>12.8</v>
      </c>
      <c r="G119" s="16">
        <v>12.4</v>
      </c>
      <c r="H119" s="16">
        <v>11.9</v>
      </c>
      <c r="I119">
        <v>3</v>
      </c>
      <c r="J119">
        <v>400</v>
      </c>
      <c r="K119">
        <v>130</v>
      </c>
      <c r="L119">
        <v>55</v>
      </c>
      <c r="M119">
        <v>74</v>
      </c>
      <c r="N119">
        <v>15</v>
      </c>
      <c r="O119">
        <v>30</v>
      </c>
      <c r="P119">
        <v>3</v>
      </c>
      <c r="Q119" t="s">
        <v>570</v>
      </c>
      <c r="R119">
        <v>2</v>
      </c>
      <c r="S119">
        <v>300</v>
      </c>
      <c r="T119">
        <v>3</v>
      </c>
      <c r="U119">
        <v>15</v>
      </c>
      <c r="V119">
        <v>460</v>
      </c>
      <c r="W119">
        <v>5</v>
      </c>
      <c r="X119" t="s">
        <v>576</v>
      </c>
      <c r="Y119" s="16">
        <v>140</v>
      </c>
      <c r="Z119">
        <v>66</v>
      </c>
      <c r="AA119" s="16">
        <v>3</v>
      </c>
      <c r="AB119" s="16">
        <v>15</v>
      </c>
    </row>
    <row r="120" spans="1:28" x14ac:dyDescent="0.25">
      <c r="A120" t="s">
        <v>221</v>
      </c>
      <c r="B120" t="s">
        <v>222</v>
      </c>
      <c r="C120">
        <v>116203087</v>
      </c>
      <c r="D120" t="str">
        <f t="shared" si="2"/>
        <v>Eriman, Murat Deniz-116203087</v>
      </c>
      <c r="E120" s="16">
        <v>14</v>
      </c>
      <c r="F120" s="16">
        <v>13.7</v>
      </c>
      <c r="G120" s="16">
        <v>13.299999999999999</v>
      </c>
      <c r="H120" s="16">
        <v>13.2</v>
      </c>
      <c r="I120">
        <v>3</v>
      </c>
      <c r="J120">
        <v>700</v>
      </c>
      <c r="K120">
        <v>100</v>
      </c>
      <c r="L120">
        <v>41</v>
      </c>
      <c r="M120">
        <v>58</v>
      </c>
      <c r="N120">
        <v>14</v>
      </c>
      <c r="O120">
        <v>40</v>
      </c>
      <c r="P120">
        <v>2</v>
      </c>
      <c r="Q120" t="s">
        <v>568</v>
      </c>
      <c r="R120">
        <v>2</v>
      </c>
      <c r="S120">
        <v>400</v>
      </c>
      <c r="T120">
        <v>2</v>
      </c>
      <c r="U120">
        <v>10</v>
      </c>
      <c r="V120">
        <v>490</v>
      </c>
      <c r="W120">
        <v>4</v>
      </c>
      <c r="X120" t="s">
        <v>579</v>
      </c>
      <c r="Y120" s="16">
        <v>170</v>
      </c>
      <c r="Z120">
        <v>44</v>
      </c>
      <c r="AA120" s="16">
        <v>2</v>
      </c>
      <c r="AB120" s="16">
        <v>10</v>
      </c>
    </row>
    <row r="121" spans="1:28" x14ac:dyDescent="0.25">
      <c r="A121" t="s">
        <v>223</v>
      </c>
      <c r="B121" t="s">
        <v>224</v>
      </c>
      <c r="C121">
        <v>111201029</v>
      </c>
      <c r="D121" t="str">
        <f t="shared" si="2"/>
        <v>Erkal, Aslıhan-111201029</v>
      </c>
      <c r="E121" s="16">
        <v>14</v>
      </c>
      <c r="F121" s="16">
        <v>13.6</v>
      </c>
      <c r="G121" s="16">
        <v>13.2</v>
      </c>
      <c r="H121" s="16">
        <v>12.899999999999999</v>
      </c>
      <c r="I121">
        <v>3</v>
      </c>
      <c r="J121">
        <v>600</v>
      </c>
      <c r="K121">
        <v>140</v>
      </c>
      <c r="L121">
        <v>53</v>
      </c>
      <c r="M121">
        <v>73</v>
      </c>
      <c r="N121">
        <v>10</v>
      </c>
      <c r="O121">
        <v>40</v>
      </c>
      <c r="P121">
        <v>2</v>
      </c>
      <c r="Q121" t="s">
        <v>568</v>
      </c>
      <c r="R121">
        <v>2</v>
      </c>
      <c r="S121">
        <v>300</v>
      </c>
      <c r="T121">
        <v>1</v>
      </c>
      <c r="U121">
        <v>8</v>
      </c>
      <c r="V121">
        <v>570</v>
      </c>
      <c r="W121">
        <v>3</v>
      </c>
      <c r="X121" t="s">
        <v>578</v>
      </c>
      <c r="Y121" s="16">
        <v>240</v>
      </c>
      <c r="Z121">
        <v>77</v>
      </c>
      <c r="AA121" s="16">
        <v>2</v>
      </c>
      <c r="AB121" s="16">
        <v>10</v>
      </c>
    </row>
    <row r="122" spans="1:28" x14ac:dyDescent="0.25">
      <c r="A122" t="s">
        <v>225</v>
      </c>
      <c r="B122" t="s">
        <v>226</v>
      </c>
      <c r="C122">
        <v>115203054</v>
      </c>
      <c r="D122" t="str">
        <f t="shared" si="2"/>
        <v>Eruçan, Ökkeş-115203054</v>
      </c>
      <c r="E122" s="16">
        <v>11</v>
      </c>
      <c r="F122" s="16">
        <v>10.7</v>
      </c>
      <c r="G122" s="16">
        <v>10.5</v>
      </c>
      <c r="H122" s="16">
        <v>10.3</v>
      </c>
      <c r="I122">
        <v>2</v>
      </c>
      <c r="J122">
        <v>700</v>
      </c>
      <c r="K122">
        <v>100</v>
      </c>
      <c r="L122">
        <v>54</v>
      </c>
      <c r="M122">
        <v>73</v>
      </c>
      <c r="N122">
        <v>13</v>
      </c>
      <c r="O122">
        <v>30</v>
      </c>
      <c r="P122">
        <v>3</v>
      </c>
      <c r="Q122" t="s">
        <v>570</v>
      </c>
      <c r="R122">
        <v>1</v>
      </c>
      <c r="S122">
        <v>400</v>
      </c>
      <c r="T122">
        <v>2</v>
      </c>
      <c r="U122">
        <v>10</v>
      </c>
      <c r="V122">
        <v>570</v>
      </c>
      <c r="W122">
        <v>6</v>
      </c>
      <c r="X122" t="s">
        <v>577</v>
      </c>
      <c r="Y122" s="16">
        <v>150</v>
      </c>
      <c r="Z122">
        <v>62</v>
      </c>
      <c r="AA122" s="16">
        <v>3</v>
      </c>
      <c r="AB122" s="16">
        <v>15</v>
      </c>
    </row>
    <row r="123" spans="1:28" x14ac:dyDescent="0.25">
      <c r="A123" t="s">
        <v>194</v>
      </c>
      <c r="B123" t="s">
        <v>227</v>
      </c>
      <c r="C123">
        <v>113200054</v>
      </c>
      <c r="D123" t="str">
        <f t="shared" si="2"/>
        <v>Fırat, Dilan-113200054</v>
      </c>
      <c r="E123" s="16">
        <v>15</v>
      </c>
      <c r="F123" s="16">
        <v>14.8</v>
      </c>
      <c r="G123" s="16">
        <v>14.700000000000001</v>
      </c>
      <c r="H123" s="16">
        <v>14.200000000000001</v>
      </c>
      <c r="I123">
        <v>4</v>
      </c>
      <c r="J123">
        <v>900</v>
      </c>
      <c r="K123">
        <v>160</v>
      </c>
      <c r="L123">
        <v>53</v>
      </c>
      <c r="M123">
        <v>63</v>
      </c>
      <c r="N123">
        <v>12</v>
      </c>
      <c r="O123">
        <v>20</v>
      </c>
      <c r="P123">
        <v>2</v>
      </c>
      <c r="Q123" t="s">
        <v>568</v>
      </c>
      <c r="R123">
        <v>3</v>
      </c>
      <c r="S123">
        <v>400</v>
      </c>
      <c r="T123">
        <v>1</v>
      </c>
      <c r="U123">
        <v>8</v>
      </c>
      <c r="V123">
        <v>530</v>
      </c>
      <c r="W123">
        <v>6</v>
      </c>
      <c r="X123" t="s">
        <v>577</v>
      </c>
      <c r="Y123" s="16">
        <v>120</v>
      </c>
      <c r="Z123">
        <v>83</v>
      </c>
      <c r="AA123" s="16">
        <v>2</v>
      </c>
      <c r="AB123" s="16">
        <v>10</v>
      </c>
    </row>
    <row r="124" spans="1:28" x14ac:dyDescent="0.25">
      <c r="A124" t="s">
        <v>194</v>
      </c>
      <c r="B124" t="s">
        <v>228</v>
      </c>
      <c r="C124">
        <v>113204028</v>
      </c>
      <c r="D124" t="str">
        <f t="shared" si="2"/>
        <v>Fırat, Sena-113204028</v>
      </c>
      <c r="E124" s="16">
        <v>12</v>
      </c>
      <c r="F124" s="16">
        <v>11.9</v>
      </c>
      <c r="G124" s="16">
        <v>11.6</v>
      </c>
      <c r="H124" s="16">
        <v>11.1</v>
      </c>
      <c r="I124">
        <v>3</v>
      </c>
      <c r="J124">
        <v>700</v>
      </c>
      <c r="K124">
        <v>150</v>
      </c>
      <c r="L124">
        <v>48</v>
      </c>
      <c r="M124">
        <v>64</v>
      </c>
      <c r="N124">
        <v>11</v>
      </c>
      <c r="O124">
        <v>20</v>
      </c>
      <c r="P124">
        <v>4</v>
      </c>
      <c r="Q124" t="s">
        <v>569</v>
      </c>
      <c r="R124">
        <v>2</v>
      </c>
      <c r="S124">
        <v>100</v>
      </c>
      <c r="T124">
        <v>1</v>
      </c>
      <c r="U124">
        <v>8</v>
      </c>
      <c r="V124">
        <v>470</v>
      </c>
      <c r="W124">
        <v>4</v>
      </c>
      <c r="X124" t="s">
        <v>579</v>
      </c>
      <c r="Y124" s="16">
        <v>170</v>
      </c>
      <c r="Z124">
        <v>77</v>
      </c>
      <c r="AA124" s="16">
        <v>2</v>
      </c>
      <c r="AB124" s="16">
        <v>10</v>
      </c>
    </row>
    <row r="125" spans="1:28" x14ac:dyDescent="0.25">
      <c r="A125" t="s">
        <v>229</v>
      </c>
      <c r="B125" t="s">
        <v>230</v>
      </c>
      <c r="C125">
        <v>116206044</v>
      </c>
      <c r="D125" t="str">
        <f t="shared" si="2"/>
        <v>Gargoum, Nasiem A. Ragab-116206044</v>
      </c>
      <c r="E125" s="16">
        <v>13</v>
      </c>
      <c r="F125" s="16">
        <v>12.6</v>
      </c>
      <c r="G125" s="16">
        <v>12.5</v>
      </c>
      <c r="H125" s="16">
        <v>12.1</v>
      </c>
      <c r="I125">
        <v>3</v>
      </c>
      <c r="J125">
        <v>800</v>
      </c>
      <c r="K125">
        <v>80</v>
      </c>
      <c r="L125">
        <v>41</v>
      </c>
      <c r="M125">
        <v>51</v>
      </c>
      <c r="N125">
        <v>12</v>
      </c>
      <c r="O125">
        <v>30</v>
      </c>
      <c r="P125">
        <v>4</v>
      </c>
      <c r="Q125" t="s">
        <v>569</v>
      </c>
      <c r="R125">
        <v>2</v>
      </c>
      <c r="S125">
        <v>400</v>
      </c>
      <c r="T125">
        <v>1</v>
      </c>
      <c r="U125">
        <v>8</v>
      </c>
      <c r="V125">
        <v>500</v>
      </c>
      <c r="W125">
        <v>6</v>
      </c>
      <c r="X125" t="s">
        <v>577</v>
      </c>
      <c r="Y125" s="16">
        <v>130</v>
      </c>
      <c r="Z125">
        <v>60</v>
      </c>
      <c r="AA125" s="16">
        <v>1</v>
      </c>
      <c r="AB125" s="16">
        <v>8</v>
      </c>
    </row>
    <row r="126" spans="1:28" x14ac:dyDescent="0.25">
      <c r="A126" t="s">
        <v>231</v>
      </c>
      <c r="B126" t="s">
        <v>29</v>
      </c>
      <c r="C126">
        <v>114202019</v>
      </c>
      <c r="D126" t="str">
        <f t="shared" si="2"/>
        <v>Gedik, Emre-114202019</v>
      </c>
      <c r="E126" s="16">
        <v>12</v>
      </c>
      <c r="F126" s="16">
        <v>11.6</v>
      </c>
      <c r="G126" s="16">
        <v>11.299999999999999</v>
      </c>
      <c r="H126" s="16">
        <v>10.799999999999999</v>
      </c>
      <c r="I126">
        <v>2</v>
      </c>
      <c r="J126">
        <v>300</v>
      </c>
      <c r="K126">
        <v>120</v>
      </c>
      <c r="L126">
        <v>51</v>
      </c>
      <c r="M126">
        <v>71</v>
      </c>
      <c r="N126">
        <v>12</v>
      </c>
      <c r="O126">
        <v>30</v>
      </c>
      <c r="P126">
        <v>2</v>
      </c>
      <c r="Q126" t="s">
        <v>568</v>
      </c>
      <c r="R126">
        <v>1</v>
      </c>
      <c r="S126">
        <v>200</v>
      </c>
      <c r="T126">
        <v>2</v>
      </c>
      <c r="U126">
        <v>10</v>
      </c>
      <c r="V126">
        <v>480</v>
      </c>
      <c r="W126">
        <v>4</v>
      </c>
      <c r="X126" t="s">
        <v>579</v>
      </c>
      <c r="Y126" s="16">
        <v>150</v>
      </c>
      <c r="Z126">
        <v>68</v>
      </c>
      <c r="AA126" s="16">
        <v>3</v>
      </c>
      <c r="AB126" s="16">
        <v>15</v>
      </c>
    </row>
    <row r="127" spans="1:28" x14ac:dyDescent="0.25">
      <c r="A127" t="s">
        <v>232</v>
      </c>
      <c r="B127" t="s">
        <v>29</v>
      </c>
      <c r="C127">
        <v>115203021</v>
      </c>
      <c r="D127" t="str">
        <f t="shared" si="2"/>
        <v>Gelgeç, Emre-115203021</v>
      </c>
      <c r="E127" s="16">
        <v>12</v>
      </c>
      <c r="F127" s="16">
        <v>11.5</v>
      </c>
      <c r="G127" s="16">
        <v>11.3</v>
      </c>
      <c r="H127" s="16">
        <v>11.200000000000001</v>
      </c>
      <c r="I127">
        <v>2</v>
      </c>
      <c r="J127">
        <v>900</v>
      </c>
      <c r="K127">
        <v>170</v>
      </c>
      <c r="L127">
        <v>49</v>
      </c>
      <c r="M127">
        <v>64</v>
      </c>
      <c r="N127">
        <v>15</v>
      </c>
      <c r="O127">
        <v>20</v>
      </c>
      <c r="P127">
        <v>4</v>
      </c>
      <c r="Q127" t="s">
        <v>569</v>
      </c>
      <c r="R127">
        <v>1</v>
      </c>
      <c r="S127">
        <v>400</v>
      </c>
      <c r="T127">
        <v>2</v>
      </c>
      <c r="U127">
        <v>10</v>
      </c>
      <c r="V127">
        <v>430</v>
      </c>
      <c r="W127">
        <v>4</v>
      </c>
      <c r="X127" t="s">
        <v>579</v>
      </c>
      <c r="Y127" s="16">
        <v>160</v>
      </c>
      <c r="Z127">
        <v>33</v>
      </c>
      <c r="AA127" s="16">
        <v>1</v>
      </c>
      <c r="AB127" s="16">
        <v>8</v>
      </c>
    </row>
    <row r="128" spans="1:28" x14ac:dyDescent="0.25">
      <c r="A128" t="s">
        <v>233</v>
      </c>
      <c r="B128" t="s">
        <v>234</v>
      </c>
      <c r="C128">
        <v>115205071</v>
      </c>
      <c r="D128" t="str">
        <f t="shared" si="2"/>
        <v>Ghanem, Ahmad-115205071</v>
      </c>
      <c r="E128" s="16">
        <v>11</v>
      </c>
      <c r="F128" s="16">
        <v>10.9</v>
      </c>
      <c r="G128" s="16">
        <v>10.5</v>
      </c>
      <c r="H128" s="16">
        <v>10.4</v>
      </c>
      <c r="I128">
        <v>2</v>
      </c>
      <c r="J128">
        <v>900</v>
      </c>
      <c r="K128">
        <v>130</v>
      </c>
      <c r="L128">
        <v>54</v>
      </c>
      <c r="M128">
        <v>74</v>
      </c>
      <c r="N128">
        <v>15</v>
      </c>
      <c r="O128">
        <v>20</v>
      </c>
      <c r="P128">
        <v>2</v>
      </c>
      <c r="Q128" t="s">
        <v>568</v>
      </c>
      <c r="R128">
        <v>1</v>
      </c>
      <c r="S128">
        <v>200</v>
      </c>
      <c r="T128">
        <v>1</v>
      </c>
      <c r="U128">
        <v>8</v>
      </c>
      <c r="V128">
        <v>590</v>
      </c>
      <c r="W128">
        <v>6</v>
      </c>
      <c r="X128" t="s">
        <v>577</v>
      </c>
      <c r="Y128" s="16">
        <v>150</v>
      </c>
      <c r="Z128">
        <v>59</v>
      </c>
      <c r="AA128" s="16">
        <v>3</v>
      </c>
      <c r="AB128" s="16">
        <v>15</v>
      </c>
    </row>
    <row r="129" spans="1:28" x14ac:dyDescent="0.25">
      <c r="A129" t="s">
        <v>235</v>
      </c>
      <c r="B129" t="s">
        <v>236</v>
      </c>
      <c r="C129">
        <v>115202111</v>
      </c>
      <c r="D129" t="str">
        <f t="shared" si="2"/>
        <v>Göçer, Şafak-115202111</v>
      </c>
      <c r="E129" s="16">
        <v>12</v>
      </c>
      <c r="F129" s="16">
        <v>11.8</v>
      </c>
      <c r="G129" s="16">
        <v>11.3</v>
      </c>
      <c r="H129" s="16">
        <v>11.100000000000001</v>
      </c>
      <c r="I129">
        <v>3</v>
      </c>
      <c r="J129">
        <v>800</v>
      </c>
      <c r="K129">
        <v>140</v>
      </c>
      <c r="L129">
        <v>43</v>
      </c>
      <c r="M129">
        <v>58</v>
      </c>
      <c r="N129">
        <v>11</v>
      </c>
      <c r="O129">
        <v>40</v>
      </c>
      <c r="P129">
        <v>2</v>
      </c>
      <c r="Q129" t="s">
        <v>568</v>
      </c>
      <c r="R129">
        <v>2</v>
      </c>
      <c r="S129">
        <v>200</v>
      </c>
      <c r="T129">
        <v>3</v>
      </c>
      <c r="U129">
        <v>15</v>
      </c>
      <c r="V129">
        <v>430</v>
      </c>
      <c r="W129">
        <v>6</v>
      </c>
      <c r="X129" t="s">
        <v>577</v>
      </c>
      <c r="Y129" s="16">
        <v>120</v>
      </c>
      <c r="Z129">
        <v>73</v>
      </c>
      <c r="AA129" s="16">
        <v>3</v>
      </c>
      <c r="AB129" s="16">
        <v>15</v>
      </c>
    </row>
    <row r="130" spans="1:28" x14ac:dyDescent="0.25">
      <c r="A130" t="s">
        <v>237</v>
      </c>
      <c r="B130" t="s">
        <v>121</v>
      </c>
      <c r="C130">
        <v>114202017</v>
      </c>
      <c r="D130" t="str">
        <f t="shared" si="2"/>
        <v>Gökbaşı, Onur-114202017</v>
      </c>
      <c r="E130" s="16">
        <v>13</v>
      </c>
      <c r="F130" s="16">
        <v>12.8</v>
      </c>
      <c r="G130" s="16">
        <v>12.4</v>
      </c>
      <c r="H130" s="16">
        <v>12</v>
      </c>
      <c r="I130">
        <v>2</v>
      </c>
      <c r="J130">
        <v>600</v>
      </c>
      <c r="K130">
        <v>130</v>
      </c>
      <c r="L130">
        <v>55</v>
      </c>
      <c r="M130">
        <v>65</v>
      </c>
      <c r="N130">
        <v>11</v>
      </c>
      <c r="O130">
        <v>40</v>
      </c>
      <c r="P130">
        <v>4</v>
      </c>
      <c r="Q130" t="s">
        <v>569</v>
      </c>
      <c r="R130">
        <v>1</v>
      </c>
      <c r="S130">
        <v>300</v>
      </c>
      <c r="T130">
        <v>1</v>
      </c>
      <c r="U130">
        <v>8</v>
      </c>
      <c r="V130">
        <v>420</v>
      </c>
      <c r="W130">
        <v>4</v>
      </c>
      <c r="X130" t="s">
        <v>579</v>
      </c>
      <c r="Y130" s="16">
        <v>140</v>
      </c>
      <c r="Z130">
        <v>37</v>
      </c>
      <c r="AA130" s="16">
        <v>3</v>
      </c>
      <c r="AB130" s="16">
        <v>15</v>
      </c>
    </row>
    <row r="131" spans="1:28" x14ac:dyDescent="0.25">
      <c r="A131" t="s">
        <v>238</v>
      </c>
      <c r="B131" t="s">
        <v>239</v>
      </c>
      <c r="C131">
        <v>115203055</v>
      </c>
      <c r="D131" t="str">
        <f t="shared" si="2"/>
        <v>Gölcü, Halis-115203055</v>
      </c>
      <c r="E131" s="16">
        <v>14</v>
      </c>
      <c r="F131" s="16">
        <v>13.5</v>
      </c>
      <c r="G131" s="16">
        <v>13.2</v>
      </c>
      <c r="H131" s="16">
        <v>12.7</v>
      </c>
      <c r="I131">
        <v>2</v>
      </c>
      <c r="J131">
        <v>900</v>
      </c>
      <c r="K131">
        <v>90</v>
      </c>
      <c r="L131">
        <v>55</v>
      </c>
      <c r="M131">
        <v>70</v>
      </c>
      <c r="N131">
        <v>14</v>
      </c>
      <c r="O131">
        <v>30</v>
      </c>
      <c r="P131">
        <v>2</v>
      </c>
      <c r="Q131" t="s">
        <v>568</v>
      </c>
      <c r="R131">
        <v>1</v>
      </c>
      <c r="S131">
        <v>400</v>
      </c>
      <c r="T131">
        <v>3</v>
      </c>
      <c r="U131">
        <v>15</v>
      </c>
      <c r="V131">
        <v>570</v>
      </c>
      <c r="W131">
        <v>5</v>
      </c>
      <c r="X131" t="s">
        <v>576</v>
      </c>
      <c r="Y131" s="16">
        <v>160</v>
      </c>
      <c r="Z131">
        <v>87</v>
      </c>
      <c r="AA131" s="16">
        <v>3</v>
      </c>
      <c r="AB131" s="16">
        <v>15</v>
      </c>
    </row>
    <row r="132" spans="1:28" x14ac:dyDescent="0.25">
      <c r="A132" t="s">
        <v>240</v>
      </c>
      <c r="B132" t="s">
        <v>241</v>
      </c>
      <c r="C132">
        <v>117203087</v>
      </c>
      <c r="D132" t="str">
        <f t="shared" ref="D132:D195" si="3">A132&amp;", "&amp;B132&amp;"-"&amp;C132</f>
        <v>Göncü, Helin-117203087</v>
      </c>
      <c r="E132" s="16">
        <v>15</v>
      </c>
      <c r="F132" s="16">
        <v>14.9</v>
      </c>
      <c r="G132" s="16">
        <v>14.4</v>
      </c>
      <c r="H132" s="16">
        <v>14</v>
      </c>
      <c r="I132">
        <v>3</v>
      </c>
      <c r="J132">
        <v>500</v>
      </c>
      <c r="K132">
        <v>130</v>
      </c>
      <c r="L132">
        <v>44</v>
      </c>
      <c r="M132">
        <v>54</v>
      </c>
      <c r="N132">
        <v>10</v>
      </c>
      <c r="O132">
        <v>30</v>
      </c>
      <c r="P132">
        <v>4</v>
      </c>
      <c r="Q132" t="s">
        <v>569</v>
      </c>
      <c r="R132">
        <v>2</v>
      </c>
      <c r="S132">
        <v>100</v>
      </c>
      <c r="T132">
        <v>1</v>
      </c>
      <c r="U132">
        <v>8</v>
      </c>
      <c r="V132">
        <v>520</v>
      </c>
      <c r="W132">
        <v>4</v>
      </c>
      <c r="X132" t="s">
        <v>579</v>
      </c>
      <c r="Y132" s="16">
        <v>170</v>
      </c>
      <c r="Z132">
        <v>77</v>
      </c>
      <c r="AA132" s="16">
        <v>2</v>
      </c>
      <c r="AB132" s="16">
        <v>10</v>
      </c>
    </row>
    <row r="133" spans="1:28" x14ac:dyDescent="0.25">
      <c r="A133" t="s">
        <v>242</v>
      </c>
      <c r="B133" t="s">
        <v>161</v>
      </c>
      <c r="C133">
        <v>112204003</v>
      </c>
      <c r="D133" t="str">
        <f t="shared" si="3"/>
        <v>Gözen, Özgür-112204003</v>
      </c>
      <c r="E133" s="16">
        <v>12</v>
      </c>
      <c r="F133" s="16">
        <v>11.6</v>
      </c>
      <c r="G133" s="16">
        <v>11.299999999999999</v>
      </c>
      <c r="H133" s="16">
        <v>10.999999999999998</v>
      </c>
      <c r="I133">
        <v>4</v>
      </c>
      <c r="J133">
        <v>400</v>
      </c>
      <c r="K133">
        <v>180</v>
      </c>
      <c r="L133">
        <v>53</v>
      </c>
      <c r="M133">
        <v>70</v>
      </c>
      <c r="N133">
        <v>15</v>
      </c>
      <c r="O133">
        <v>40</v>
      </c>
      <c r="P133">
        <v>3</v>
      </c>
      <c r="Q133" t="s">
        <v>570</v>
      </c>
      <c r="R133">
        <v>3</v>
      </c>
      <c r="S133">
        <v>300</v>
      </c>
      <c r="T133">
        <v>3</v>
      </c>
      <c r="U133">
        <v>15</v>
      </c>
      <c r="V133">
        <v>600</v>
      </c>
      <c r="W133">
        <v>4</v>
      </c>
      <c r="X133" t="s">
        <v>579</v>
      </c>
      <c r="Y133" s="16">
        <v>190</v>
      </c>
      <c r="Z133">
        <v>75</v>
      </c>
      <c r="AA133" s="16">
        <v>3</v>
      </c>
      <c r="AB133" s="16">
        <v>15</v>
      </c>
    </row>
    <row r="134" spans="1:28" x14ac:dyDescent="0.25">
      <c r="A134" t="s">
        <v>243</v>
      </c>
      <c r="B134" t="s">
        <v>244</v>
      </c>
      <c r="C134">
        <v>116206152</v>
      </c>
      <c r="D134" t="str">
        <f t="shared" si="3"/>
        <v>Gujbawu, Abdulrahman Baba-116206152</v>
      </c>
      <c r="E134" s="16">
        <v>12</v>
      </c>
      <c r="F134" s="16">
        <v>11.8</v>
      </c>
      <c r="G134" s="16">
        <v>11.4</v>
      </c>
      <c r="H134" s="16">
        <v>11.3</v>
      </c>
      <c r="I134">
        <v>4</v>
      </c>
      <c r="J134">
        <v>600</v>
      </c>
      <c r="K134">
        <v>130</v>
      </c>
      <c r="L134">
        <v>48</v>
      </c>
      <c r="M134">
        <v>62</v>
      </c>
      <c r="N134">
        <v>15</v>
      </c>
      <c r="O134">
        <v>30</v>
      </c>
      <c r="P134">
        <v>2</v>
      </c>
      <c r="Q134" t="s">
        <v>568</v>
      </c>
      <c r="R134">
        <v>3</v>
      </c>
      <c r="S134">
        <v>400</v>
      </c>
      <c r="T134">
        <v>1</v>
      </c>
      <c r="U134">
        <v>8</v>
      </c>
      <c r="V134">
        <v>580</v>
      </c>
      <c r="W134">
        <v>4</v>
      </c>
      <c r="X134" t="s">
        <v>579</v>
      </c>
      <c r="Y134" s="16">
        <v>200</v>
      </c>
      <c r="Z134">
        <v>48</v>
      </c>
      <c r="AA134" s="16">
        <v>1</v>
      </c>
      <c r="AB134" s="16">
        <v>8</v>
      </c>
    </row>
    <row r="135" spans="1:28" x14ac:dyDescent="0.25">
      <c r="A135" t="s">
        <v>245</v>
      </c>
      <c r="B135" t="s">
        <v>246</v>
      </c>
      <c r="C135">
        <v>115200085</v>
      </c>
      <c r="D135" t="str">
        <f t="shared" si="3"/>
        <v>Gül, Hanifi Enes-115200085</v>
      </c>
      <c r="E135" s="16">
        <v>14</v>
      </c>
      <c r="F135" s="16">
        <v>13.5</v>
      </c>
      <c r="G135" s="16">
        <v>13.3</v>
      </c>
      <c r="H135" s="16">
        <v>13.100000000000001</v>
      </c>
      <c r="I135">
        <v>2</v>
      </c>
      <c r="J135">
        <v>500</v>
      </c>
      <c r="K135">
        <v>150</v>
      </c>
      <c r="L135">
        <v>47</v>
      </c>
      <c r="M135">
        <v>60</v>
      </c>
      <c r="N135">
        <v>12</v>
      </c>
      <c r="O135">
        <v>40</v>
      </c>
      <c r="P135">
        <v>4</v>
      </c>
      <c r="Q135" t="s">
        <v>569</v>
      </c>
      <c r="R135">
        <v>1</v>
      </c>
      <c r="S135">
        <v>300</v>
      </c>
      <c r="T135">
        <v>1</v>
      </c>
      <c r="U135">
        <v>8</v>
      </c>
      <c r="V135">
        <v>430</v>
      </c>
      <c r="W135">
        <v>5</v>
      </c>
      <c r="X135" t="s">
        <v>576</v>
      </c>
      <c r="Y135" s="16">
        <v>120</v>
      </c>
      <c r="Z135">
        <v>43</v>
      </c>
      <c r="AA135" s="16">
        <v>2</v>
      </c>
      <c r="AB135" s="16">
        <v>10</v>
      </c>
    </row>
    <row r="136" spans="1:28" x14ac:dyDescent="0.25">
      <c r="A136" t="s">
        <v>245</v>
      </c>
      <c r="B136" t="s">
        <v>247</v>
      </c>
      <c r="C136">
        <v>114206019</v>
      </c>
      <c r="D136" t="str">
        <f t="shared" si="3"/>
        <v>Gül, Yavuz Osman-114206019</v>
      </c>
      <c r="E136" s="16">
        <v>12</v>
      </c>
      <c r="F136" s="16">
        <v>11.8</v>
      </c>
      <c r="G136" s="16">
        <v>11.700000000000001</v>
      </c>
      <c r="H136" s="16">
        <v>11.600000000000001</v>
      </c>
      <c r="I136">
        <v>4</v>
      </c>
      <c r="J136">
        <v>300</v>
      </c>
      <c r="K136">
        <v>130</v>
      </c>
      <c r="L136">
        <v>45</v>
      </c>
      <c r="M136">
        <v>57</v>
      </c>
      <c r="N136">
        <v>11</v>
      </c>
      <c r="O136">
        <v>20</v>
      </c>
      <c r="P136">
        <v>3</v>
      </c>
      <c r="Q136" t="s">
        <v>570</v>
      </c>
      <c r="R136">
        <v>3</v>
      </c>
      <c r="S136">
        <v>400</v>
      </c>
      <c r="T136">
        <v>3</v>
      </c>
      <c r="U136">
        <v>15</v>
      </c>
      <c r="V136">
        <v>410</v>
      </c>
      <c r="W136">
        <v>5</v>
      </c>
      <c r="X136" t="s">
        <v>576</v>
      </c>
      <c r="Y136" s="16">
        <v>130</v>
      </c>
      <c r="Z136">
        <v>76</v>
      </c>
      <c r="AA136" s="16">
        <v>3</v>
      </c>
      <c r="AB136" s="16">
        <v>15</v>
      </c>
    </row>
    <row r="137" spans="1:28" x14ac:dyDescent="0.25">
      <c r="A137" t="s">
        <v>245</v>
      </c>
      <c r="B137" t="s">
        <v>150</v>
      </c>
      <c r="C137">
        <v>116203078</v>
      </c>
      <c r="D137" t="str">
        <f t="shared" si="3"/>
        <v>Gül, Şebnem-116203078</v>
      </c>
      <c r="E137" s="16">
        <v>15</v>
      </c>
      <c r="F137" s="16">
        <v>14.6</v>
      </c>
      <c r="G137" s="16">
        <v>14.299999999999999</v>
      </c>
      <c r="H137" s="16">
        <v>14.1</v>
      </c>
      <c r="I137">
        <v>4</v>
      </c>
      <c r="J137">
        <v>600</v>
      </c>
      <c r="K137">
        <v>150</v>
      </c>
      <c r="L137">
        <v>45</v>
      </c>
      <c r="M137">
        <v>65</v>
      </c>
      <c r="N137">
        <v>12</v>
      </c>
      <c r="O137">
        <v>20</v>
      </c>
      <c r="P137">
        <v>3</v>
      </c>
      <c r="Q137" t="s">
        <v>570</v>
      </c>
      <c r="R137">
        <v>3</v>
      </c>
      <c r="S137">
        <v>400</v>
      </c>
      <c r="T137">
        <v>3</v>
      </c>
      <c r="U137">
        <v>15</v>
      </c>
      <c r="V137">
        <v>540</v>
      </c>
      <c r="W137">
        <v>5</v>
      </c>
      <c r="X137" t="s">
        <v>576</v>
      </c>
      <c r="Y137" s="16">
        <v>150</v>
      </c>
      <c r="Z137">
        <v>59</v>
      </c>
      <c r="AA137" s="16">
        <v>3</v>
      </c>
      <c r="AB137" s="16">
        <v>15</v>
      </c>
    </row>
    <row r="138" spans="1:28" x14ac:dyDescent="0.25">
      <c r="A138" t="s">
        <v>248</v>
      </c>
      <c r="B138" t="s">
        <v>249</v>
      </c>
      <c r="C138">
        <v>115203076</v>
      </c>
      <c r="D138" t="str">
        <f t="shared" si="3"/>
        <v>Gülcan, Yiğit Aliosman-115203076</v>
      </c>
      <c r="E138" s="16">
        <v>14</v>
      </c>
      <c r="F138" s="16">
        <v>13.6</v>
      </c>
      <c r="G138" s="16">
        <v>13.5</v>
      </c>
      <c r="H138" s="16">
        <v>13.1</v>
      </c>
      <c r="I138">
        <v>3</v>
      </c>
      <c r="J138">
        <v>400</v>
      </c>
      <c r="K138">
        <v>80</v>
      </c>
      <c r="L138">
        <v>54</v>
      </c>
      <c r="M138">
        <v>69</v>
      </c>
      <c r="N138">
        <v>10</v>
      </c>
      <c r="O138">
        <v>40</v>
      </c>
      <c r="P138">
        <v>3</v>
      </c>
      <c r="Q138" t="s">
        <v>570</v>
      </c>
      <c r="R138">
        <v>2</v>
      </c>
      <c r="S138">
        <v>100</v>
      </c>
      <c r="T138">
        <v>3</v>
      </c>
      <c r="U138">
        <v>15</v>
      </c>
      <c r="V138">
        <v>600</v>
      </c>
      <c r="W138">
        <v>3</v>
      </c>
      <c r="X138" t="s">
        <v>578</v>
      </c>
      <c r="Y138" s="16">
        <v>230</v>
      </c>
      <c r="Z138">
        <v>100</v>
      </c>
      <c r="AA138" s="16">
        <v>2</v>
      </c>
      <c r="AB138" s="16">
        <v>10</v>
      </c>
    </row>
    <row r="139" spans="1:28" x14ac:dyDescent="0.25">
      <c r="A139" t="s">
        <v>250</v>
      </c>
      <c r="B139" t="s">
        <v>251</v>
      </c>
      <c r="C139">
        <v>113203019</v>
      </c>
      <c r="D139" t="str">
        <f t="shared" si="3"/>
        <v>Güldoğan, Tuğman Turgut-113203019</v>
      </c>
      <c r="E139" s="16">
        <v>11</v>
      </c>
      <c r="F139" s="16">
        <v>10.9</v>
      </c>
      <c r="G139" s="16">
        <v>10.6</v>
      </c>
      <c r="H139" s="16">
        <v>10.5</v>
      </c>
      <c r="I139">
        <v>2</v>
      </c>
      <c r="J139">
        <v>400</v>
      </c>
      <c r="K139">
        <v>170</v>
      </c>
      <c r="L139">
        <v>44</v>
      </c>
      <c r="M139">
        <v>63</v>
      </c>
      <c r="N139">
        <v>10</v>
      </c>
      <c r="O139">
        <v>30</v>
      </c>
      <c r="P139">
        <v>3</v>
      </c>
      <c r="Q139" t="s">
        <v>570</v>
      </c>
      <c r="R139">
        <v>1</v>
      </c>
      <c r="S139">
        <v>300</v>
      </c>
      <c r="T139">
        <v>3</v>
      </c>
      <c r="U139">
        <v>15</v>
      </c>
      <c r="V139">
        <v>410</v>
      </c>
      <c r="W139">
        <v>3</v>
      </c>
      <c r="X139" t="s">
        <v>578</v>
      </c>
      <c r="Y139" s="16">
        <v>190</v>
      </c>
      <c r="Z139">
        <v>81</v>
      </c>
      <c r="AA139" s="16">
        <v>1</v>
      </c>
      <c r="AB139" s="16">
        <v>8</v>
      </c>
    </row>
    <row r="140" spans="1:28" x14ac:dyDescent="0.25">
      <c r="A140" t="s">
        <v>252</v>
      </c>
      <c r="B140" t="s">
        <v>33</v>
      </c>
      <c r="C140">
        <v>114204032</v>
      </c>
      <c r="D140" t="str">
        <f t="shared" si="3"/>
        <v>Gülen, Berk-114204032</v>
      </c>
      <c r="E140" s="16">
        <v>15</v>
      </c>
      <c r="F140" s="16">
        <v>14.7</v>
      </c>
      <c r="G140" s="16">
        <v>14.299999999999999</v>
      </c>
      <c r="H140" s="16">
        <v>14.2</v>
      </c>
      <c r="I140">
        <v>3</v>
      </c>
      <c r="J140">
        <v>800</v>
      </c>
      <c r="K140">
        <v>90</v>
      </c>
      <c r="L140">
        <v>46</v>
      </c>
      <c r="M140">
        <v>66</v>
      </c>
      <c r="N140">
        <v>12</v>
      </c>
      <c r="O140">
        <v>40</v>
      </c>
      <c r="P140">
        <v>4</v>
      </c>
      <c r="Q140" t="s">
        <v>569</v>
      </c>
      <c r="R140">
        <v>2</v>
      </c>
      <c r="S140">
        <v>100</v>
      </c>
      <c r="T140">
        <v>3</v>
      </c>
      <c r="U140">
        <v>15</v>
      </c>
      <c r="V140">
        <v>430</v>
      </c>
      <c r="W140">
        <v>4</v>
      </c>
      <c r="X140" t="s">
        <v>579</v>
      </c>
      <c r="Y140" s="16">
        <v>160</v>
      </c>
      <c r="Z140">
        <v>83</v>
      </c>
      <c r="AA140" s="16">
        <v>2</v>
      </c>
      <c r="AB140" s="16">
        <v>10</v>
      </c>
    </row>
    <row r="141" spans="1:28" x14ac:dyDescent="0.25">
      <c r="A141" t="s">
        <v>253</v>
      </c>
      <c r="B141" t="s">
        <v>254</v>
      </c>
      <c r="C141">
        <v>115200065</v>
      </c>
      <c r="D141" t="str">
        <f t="shared" si="3"/>
        <v>Gürel, Alaeddin Selçuk-115200065</v>
      </c>
      <c r="E141" s="16">
        <v>11</v>
      </c>
      <c r="F141" s="16">
        <v>10.9</v>
      </c>
      <c r="G141" s="16">
        <v>10.700000000000001</v>
      </c>
      <c r="H141" s="16">
        <v>10.500000000000002</v>
      </c>
      <c r="I141">
        <v>2</v>
      </c>
      <c r="J141">
        <v>700</v>
      </c>
      <c r="K141">
        <v>90</v>
      </c>
      <c r="L141">
        <v>50</v>
      </c>
      <c r="M141">
        <v>67</v>
      </c>
      <c r="N141">
        <v>12</v>
      </c>
      <c r="O141">
        <v>30</v>
      </c>
      <c r="P141">
        <v>4</v>
      </c>
      <c r="Q141" t="s">
        <v>569</v>
      </c>
      <c r="R141">
        <v>1</v>
      </c>
      <c r="S141">
        <v>400</v>
      </c>
      <c r="T141">
        <v>3</v>
      </c>
      <c r="U141">
        <v>15</v>
      </c>
      <c r="V141">
        <v>590</v>
      </c>
      <c r="W141">
        <v>6</v>
      </c>
      <c r="X141" t="s">
        <v>577</v>
      </c>
      <c r="Y141" s="16">
        <v>150</v>
      </c>
      <c r="Z141">
        <v>84</v>
      </c>
      <c r="AA141" s="16">
        <v>2</v>
      </c>
      <c r="AB141" s="16">
        <v>10</v>
      </c>
    </row>
    <row r="142" spans="1:28" x14ac:dyDescent="0.25">
      <c r="A142" t="s">
        <v>255</v>
      </c>
      <c r="B142" t="s">
        <v>256</v>
      </c>
      <c r="C142">
        <v>115207039</v>
      </c>
      <c r="D142" t="str">
        <f t="shared" si="3"/>
        <v>Güven, Demirhan Şerif-115207039</v>
      </c>
      <c r="E142" s="16">
        <v>13</v>
      </c>
      <c r="F142" s="16">
        <v>12.7</v>
      </c>
      <c r="G142" s="16">
        <v>12.5</v>
      </c>
      <c r="H142" s="16">
        <v>12.1</v>
      </c>
      <c r="I142">
        <v>3</v>
      </c>
      <c r="J142">
        <v>400</v>
      </c>
      <c r="K142">
        <v>80</v>
      </c>
      <c r="L142">
        <v>48</v>
      </c>
      <c r="M142">
        <v>61</v>
      </c>
      <c r="N142">
        <v>15</v>
      </c>
      <c r="O142">
        <v>30</v>
      </c>
      <c r="P142">
        <v>4</v>
      </c>
      <c r="Q142" t="s">
        <v>569</v>
      </c>
      <c r="R142">
        <v>2</v>
      </c>
      <c r="S142">
        <v>400</v>
      </c>
      <c r="T142">
        <v>1</v>
      </c>
      <c r="U142">
        <v>8</v>
      </c>
      <c r="V142">
        <v>600</v>
      </c>
      <c r="W142">
        <v>4</v>
      </c>
      <c r="X142" t="s">
        <v>579</v>
      </c>
      <c r="Y142" s="16">
        <v>190</v>
      </c>
      <c r="Z142">
        <v>60</v>
      </c>
      <c r="AA142" s="16">
        <v>2</v>
      </c>
      <c r="AB142" s="16">
        <v>10</v>
      </c>
    </row>
    <row r="143" spans="1:28" x14ac:dyDescent="0.25">
      <c r="A143" t="s">
        <v>257</v>
      </c>
      <c r="B143" t="s">
        <v>258</v>
      </c>
      <c r="C143">
        <v>114201057</v>
      </c>
      <c r="D143" t="str">
        <f t="shared" si="3"/>
        <v>Hacılar, Nesli-114201057</v>
      </c>
      <c r="E143" s="16">
        <v>11</v>
      </c>
      <c r="F143" s="16">
        <v>10.5</v>
      </c>
      <c r="G143" s="16">
        <v>10.3</v>
      </c>
      <c r="H143" s="16">
        <v>10.100000000000001</v>
      </c>
      <c r="I143">
        <v>3</v>
      </c>
      <c r="J143">
        <v>200</v>
      </c>
      <c r="K143">
        <v>90</v>
      </c>
      <c r="L143">
        <v>40</v>
      </c>
      <c r="M143">
        <v>55</v>
      </c>
      <c r="N143">
        <v>14</v>
      </c>
      <c r="O143">
        <v>40</v>
      </c>
      <c r="P143">
        <v>2</v>
      </c>
      <c r="Q143" t="s">
        <v>568</v>
      </c>
      <c r="R143">
        <v>2</v>
      </c>
      <c r="S143">
        <v>200</v>
      </c>
      <c r="T143">
        <v>2</v>
      </c>
      <c r="U143">
        <v>10</v>
      </c>
      <c r="V143">
        <v>420</v>
      </c>
      <c r="W143">
        <v>5</v>
      </c>
      <c r="X143" t="s">
        <v>576</v>
      </c>
      <c r="Y143" s="16">
        <v>120</v>
      </c>
      <c r="Z143">
        <v>77</v>
      </c>
      <c r="AA143" s="16">
        <v>2</v>
      </c>
      <c r="AB143" s="16">
        <v>10</v>
      </c>
    </row>
    <row r="144" spans="1:28" x14ac:dyDescent="0.25">
      <c r="A144" t="s">
        <v>259</v>
      </c>
      <c r="B144" t="s">
        <v>260</v>
      </c>
      <c r="C144">
        <v>113204009</v>
      </c>
      <c r="D144" t="str">
        <f t="shared" si="3"/>
        <v>Hoşduran, Bedirhan-113204009</v>
      </c>
      <c r="E144" s="16">
        <v>14</v>
      </c>
      <c r="F144" s="16">
        <v>13.7</v>
      </c>
      <c r="G144" s="16">
        <v>13.5</v>
      </c>
      <c r="H144" s="16">
        <v>13.3</v>
      </c>
      <c r="I144">
        <v>4</v>
      </c>
      <c r="J144">
        <v>300</v>
      </c>
      <c r="K144">
        <v>130</v>
      </c>
      <c r="L144">
        <v>51</v>
      </c>
      <c r="M144">
        <v>61</v>
      </c>
      <c r="N144">
        <v>11</v>
      </c>
      <c r="O144">
        <v>20</v>
      </c>
      <c r="P144">
        <v>4</v>
      </c>
      <c r="Q144" t="s">
        <v>569</v>
      </c>
      <c r="R144">
        <v>3</v>
      </c>
      <c r="S144">
        <v>200</v>
      </c>
      <c r="T144">
        <v>1</v>
      </c>
      <c r="U144">
        <v>8</v>
      </c>
      <c r="V144">
        <v>450</v>
      </c>
      <c r="W144">
        <v>6</v>
      </c>
      <c r="X144" t="s">
        <v>577</v>
      </c>
      <c r="Y144" s="16">
        <v>110</v>
      </c>
      <c r="Z144">
        <v>65</v>
      </c>
      <c r="AA144" s="16">
        <v>3</v>
      </c>
      <c r="AB144" s="16">
        <v>15</v>
      </c>
    </row>
    <row r="145" spans="1:28" x14ac:dyDescent="0.25">
      <c r="A145" t="s">
        <v>263</v>
      </c>
      <c r="B145" t="s">
        <v>264</v>
      </c>
      <c r="C145">
        <v>116203149</v>
      </c>
      <c r="D145" t="str">
        <f t="shared" si="3"/>
        <v>Irk, Mert-116203149</v>
      </c>
      <c r="E145" s="16">
        <v>15</v>
      </c>
      <c r="F145" s="16">
        <v>14.5</v>
      </c>
      <c r="G145" s="16">
        <v>14.4</v>
      </c>
      <c r="H145" s="16">
        <v>14.200000000000001</v>
      </c>
      <c r="I145">
        <v>4</v>
      </c>
      <c r="J145">
        <v>600</v>
      </c>
      <c r="K145">
        <v>160</v>
      </c>
      <c r="L145">
        <v>44</v>
      </c>
      <c r="M145">
        <v>57</v>
      </c>
      <c r="N145">
        <v>13</v>
      </c>
      <c r="O145">
        <v>40</v>
      </c>
      <c r="P145">
        <v>3</v>
      </c>
      <c r="Q145" t="s">
        <v>570</v>
      </c>
      <c r="R145">
        <v>3</v>
      </c>
      <c r="S145">
        <v>400</v>
      </c>
      <c r="T145">
        <v>1</v>
      </c>
      <c r="U145">
        <v>8</v>
      </c>
      <c r="V145">
        <v>400</v>
      </c>
      <c r="W145">
        <v>6</v>
      </c>
      <c r="X145" t="s">
        <v>577</v>
      </c>
      <c r="Y145" s="16">
        <v>110</v>
      </c>
      <c r="Z145">
        <v>40</v>
      </c>
      <c r="AA145" s="16">
        <v>1</v>
      </c>
      <c r="AB145" s="16">
        <v>8</v>
      </c>
    </row>
    <row r="146" spans="1:28" x14ac:dyDescent="0.25">
      <c r="A146" t="s">
        <v>265</v>
      </c>
      <c r="B146" t="s">
        <v>266</v>
      </c>
      <c r="C146">
        <v>114204007</v>
      </c>
      <c r="D146" t="str">
        <f t="shared" si="3"/>
        <v>Işık, Tuğba Nur-114204007</v>
      </c>
      <c r="E146" s="16">
        <v>11</v>
      </c>
      <c r="F146" s="16">
        <v>10.9</v>
      </c>
      <c r="G146" s="16">
        <v>10.700000000000001</v>
      </c>
      <c r="H146" s="16">
        <v>10.200000000000001</v>
      </c>
      <c r="I146">
        <v>4</v>
      </c>
      <c r="J146">
        <v>600</v>
      </c>
      <c r="K146">
        <v>180</v>
      </c>
      <c r="L146">
        <v>51</v>
      </c>
      <c r="M146">
        <v>67</v>
      </c>
      <c r="N146">
        <v>12</v>
      </c>
      <c r="O146">
        <v>30</v>
      </c>
      <c r="P146">
        <v>4</v>
      </c>
      <c r="Q146" t="s">
        <v>569</v>
      </c>
      <c r="R146">
        <v>3</v>
      </c>
      <c r="S146">
        <v>200</v>
      </c>
      <c r="T146">
        <v>2</v>
      </c>
      <c r="U146">
        <v>10</v>
      </c>
      <c r="V146">
        <v>480</v>
      </c>
      <c r="W146">
        <v>6</v>
      </c>
      <c r="X146" t="s">
        <v>577</v>
      </c>
      <c r="Y146" s="16">
        <v>130</v>
      </c>
      <c r="Z146">
        <v>83</v>
      </c>
      <c r="AA146" s="16">
        <v>2</v>
      </c>
      <c r="AB146" s="16">
        <v>10</v>
      </c>
    </row>
    <row r="147" spans="1:28" x14ac:dyDescent="0.25">
      <c r="A147" t="s">
        <v>267</v>
      </c>
      <c r="B147" t="s">
        <v>268</v>
      </c>
      <c r="C147">
        <v>114200036</v>
      </c>
      <c r="D147" t="str">
        <f t="shared" si="3"/>
        <v>Işıklar, Bartu-114200036</v>
      </c>
      <c r="E147" s="16">
        <v>13</v>
      </c>
      <c r="F147" s="16">
        <v>12.7</v>
      </c>
      <c r="G147" s="16">
        <v>12.6</v>
      </c>
      <c r="H147" s="16">
        <v>12.4</v>
      </c>
      <c r="I147">
        <v>2</v>
      </c>
      <c r="J147">
        <v>800</v>
      </c>
      <c r="K147">
        <v>160</v>
      </c>
      <c r="L147">
        <v>42</v>
      </c>
      <c r="M147">
        <v>57</v>
      </c>
      <c r="N147">
        <v>14</v>
      </c>
      <c r="O147">
        <v>40</v>
      </c>
      <c r="P147">
        <v>2</v>
      </c>
      <c r="Q147" t="s">
        <v>568</v>
      </c>
      <c r="R147">
        <v>1</v>
      </c>
      <c r="S147">
        <v>100</v>
      </c>
      <c r="T147">
        <v>2</v>
      </c>
      <c r="U147">
        <v>10</v>
      </c>
      <c r="V147">
        <v>400</v>
      </c>
      <c r="W147">
        <v>5</v>
      </c>
      <c r="X147" t="s">
        <v>576</v>
      </c>
      <c r="Y147" s="16">
        <v>130</v>
      </c>
      <c r="Z147">
        <v>30</v>
      </c>
      <c r="AA147" s="16">
        <v>2</v>
      </c>
      <c r="AB147" s="16">
        <v>10</v>
      </c>
    </row>
    <row r="148" spans="1:28" x14ac:dyDescent="0.25">
      <c r="A148" t="s">
        <v>261</v>
      </c>
      <c r="B148" t="s">
        <v>262</v>
      </c>
      <c r="C148">
        <v>116201156</v>
      </c>
      <c r="D148" t="str">
        <f t="shared" si="3"/>
        <v>İnan, Esra-116201156</v>
      </c>
      <c r="E148" s="16">
        <v>15</v>
      </c>
      <c r="F148" s="16">
        <v>14.7</v>
      </c>
      <c r="G148" s="16">
        <v>14.6</v>
      </c>
      <c r="H148" s="16">
        <v>14.5</v>
      </c>
      <c r="I148">
        <v>4</v>
      </c>
      <c r="J148">
        <v>900</v>
      </c>
      <c r="K148">
        <v>170</v>
      </c>
      <c r="L148">
        <v>41</v>
      </c>
      <c r="M148">
        <v>51</v>
      </c>
      <c r="N148">
        <v>10</v>
      </c>
      <c r="O148">
        <v>30</v>
      </c>
      <c r="P148">
        <v>4</v>
      </c>
      <c r="Q148" t="s">
        <v>569</v>
      </c>
      <c r="R148">
        <v>3</v>
      </c>
      <c r="S148">
        <v>200</v>
      </c>
      <c r="T148">
        <v>1</v>
      </c>
      <c r="U148">
        <v>8</v>
      </c>
      <c r="V148">
        <v>550</v>
      </c>
      <c r="W148">
        <v>5</v>
      </c>
      <c r="X148" t="s">
        <v>576</v>
      </c>
      <c r="Y148" s="16">
        <v>140</v>
      </c>
      <c r="Z148">
        <v>45</v>
      </c>
      <c r="AA148" s="16">
        <v>3</v>
      </c>
      <c r="AB148" s="16">
        <v>15</v>
      </c>
    </row>
    <row r="149" spans="1:28" x14ac:dyDescent="0.25">
      <c r="A149" t="s">
        <v>269</v>
      </c>
      <c r="B149" t="s">
        <v>270</v>
      </c>
      <c r="C149">
        <v>116203038</v>
      </c>
      <c r="D149" t="str">
        <f t="shared" si="3"/>
        <v>İskender, Selim-116203038</v>
      </c>
      <c r="E149" s="16">
        <v>13</v>
      </c>
      <c r="F149" s="16">
        <v>12.8</v>
      </c>
      <c r="G149" s="16">
        <v>12.600000000000001</v>
      </c>
      <c r="H149" s="16">
        <v>12.3</v>
      </c>
      <c r="I149">
        <v>3</v>
      </c>
      <c r="J149">
        <v>100</v>
      </c>
      <c r="K149">
        <v>90</v>
      </c>
      <c r="L149">
        <v>47</v>
      </c>
      <c r="M149">
        <v>66</v>
      </c>
      <c r="N149">
        <v>15</v>
      </c>
      <c r="O149">
        <v>30</v>
      </c>
      <c r="P149">
        <v>3</v>
      </c>
      <c r="Q149" t="s">
        <v>570</v>
      </c>
      <c r="R149">
        <v>2</v>
      </c>
      <c r="S149">
        <v>100</v>
      </c>
      <c r="T149">
        <v>1</v>
      </c>
      <c r="U149">
        <v>8</v>
      </c>
      <c r="V149">
        <v>580</v>
      </c>
      <c r="W149">
        <v>5</v>
      </c>
      <c r="X149" t="s">
        <v>576</v>
      </c>
      <c r="Y149" s="16">
        <v>150</v>
      </c>
      <c r="Z149">
        <v>78</v>
      </c>
      <c r="AA149" s="16">
        <v>2</v>
      </c>
      <c r="AB149" s="16">
        <v>10</v>
      </c>
    </row>
    <row r="150" spans="1:28" x14ac:dyDescent="0.25">
      <c r="A150" t="s">
        <v>271</v>
      </c>
      <c r="B150" t="s">
        <v>272</v>
      </c>
      <c r="C150">
        <v>114202107</v>
      </c>
      <c r="D150" t="str">
        <f t="shared" si="3"/>
        <v>Jubran, Mohamed Mansour O.-114202107</v>
      </c>
      <c r="E150" s="16">
        <v>15</v>
      </c>
      <c r="F150" s="16">
        <v>14.5</v>
      </c>
      <c r="G150" s="16">
        <v>14</v>
      </c>
      <c r="H150" s="16">
        <v>13.7</v>
      </c>
      <c r="I150">
        <v>3</v>
      </c>
      <c r="J150">
        <v>500</v>
      </c>
      <c r="K150">
        <v>120</v>
      </c>
      <c r="L150">
        <v>47</v>
      </c>
      <c r="M150">
        <v>57</v>
      </c>
      <c r="N150">
        <v>11</v>
      </c>
      <c r="O150">
        <v>40</v>
      </c>
      <c r="P150">
        <v>4</v>
      </c>
      <c r="Q150" t="s">
        <v>569</v>
      </c>
      <c r="R150">
        <v>2</v>
      </c>
      <c r="S150">
        <v>400</v>
      </c>
      <c r="T150">
        <v>3</v>
      </c>
      <c r="U150">
        <v>15</v>
      </c>
      <c r="V150">
        <v>560</v>
      </c>
      <c r="W150">
        <v>6</v>
      </c>
      <c r="X150" t="s">
        <v>577</v>
      </c>
      <c r="Y150" s="16">
        <v>120</v>
      </c>
      <c r="Z150">
        <v>91</v>
      </c>
      <c r="AA150" s="16">
        <v>2</v>
      </c>
      <c r="AB150" s="16">
        <v>10</v>
      </c>
    </row>
    <row r="151" spans="1:28" x14ac:dyDescent="0.25">
      <c r="A151" t="s">
        <v>273</v>
      </c>
      <c r="B151" t="s">
        <v>274</v>
      </c>
      <c r="C151">
        <v>116203014</v>
      </c>
      <c r="D151" t="str">
        <f t="shared" si="3"/>
        <v>Kakaa, Rama-116203014</v>
      </c>
      <c r="E151" s="16">
        <v>15</v>
      </c>
      <c r="F151" s="16">
        <v>14.9</v>
      </c>
      <c r="G151" s="16">
        <v>14.6</v>
      </c>
      <c r="H151" s="16">
        <v>14.299999999999999</v>
      </c>
      <c r="I151">
        <v>2</v>
      </c>
      <c r="J151">
        <v>300</v>
      </c>
      <c r="K151">
        <v>160</v>
      </c>
      <c r="L151">
        <v>41</v>
      </c>
      <c r="M151">
        <v>61</v>
      </c>
      <c r="N151">
        <v>10</v>
      </c>
      <c r="O151">
        <v>20</v>
      </c>
      <c r="P151">
        <v>4</v>
      </c>
      <c r="Q151" t="s">
        <v>569</v>
      </c>
      <c r="R151">
        <v>1</v>
      </c>
      <c r="S151">
        <v>400</v>
      </c>
      <c r="T151">
        <v>2</v>
      </c>
      <c r="U151">
        <v>10</v>
      </c>
      <c r="V151">
        <v>560</v>
      </c>
      <c r="W151">
        <v>5</v>
      </c>
      <c r="X151" t="s">
        <v>576</v>
      </c>
      <c r="Y151" s="16">
        <v>160</v>
      </c>
      <c r="Z151">
        <v>86</v>
      </c>
      <c r="AA151" s="16">
        <v>1</v>
      </c>
      <c r="AB151" s="16">
        <v>8</v>
      </c>
    </row>
    <row r="152" spans="1:28" x14ac:dyDescent="0.25">
      <c r="A152" t="s">
        <v>275</v>
      </c>
      <c r="B152" t="s">
        <v>276</v>
      </c>
      <c r="C152">
        <v>114203018</v>
      </c>
      <c r="D152" t="str">
        <f t="shared" si="3"/>
        <v>Kalaycı, Gizem-114203018</v>
      </c>
      <c r="E152" s="16">
        <v>12</v>
      </c>
      <c r="F152" s="16">
        <v>11.6</v>
      </c>
      <c r="G152" s="16">
        <v>11.4</v>
      </c>
      <c r="H152" s="16">
        <v>11.3</v>
      </c>
      <c r="I152">
        <v>4</v>
      </c>
      <c r="J152">
        <v>500</v>
      </c>
      <c r="K152">
        <v>110</v>
      </c>
      <c r="L152">
        <v>49</v>
      </c>
      <c r="M152">
        <v>68</v>
      </c>
      <c r="N152">
        <v>13</v>
      </c>
      <c r="O152">
        <v>40</v>
      </c>
      <c r="P152">
        <v>4</v>
      </c>
      <c r="Q152" t="s">
        <v>569</v>
      </c>
      <c r="R152">
        <v>3</v>
      </c>
      <c r="S152">
        <v>400</v>
      </c>
      <c r="T152">
        <v>3</v>
      </c>
      <c r="U152">
        <v>15</v>
      </c>
      <c r="V152">
        <v>470</v>
      </c>
      <c r="W152">
        <v>6</v>
      </c>
      <c r="X152" t="s">
        <v>577</v>
      </c>
      <c r="Y152" s="16">
        <v>120</v>
      </c>
      <c r="Z152">
        <v>62</v>
      </c>
      <c r="AA152" s="16">
        <v>1</v>
      </c>
      <c r="AB152" s="16">
        <v>8</v>
      </c>
    </row>
    <row r="153" spans="1:28" x14ac:dyDescent="0.25">
      <c r="A153" t="s">
        <v>277</v>
      </c>
      <c r="B153" t="s">
        <v>278</v>
      </c>
      <c r="C153">
        <v>114201047</v>
      </c>
      <c r="D153" t="str">
        <f t="shared" si="3"/>
        <v>Kaplan, Serkan-114201047</v>
      </c>
      <c r="E153" s="16">
        <v>14</v>
      </c>
      <c r="F153" s="16">
        <v>13.6</v>
      </c>
      <c r="G153" s="16">
        <v>13.2</v>
      </c>
      <c r="H153" s="16">
        <v>13</v>
      </c>
      <c r="I153">
        <v>2</v>
      </c>
      <c r="J153">
        <v>700</v>
      </c>
      <c r="K153">
        <v>110</v>
      </c>
      <c r="L153">
        <v>42</v>
      </c>
      <c r="M153">
        <v>55</v>
      </c>
      <c r="N153">
        <v>15</v>
      </c>
      <c r="O153">
        <v>40</v>
      </c>
      <c r="P153">
        <v>4</v>
      </c>
      <c r="Q153" t="s">
        <v>569</v>
      </c>
      <c r="R153">
        <v>1</v>
      </c>
      <c r="S153">
        <v>400</v>
      </c>
      <c r="T153">
        <v>1</v>
      </c>
      <c r="U153">
        <v>8</v>
      </c>
      <c r="V153">
        <v>600</v>
      </c>
      <c r="W153">
        <v>6</v>
      </c>
      <c r="X153" t="s">
        <v>577</v>
      </c>
      <c r="Y153" s="16">
        <v>130</v>
      </c>
      <c r="Z153">
        <v>100</v>
      </c>
      <c r="AA153" s="16">
        <v>3</v>
      </c>
      <c r="AB153" s="16">
        <v>15</v>
      </c>
    </row>
    <row r="154" spans="1:28" x14ac:dyDescent="0.25">
      <c r="A154" t="s">
        <v>279</v>
      </c>
      <c r="B154" t="s">
        <v>280</v>
      </c>
      <c r="C154">
        <v>114200067</v>
      </c>
      <c r="D154" t="str">
        <f t="shared" si="3"/>
        <v>Karabudak, Fatma Seray-114200067</v>
      </c>
      <c r="E154" s="16">
        <v>15</v>
      </c>
      <c r="F154" s="16">
        <v>14.5</v>
      </c>
      <c r="G154" s="16">
        <v>14.4</v>
      </c>
      <c r="H154" s="16">
        <v>14.1</v>
      </c>
      <c r="I154">
        <v>3</v>
      </c>
      <c r="J154">
        <v>400</v>
      </c>
      <c r="K154">
        <v>160</v>
      </c>
      <c r="L154">
        <v>45</v>
      </c>
      <c r="M154">
        <v>55</v>
      </c>
      <c r="N154">
        <v>14</v>
      </c>
      <c r="O154">
        <v>30</v>
      </c>
      <c r="P154">
        <v>4</v>
      </c>
      <c r="Q154" t="s">
        <v>569</v>
      </c>
      <c r="R154">
        <v>2</v>
      </c>
      <c r="S154">
        <v>400</v>
      </c>
      <c r="T154">
        <v>3</v>
      </c>
      <c r="U154">
        <v>15</v>
      </c>
      <c r="V154">
        <v>480</v>
      </c>
      <c r="W154">
        <v>5</v>
      </c>
      <c r="X154" t="s">
        <v>576</v>
      </c>
      <c r="Y154" s="16">
        <v>130</v>
      </c>
      <c r="Z154">
        <v>83</v>
      </c>
      <c r="AA154" s="16">
        <v>2</v>
      </c>
      <c r="AB154" s="16">
        <v>10</v>
      </c>
    </row>
    <row r="155" spans="1:28" x14ac:dyDescent="0.25">
      <c r="A155" t="s">
        <v>281</v>
      </c>
      <c r="B155" t="s">
        <v>282</v>
      </c>
      <c r="C155">
        <v>116203074</v>
      </c>
      <c r="D155" t="str">
        <f t="shared" si="3"/>
        <v>Karabulut, Nikol-116203074</v>
      </c>
      <c r="E155" s="16">
        <v>12</v>
      </c>
      <c r="F155" s="16">
        <v>11.5</v>
      </c>
      <c r="G155" s="16">
        <v>11.3</v>
      </c>
      <c r="H155" s="16">
        <v>10.8</v>
      </c>
      <c r="I155">
        <v>4</v>
      </c>
      <c r="J155">
        <v>800</v>
      </c>
      <c r="K155">
        <v>170</v>
      </c>
      <c r="L155">
        <v>54</v>
      </c>
      <c r="M155">
        <v>74</v>
      </c>
      <c r="N155">
        <v>13</v>
      </c>
      <c r="O155">
        <v>30</v>
      </c>
      <c r="P155">
        <v>3</v>
      </c>
      <c r="Q155" t="s">
        <v>570</v>
      </c>
      <c r="R155">
        <v>3</v>
      </c>
      <c r="S155">
        <v>300</v>
      </c>
      <c r="T155">
        <v>2</v>
      </c>
      <c r="U155">
        <v>10</v>
      </c>
      <c r="V155">
        <v>530</v>
      </c>
      <c r="W155">
        <v>6</v>
      </c>
      <c r="X155" t="s">
        <v>577</v>
      </c>
      <c r="Y155" s="16">
        <v>140</v>
      </c>
      <c r="Z155">
        <v>63</v>
      </c>
      <c r="AA155" s="16">
        <v>2</v>
      </c>
      <c r="AB155" s="16">
        <v>10</v>
      </c>
    </row>
    <row r="156" spans="1:28" x14ac:dyDescent="0.25">
      <c r="A156" t="s">
        <v>281</v>
      </c>
      <c r="B156" t="s">
        <v>196</v>
      </c>
      <c r="C156">
        <v>116202073</v>
      </c>
      <c r="D156" t="str">
        <f t="shared" si="3"/>
        <v>Karabulut, Çağla-116202073</v>
      </c>
      <c r="E156" s="16">
        <v>15</v>
      </c>
      <c r="F156" s="16">
        <v>14.7</v>
      </c>
      <c r="G156" s="16">
        <v>14.2</v>
      </c>
      <c r="H156" s="16">
        <v>13.899999999999999</v>
      </c>
      <c r="I156">
        <v>3</v>
      </c>
      <c r="J156">
        <v>300</v>
      </c>
      <c r="K156">
        <v>150</v>
      </c>
      <c r="L156">
        <v>47</v>
      </c>
      <c r="M156">
        <v>64</v>
      </c>
      <c r="N156">
        <v>11</v>
      </c>
      <c r="O156">
        <v>20</v>
      </c>
      <c r="P156">
        <v>3</v>
      </c>
      <c r="Q156" t="s">
        <v>570</v>
      </c>
      <c r="R156">
        <v>2</v>
      </c>
      <c r="S156">
        <v>300</v>
      </c>
      <c r="T156">
        <v>3</v>
      </c>
      <c r="U156">
        <v>15</v>
      </c>
      <c r="V156">
        <v>600</v>
      </c>
      <c r="W156">
        <v>4</v>
      </c>
      <c r="X156" t="s">
        <v>579</v>
      </c>
      <c r="Y156" s="16">
        <v>180</v>
      </c>
      <c r="Z156">
        <v>55</v>
      </c>
      <c r="AA156" s="16">
        <v>2</v>
      </c>
      <c r="AB156" s="16">
        <v>10</v>
      </c>
    </row>
    <row r="157" spans="1:28" x14ac:dyDescent="0.25">
      <c r="A157" t="s">
        <v>283</v>
      </c>
      <c r="B157" t="s">
        <v>284</v>
      </c>
      <c r="C157">
        <v>113204045</v>
      </c>
      <c r="D157" t="str">
        <f t="shared" si="3"/>
        <v>Karadaş, Yılmaz-113204045</v>
      </c>
      <c r="E157" s="16">
        <v>14</v>
      </c>
      <c r="F157" s="16">
        <v>13.5</v>
      </c>
      <c r="G157" s="16">
        <v>13</v>
      </c>
      <c r="H157" s="16">
        <v>12.5</v>
      </c>
      <c r="I157">
        <v>4</v>
      </c>
      <c r="J157">
        <v>500</v>
      </c>
      <c r="K157">
        <v>170</v>
      </c>
      <c r="L157">
        <v>52</v>
      </c>
      <c r="M157">
        <v>67</v>
      </c>
      <c r="N157">
        <v>15</v>
      </c>
      <c r="O157">
        <v>30</v>
      </c>
      <c r="P157">
        <v>3</v>
      </c>
      <c r="Q157" t="s">
        <v>570</v>
      </c>
      <c r="R157">
        <v>3</v>
      </c>
      <c r="S157">
        <v>400</v>
      </c>
      <c r="T157">
        <v>2</v>
      </c>
      <c r="U157">
        <v>10</v>
      </c>
      <c r="V157">
        <v>450</v>
      </c>
      <c r="W157">
        <v>6</v>
      </c>
      <c r="X157" t="s">
        <v>577</v>
      </c>
      <c r="Y157" s="16">
        <v>130</v>
      </c>
      <c r="Z157">
        <v>85</v>
      </c>
      <c r="AA157" s="16">
        <v>2</v>
      </c>
      <c r="AB157" s="16">
        <v>10</v>
      </c>
    </row>
    <row r="158" spans="1:28" x14ac:dyDescent="0.25">
      <c r="A158" t="s">
        <v>285</v>
      </c>
      <c r="B158" t="s">
        <v>228</v>
      </c>
      <c r="C158">
        <v>114202030</v>
      </c>
      <c r="D158" t="str">
        <f t="shared" si="3"/>
        <v>Karakaya, Sena-114202030</v>
      </c>
      <c r="E158" s="16">
        <v>13</v>
      </c>
      <c r="F158" s="16">
        <v>12.5</v>
      </c>
      <c r="G158" s="16">
        <v>12.1</v>
      </c>
      <c r="H158" s="16">
        <v>12</v>
      </c>
      <c r="I158">
        <v>3</v>
      </c>
      <c r="J158">
        <v>500</v>
      </c>
      <c r="K158">
        <v>80</v>
      </c>
      <c r="L158">
        <v>49</v>
      </c>
      <c r="M158">
        <v>65</v>
      </c>
      <c r="N158">
        <v>13</v>
      </c>
      <c r="O158">
        <v>20</v>
      </c>
      <c r="P158">
        <v>3</v>
      </c>
      <c r="Q158" t="s">
        <v>570</v>
      </c>
      <c r="R158">
        <v>2</v>
      </c>
      <c r="S158">
        <v>300</v>
      </c>
      <c r="T158">
        <v>2</v>
      </c>
      <c r="U158">
        <v>10</v>
      </c>
      <c r="V158">
        <v>540</v>
      </c>
      <c r="W158">
        <v>5</v>
      </c>
      <c r="X158" t="s">
        <v>576</v>
      </c>
      <c r="Y158" s="16">
        <v>150</v>
      </c>
      <c r="Z158">
        <v>59</v>
      </c>
      <c r="AA158" s="16">
        <v>3</v>
      </c>
      <c r="AB158" s="16">
        <v>15</v>
      </c>
    </row>
    <row r="159" spans="1:28" x14ac:dyDescent="0.25">
      <c r="A159" t="s">
        <v>286</v>
      </c>
      <c r="B159" t="s">
        <v>287</v>
      </c>
      <c r="C159">
        <v>114202036</v>
      </c>
      <c r="D159" t="str">
        <f t="shared" si="3"/>
        <v>Karaman, Tarık Buğra-114202036</v>
      </c>
      <c r="E159" s="16">
        <v>14</v>
      </c>
      <c r="F159" s="16">
        <v>13.7</v>
      </c>
      <c r="G159" s="16">
        <v>13.2</v>
      </c>
      <c r="H159" s="16">
        <v>12.799999999999999</v>
      </c>
      <c r="I159">
        <v>4</v>
      </c>
      <c r="J159">
        <v>500</v>
      </c>
      <c r="K159">
        <v>180</v>
      </c>
      <c r="L159">
        <v>55</v>
      </c>
      <c r="M159">
        <v>66</v>
      </c>
      <c r="N159">
        <v>12</v>
      </c>
      <c r="O159">
        <v>40</v>
      </c>
      <c r="P159">
        <v>2</v>
      </c>
      <c r="Q159" t="s">
        <v>568</v>
      </c>
      <c r="R159">
        <v>3</v>
      </c>
      <c r="S159">
        <v>200</v>
      </c>
      <c r="T159">
        <v>3</v>
      </c>
      <c r="U159">
        <v>15</v>
      </c>
      <c r="V159">
        <v>600</v>
      </c>
      <c r="W159">
        <v>5</v>
      </c>
      <c r="X159" t="s">
        <v>576</v>
      </c>
      <c r="Y159" s="16">
        <v>170</v>
      </c>
      <c r="Z159">
        <v>75</v>
      </c>
      <c r="AA159" s="16">
        <v>2</v>
      </c>
      <c r="AB159" s="16">
        <v>10</v>
      </c>
    </row>
    <row r="160" spans="1:28" x14ac:dyDescent="0.25">
      <c r="A160" t="s">
        <v>288</v>
      </c>
      <c r="B160" t="s">
        <v>33</v>
      </c>
      <c r="C160">
        <v>114206029</v>
      </c>
      <c r="D160" t="str">
        <f t="shared" si="3"/>
        <v>Karanfiloğlu, Berk-114206029</v>
      </c>
      <c r="E160" s="16">
        <v>11</v>
      </c>
      <c r="F160" s="16">
        <v>10.7</v>
      </c>
      <c r="G160" s="16">
        <v>10.6</v>
      </c>
      <c r="H160" s="16">
        <v>10.1</v>
      </c>
      <c r="I160">
        <v>2</v>
      </c>
      <c r="J160">
        <v>400</v>
      </c>
      <c r="K160">
        <v>180</v>
      </c>
      <c r="L160">
        <v>46</v>
      </c>
      <c r="M160">
        <v>57</v>
      </c>
      <c r="N160">
        <v>10</v>
      </c>
      <c r="O160">
        <v>40</v>
      </c>
      <c r="P160">
        <v>4</v>
      </c>
      <c r="Q160" t="s">
        <v>569</v>
      </c>
      <c r="R160">
        <v>1</v>
      </c>
      <c r="S160">
        <v>100</v>
      </c>
      <c r="T160">
        <v>2</v>
      </c>
      <c r="U160">
        <v>10</v>
      </c>
      <c r="V160">
        <v>400</v>
      </c>
      <c r="W160">
        <v>3</v>
      </c>
      <c r="X160" t="s">
        <v>578</v>
      </c>
      <c r="Y160" s="16">
        <v>170</v>
      </c>
      <c r="Z160">
        <v>80</v>
      </c>
      <c r="AA160" s="16">
        <v>2</v>
      </c>
      <c r="AB160" s="16">
        <v>10</v>
      </c>
    </row>
    <row r="161" spans="1:28" x14ac:dyDescent="0.25">
      <c r="A161" t="s">
        <v>289</v>
      </c>
      <c r="B161" t="s">
        <v>290</v>
      </c>
      <c r="C161">
        <v>112203010</v>
      </c>
      <c r="D161" t="str">
        <f t="shared" si="3"/>
        <v>Karataş, Eyüp Yarkın-112203010</v>
      </c>
      <c r="E161" s="16">
        <v>11</v>
      </c>
      <c r="F161" s="16">
        <v>10.7</v>
      </c>
      <c r="G161" s="16">
        <v>10.5</v>
      </c>
      <c r="H161" s="16">
        <v>10.199999999999999</v>
      </c>
      <c r="I161">
        <v>2</v>
      </c>
      <c r="J161">
        <v>200</v>
      </c>
      <c r="K161">
        <v>80</v>
      </c>
      <c r="L161">
        <v>51</v>
      </c>
      <c r="M161">
        <v>70</v>
      </c>
      <c r="N161">
        <v>11</v>
      </c>
      <c r="O161">
        <v>30</v>
      </c>
      <c r="P161">
        <v>2</v>
      </c>
      <c r="Q161" t="s">
        <v>568</v>
      </c>
      <c r="R161">
        <v>1</v>
      </c>
      <c r="S161">
        <v>400</v>
      </c>
      <c r="T161">
        <v>3</v>
      </c>
      <c r="U161">
        <v>15</v>
      </c>
      <c r="V161">
        <v>460</v>
      </c>
      <c r="W161">
        <v>5</v>
      </c>
      <c r="X161" t="s">
        <v>576</v>
      </c>
      <c r="Y161" s="16">
        <v>140</v>
      </c>
      <c r="Z161">
        <v>46</v>
      </c>
      <c r="AA161" s="16">
        <v>1</v>
      </c>
      <c r="AB161" s="16">
        <v>8</v>
      </c>
    </row>
    <row r="162" spans="1:28" x14ac:dyDescent="0.25">
      <c r="A162" t="s">
        <v>291</v>
      </c>
      <c r="B162" t="s">
        <v>104</v>
      </c>
      <c r="C162">
        <v>115203072</v>
      </c>
      <c r="D162" t="str">
        <f t="shared" si="3"/>
        <v>Karğın, Elif-115203072</v>
      </c>
      <c r="E162" s="16">
        <v>12</v>
      </c>
      <c r="F162" s="16">
        <v>11.9</v>
      </c>
      <c r="G162" s="16">
        <v>11.8</v>
      </c>
      <c r="H162" s="16">
        <v>11.3</v>
      </c>
      <c r="I162">
        <v>3</v>
      </c>
      <c r="J162">
        <v>600</v>
      </c>
      <c r="K162">
        <v>150</v>
      </c>
      <c r="L162">
        <v>52</v>
      </c>
      <c r="M162">
        <v>66</v>
      </c>
      <c r="N162">
        <v>15</v>
      </c>
      <c r="O162">
        <v>30</v>
      </c>
      <c r="P162">
        <v>3</v>
      </c>
      <c r="Q162" t="s">
        <v>570</v>
      </c>
      <c r="R162">
        <v>2</v>
      </c>
      <c r="S162">
        <v>200</v>
      </c>
      <c r="T162">
        <v>2</v>
      </c>
      <c r="U162">
        <v>10</v>
      </c>
      <c r="V162">
        <v>520</v>
      </c>
      <c r="W162">
        <v>5</v>
      </c>
      <c r="X162" t="s">
        <v>576</v>
      </c>
      <c r="Y162" s="16">
        <v>140</v>
      </c>
      <c r="Z162">
        <v>77</v>
      </c>
      <c r="AA162" s="16">
        <v>3</v>
      </c>
      <c r="AB162" s="16">
        <v>15</v>
      </c>
    </row>
    <row r="163" spans="1:28" x14ac:dyDescent="0.25">
      <c r="A163" t="s">
        <v>292</v>
      </c>
      <c r="B163" t="s">
        <v>293</v>
      </c>
      <c r="C163">
        <v>114200060</v>
      </c>
      <c r="D163" t="str">
        <f t="shared" si="3"/>
        <v>Kartal, Lamia-114200060</v>
      </c>
      <c r="E163" s="16">
        <v>14</v>
      </c>
      <c r="F163" s="16">
        <v>13.7</v>
      </c>
      <c r="G163" s="16">
        <v>13.399999999999999</v>
      </c>
      <c r="H163" s="16">
        <v>12.899999999999999</v>
      </c>
      <c r="I163">
        <v>4</v>
      </c>
      <c r="J163">
        <v>900</v>
      </c>
      <c r="K163">
        <v>180</v>
      </c>
      <c r="L163">
        <v>42</v>
      </c>
      <c r="M163">
        <v>58</v>
      </c>
      <c r="N163">
        <v>12</v>
      </c>
      <c r="O163">
        <v>30</v>
      </c>
      <c r="P163">
        <v>2</v>
      </c>
      <c r="Q163" t="s">
        <v>568</v>
      </c>
      <c r="R163">
        <v>3</v>
      </c>
      <c r="S163">
        <v>300</v>
      </c>
      <c r="T163">
        <v>1</v>
      </c>
      <c r="U163">
        <v>8</v>
      </c>
      <c r="V163">
        <v>460</v>
      </c>
      <c r="W163">
        <v>3</v>
      </c>
      <c r="X163" t="s">
        <v>578</v>
      </c>
      <c r="Y163" s="16">
        <v>180</v>
      </c>
      <c r="Z163">
        <v>61</v>
      </c>
      <c r="AA163" s="16">
        <v>2</v>
      </c>
      <c r="AB163" s="16">
        <v>10</v>
      </c>
    </row>
    <row r="164" spans="1:28" x14ac:dyDescent="0.25">
      <c r="A164" t="s">
        <v>294</v>
      </c>
      <c r="B164" t="s">
        <v>295</v>
      </c>
      <c r="C164">
        <v>115203038</v>
      </c>
      <c r="D164" t="str">
        <f t="shared" si="3"/>
        <v>Keçeli, Fikret Gizem-115203038</v>
      </c>
      <c r="E164" s="16">
        <v>14</v>
      </c>
      <c r="F164" s="16">
        <v>13.6</v>
      </c>
      <c r="G164" s="16">
        <v>13.1</v>
      </c>
      <c r="H164" s="16">
        <v>12.799999999999999</v>
      </c>
      <c r="I164">
        <v>2</v>
      </c>
      <c r="J164">
        <v>600</v>
      </c>
      <c r="K164">
        <v>170</v>
      </c>
      <c r="L164">
        <v>49</v>
      </c>
      <c r="M164">
        <v>63</v>
      </c>
      <c r="N164">
        <v>10</v>
      </c>
      <c r="O164">
        <v>30</v>
      </c>
      <c r="P164">
        <v>3</v>
      </c>
      <c r="Q164" t="s">
        <v>570</v>
      </c>
      <c r="R164">
        <v>1</v>
      </c>
      <c r="S164">
        <v>400</v>
      </c>
      <c r="T164">
        <v>1</v>
      </c>
      <c r="U164">
        <v>8</v>
      </c>
      <c r="V164">
        <v>410</v>
      </c>
      <c r="W164">
        <v>3</v>
      </c>
      <c r="X164" t="s">
        <v>578</v>
      </c>
      <c r="Y164" s="16">
        <v>180</v>
      </c>
      <c r="Z164">
        <v>81</v>
      </c>
      <c r="AA164" s="16">
        <v>1</v>
      </c>
      <c r="AB164" s="16">
        <v>8</v>
      </c>
    </row>
    <row r="165" spans="1:28" x14ac:dyDescent="0.25">
      <c r="A165" t="s">
        <v>296</v>
      </c>
      <c r="B165" t="s">
        <v>297</v>
      </c>
      <c r="C165">
        <v>114205071</v>
      </c>
      <c r="D165" t="str">
        <f t="shared" si="3"/>
        <v>Kerimoğlu, Sinan Kevin-114205071</v>
      </c>
      <c r="E165" s="16">
        <v>12</v>
      </c>
      <c r="F165" s="16">
        <v>11.7</v>
      </c>
      <c r="G165" s="16">
        <v>11.299999999999999</v>
      </c>
      <c r="H165" s="16">
        <v>10.899999999999999</v>
      </c>
      <c r="I165">
        <v>4</v>
      </c>
      <c r="J165">
        <v>700</v>
      </c>
      <c r="K165">
        <v>90</v>
      </c>
      <c r="L165">
        <v>46</v>
      </c>
      <c r="M165">
        <v>61</v>
      </c>
      <c r="N165">
        <v>14</v>
      </c>
      <c r="O165">
        <v>30</v>
      </c>
      <c r="P165">
        <v>3</v>
      </c>
      <c r="Q165" t="s">
        <v>570</v>
      </c>
      <c r="R165">
        <v>3</v>
      </c>
      <c r="S165">
        <v>200</v>
      </c>
      <c r="T165">
        <v>1</v>
      </c>
      <c r="U165">
        <v>8</v>
      </c>
      <c r="V165">
        <v>540</v>
      </c>
      <c r="W165">
        <v>4</v>
      </c>
      <c r="X165" t="s">
        <v>579</v>
      </c>
      <c r="Y165" s="16">
        <v>170</v>
      </c>
      <c r="Z165">
        <v>74</v>
      </c>
      <c r="AA165" s="16">
        <v>3</v>
      </c>
      <c r="AB165" s="16">
        <v>15</v>
      </c>
    </row>
    <row r="166" spans="1:28" x14ac:dyDescent="0.25">
      <c r="A166" t="s">
        <v>298</v>
      </c>
      <c r="B166" t="s">
        <v>172</v>
      </c>
      <c r="C166">
        <v>115203085</v>
      </c>
      <c r="D166" t="str">
        <f t="shared" si="3"/>
        <v>Khalifah, Mustafa-115203085</v>
      </c>
      <c r="E166" s="16">
        <v>13</v>
      </c>
      <c r="F166" s="16">
        <v>12.9</v>
      </c>
      <c r="G166" s="16">
        <v>12.6</v>
      </c>
      <c r="H166" s="16">
        <v>12.2</v>
      </c>
      <c r="I166">
        <v>2</v>
      </c>
      <c r="J166">
        <v>700</v>
      </c>
      <c r="K166">
        <v>130</v>
      </c>
      <c r="L166">
        <v>50</v>
      </c>
      <c r="M166">
        <v>61</v>
      </c>
      <c r="N166">
        <v>11</v>
      </c>
      <c r="O166">
        <v>20</v>
      </c>
      <c r="P166">
        <v>4</v>
      </c>
      <c r="Q166" t="s">
        <v>569</v>
      </c>
      <c r="R166">
        <v>1</v>
      </c>
      <c r="S166">
        <v>200</v>
      </c>
      <c r="T166">
        <v>3</v>
      </c>
      <c r="U166">
        <v>15</v>
      </c>
      <c r="V166">
        <v>550</v>
      </c>
      <c r="W166">
        <v>6</v>
      </c>
      <c r="X166" t="s">
        <v>577</v>
      </c>
      <c r="Y166" s="16">
        <v>120</v>
      </c>
      <c r="Z166">
        <v>90</v>
      </c>
      <c r="AA166" s="16">
        <v>3</v>
      </c>
      <c r="AB166" s="16">
        <v>15</v>
      </c>
    </row>
    <row r="167" spans="1:28" x14ac:dyDescent="0.25">
      <c r="A167" t="s">
        <v>299</v>
      </c>
      <c r="B167" t="s">
        <v>300</v>
      </c>
      <c r="C167">
        <v>115204019</v>
      </c>
      <c r="D167" t="str">
        <f t="shared" si="3"/>
        <v>Kılıç, Enes-115204019</v>
      </c>
      <c r="E167" s="16">
        <v>15</v>
      </c>
      <c r="F167" s="16">
        <v>14.7</v>
      </c>
      <c r="G167" s="16">
        <v>14.299999999999999</v>
      </c>
      <c r="H167" s="16">
        <v>13.799999999999999</v>
      </c>
      <c r="I167">
        <v>2</v>
      </c>
      <c r="J167">
        <v>600</v>
      </c>
      <c r="K167">
        <v>120</v>
      </c>
      <c r="L167">
        <v>54</v>
      </c>
      <c r="M167">
        <v>68</v>
      </c>
      <c r="N167">
        <v>12</v>
      </c>
      <c r="O167">
        <v>20</v>
      </c>
      <c r="P167">
        <v>2</v>
      </c>
      <c r="Q167" t="s">
        <v>568</v>
      </c>
      <c r="R167">
        <v>1</v>
      </c>
      <c r="S167">
        <v>300</v>
      </c>
      <c r="T167">
        <v>2</v>
      </c>
      <c r="U167">
        <v>10</v>
      </c>
      <c r="V167">
        <v>550</v>
      </c>
      <c r="W167">
        <v>5</v>
      </c>
      <c r="X167" t="s">
        <v>576</v>
      </c>
      <c r="Y167" s="16">
        <v>150</v>
      </c>
      <c r="Z167">
        <v>60</v>
      </c>
      <c r="AA167" s="16">
        <v>1</v>
      </c>
      <c r="AB167" s="16">
        <v>8</v>
      </c>
    </row>
    <row r="168" spans="1:28" x14ac:dyDescent="0.25">
      <c r="A168" t="s">
        <v>301</v>
      </c>
      <c r="B168" t="s">
        <v>278</v>
      </c>
      <c r="C168">
        <v>115203040</v>
      </c>
      <c r="D168" t="str">
        <f t="shared" si="3"/>
        <v>Kılıçaslan, Serkan-115203040</v>
      </c>
      <c r="E168" s="16">
        <v>13</v>
      </c>
      <c r="F168" s="16">
        <v>12.6</v>
      </c>
      <c r="G168" s="16">
        <v>12.1</v>
      </c>
      <c r="H168" s="16">
        <v>11.9</v>
      </c>
      <c r="I168">
        <v>3</v>
      </c>
      <c r="J168">
        <v>200</v>
      </c>
      <c r="K168">
        <v>120</v>
      </c>
      <c r="L168">
        <v>50</v>
      </c>
      <c r="M168">
        <v>67</v>
      </c>
      <c r="N168">
        <v>10</v>
      </c>
      <c r="O168">
        <v>30</v>
      </c>
      <c r="P168">
        <v>3</v>
      </c>
      <c r="Q168" t="s">
        <v>570</v>
      </c>
      <c r="R168">
        <v>2</v>
      </c>
      <c r="S168">
        <v>300</v>
      </c>
      <c r="T168">
        <v>1</v>
      </c>
      <c r="U168">
        <v>8</v>
      </c>
      <c r="V168">
        <v>470</v>
      </c>
      <c r="W168">
        <v>6</v>
      </c>
      <c r="X168" t="s">
        <v>577</v>
      </c>
      <c r="Y168" s="16">
        <v>120</v>
      </c>
      <c r="Z168">
        <v>67</v>
      </c>
      <c r="AA168" s="16">
        <v>3</v>
      </c>
      <c r="AB168" s="16">
        <v>15</v>
      </c>
    </row>
    <row r="169" spans="1:28" x14ac:dyDescent="0.25">
      <c r="A169" t="s">
        <v>302</v>
      </c>
      <c r="B169" t="s">
        <v>303</v>
      </c>
      <c r="C169">
        <v>112203013</v>
      </c>
      <c r="D169" t="str">
        <f t="shared" si="3"/>
        <v>Kılıçkap, Jiyan-112203013</v>
      </c>
      <c r="E169" s="16">
        <v>12</v>
      </c>
      <c r="F169" s="16">
        <v>11.5</v>
      </c>
      <c r="G169" s="16">
        <v>11.3</v>
      </c>
      <c r="H169" s="16">
        <v>10.8</v>
      </c>
      <c r="I169">
        <v>2</v>
      </c>
      <c r="J169">
        <v>500</v>
      </c>
      <c r="K169">
        <v>110</v>
      </c>
      <c r="L169">
        <v>47</v>
      </c>
      <c r="M169">
        <v>66</v>
      </c>
      <c r="N169">
        <v>10</v>
      </c>
      <c r="O169">
        <v>20</v>
      </c>
      <c r="P169">
        <v>2</v>
      </c>
      <c r="Q169" t="s">
        <v>568</v>
      </c>
      <c r="R169">
        <v>1</v>
      </c>
      <c r="S169">
        <v>200</v>
      </c>
      <c r="T169">
        <v>1</v>
      </c>
      <c r="U169">
        <v>8</v>
      </c>
      <c r="V169">
        <v>440</v>
      </c>
      <c r="W169">
        <v>4</v>
      </c>
      <c r="X169" t="s">
        <v>579</v>
      </c>
      <c r="Y169" s="16">
        <v>160</v>
      </c>
      <c r="Z169">
        <v>64</v>
      </c>
      <c r="AA169" s="16">
        <v>1</v>
      </c>
      <c r="AB169" s="16">
        <v>8</v>
      </c>
    </row>
    <row r="170" spans="1:28" x14ac:dyDescent="0.25">
      <c r="A170" t="s">
        <v>304</v>
      </c>
      <c r="B170" t="s">
        <v>99</v>
      </c>
      <c r="C170">
        <v>115204027</v>
      </c>
      <c r="D170" t="str">
        <f t="shared" si="3"/>
        <v>Kınalıdır, Baran-115204027</v>
      </c>
      <c r="E170" s="16">
        <v>14</v>
      </c>
      <c r="F170" s="16">
        <v>13.6</v>
      </c>
      <c r="G170" s="16">
        <v>13.2</v>
      </c>
      <c r="H170" s="16">
        <v>12.899999999999999</v>
      </c>
      <c r="I170">
        <v>3</v>
      </c>
      <c r="J170">
        <v>300</v>
      </c>
      <c r="K170">
        <v>140</v>
      </c>
      <c r="L170">
        <v>46</v>
      </c>
      <c r="M170">
        <v>57</v>
      </c>
      <c r="N170">
        <v>15</v>
      </c>
      <c r="O170">
        <v>40</v>
      </c>
      <c r="P170">
        <v>4</v>
      </c>
      <c r="Q170" t="s">
        <v>569</v>
      </c>
      <c r="R170">
        <v>2</v>
      </c>
      <c r="S170">
        <v>300</v>
      </c>
      <c r="T170">
        <v>3</v>
      </c>
      <c r="U170">
        <v>15</v>
      </c>
      <c r="V170">
        <v>550</v>
      </c>
      <c r="W170">
        <v>5</v>
      </c>
      <c r="X170" t="s">
        <v>576</v>
      </c>
      <c r="Y170" s="16">
        <v>140</v>
      </c>
      <c r="Z170">
        <v>75</v>
      </c>
      <c r="AA170" s="16">
        <v>2</v>
      </c>
      <c r="AB170" s="16">
        <v>10</v>
      </c>
    </row>
    <row r="171" spans="1:28" x14ac:dyDescent="0.25">
      <c r="A171" t="s">
        <v>305</v>
      </c>
      <c r="B171" t="s">
        <v>43</v>
      </c>
      <c r="C171">
        <v>116200154</v>
      </c>
      <c r="D171" t="str">
        <f t="shared" si="3"/>
        <v>Kıran, Furkan-116200154</v>
      </c>
      <c r="E171" s="16">
        <v>14</v>
      </c>
      <c r="F171" s="16">
        <v>13.5</v>
      </c>
      <c r="G171" s="16">
        <v>13.4</v>
      </c>
      <c r="H171" s="16">
        <v>13.1</v>
      </c>
      <c r="I171">
        <v>4</v>
      </c>
      <c r="J171">
        <v>200</v>
      </c>
      <c r="K171">
        <v>80</v>
      </c>
      <c r="L171">
        <v>40</v>
      </c>
      <c r="M171">
        <v>59</v>
      </c>
      <c r="N171">
        <v>12</v>
      </c>
      <c r="O171">
        <v>40</v>
      </c>
      <c r="P171">
        <v>4</v>
      </c>
      <c r="Q171" t="s">
        <v>569</v>
      </c>
      <c r="R171">
        <v>3</v>
      </c>
      <c r="S171">
        <v>400</v>
      </c>
      <c r="T171">
        <v>1</v>
      </c>
      <c r="U171">
        <v>8</v>
      </c>
      <c r="V171">
        <v>530</v>
      </c>
      <c r="W171">
        <v>4</v>
      </c>
      <c r="X171" t="s">
        <v>579</v>
      </c>
      <c r="Y171" s="16">
        <v>170</v>
      </c>
      <c r="Z171">
        <v>73</v>
      </c>
      <c r="AA171" s="16">
        <v>2</v>
      </c>
      <c r="AB171" s="16">
        <v>10</v>
      </c>
    </row>
    <row r="172" spans="1:28" x14ac:dyDescent="0.25">
      <c r="A172" t="s">
        <v>306</v>
      </c>
      <c r="B172" t="s">
        <v>307</v>
      </c>
      <c r="C172">
        <v>113205003</v>
      </c>
      <c r="D172" t="str">
        <f t="shared" si="3"/>
        <v>Kırmacı, Kılıç Kıray-113205003</v>
      </c>
      <c r="E172" s="16">
        <v>11</v>
      </c>
      <c r="F172" s="16">
        <v>10.8</v>
      </c>
      <c r="G172" s="16">
        <v>10.600000000000001</v>
      </c>
      <c r="H172" s="16">
        <v>10.400000000000002</v>
      </c>
      <c r="I172">
        <v>2</v>
      </c>
      <c r="J172">
        <v>600</v>
      </c>
      <c r="K172">
        <v>120</v>
      </c>
      <c r="L172">
        <v>51</v>
      </c>
      <c r="M172">
        <v>66</v>
      </c>
      <c r="N172">
        <v>13</v>
      </c>
      <c r="O172">
        <v>20</v>
      </c>
      <c r="P172">
        <v>3</v>
      </c>
      <c r="Q172" t="s">
        <v>570</v>
      </c>
      <c r="R172">
        <v>1</v>
      </c>
      <c r="S172">
        <v>400</v>
      </c>
      <c r="T172">
        <v>3</v>
      </c>
      <c r="U172">
        <v>15</v>
      </c>
      <c r="V172">
        <v>410</v>
      </c>
      <c r="W172">
        <v>6</v>
      </c>
      <c r="X172" t="s">
        <v>577</v>
      </c>
      <c r="Y172" s="16">
        <v>100</v>
      </c>
      <c r="Z172">
        <v>46</v>
      </c>
      <c r="AA172" s="16">
        <v>3</v>
      </c>
      <c r="AB172" s="16">
        <v>15</v>
      </c>
    </row>
    <row r="173" spans="1:28" x14ac:dyDescent="0.25">
      <c r="A173" t="s">
        <v>308</v>
      </c>
      <c r="B173" t="s">
        <v>309</v>
      </c>
      <c r="C173">
        <v>113202026</v>
      </c>
      <c r="D173" t="str">
        <f t="shared" si="3"/>
        <v>Kırmızıay, Büşra-113202026</v>
      </c>
      <c r="E173" s="16">
        <v>12</v>
      </c>
      <c r="F173" s="16">
        <v>11.9</v>
      </c>
      <c r="G173" s="16">
        <v>11.5</v>
      </c>
      <c r="H173" s="16">
        <v>11.1</v>
      </c>
      <c r="I173">
        <v>3</v>
      </c>
      <c r="J173">
        <v>800</v>
      </c>
      <c r="K173">
        <v>110</v>
      </c>
      <c r="L173">
        <v>47</v>
      </c>
      <c r="M173">
        <v>58</v>
      </c>
      <c r="N173">
        <v>11</v>
      </c>
      <c r="O173">
        <v>30</v>
      </c>
      <c r="P173">
        <v>3</v>
      </c>
      <c r="Q173" t="s">
        <v>570</v>
      </c>
      <c r="R173">
        <v>2</v>
      </c>
      <c r="S173">
        <v>400</v>
      </c>
      <c r="T173">
        <v>2</v>
      </c>
      <c r="U173">
        <v>10</v>
      </c>
      <c r="V173">
        <v>420</v>
      </c>
      <c r="W173">
        <v>5</v>
      </c>
      <c r="X173" t="s">
        <v>576</v>
      </c>
      <c r="Y173" s="16">
        <v>120</v>
      </c>
      <c r="Z173">
        <v>57</v>
      </c>
      <c r="AA173" s="16">
        <v>2</v>
      </c>
      <c r="AB173" s="16">
        <v>10</v>
      </c>
    </row>
    <row r="174" spans="1:28" x14ac:dyDescent="0.25">
      <c r="A174" t="s">
        <v>312</v>
      </c>
      <c r="B174" t="s">
        <v>313</v>
      </c>
      <c r="C174">
        <v>115204055</v>
      </c>
      <c r="D174" t="str">
        <f t="shared" si="3"/>
        <v>Kızılpınar, Onur Çağrı-115204055</v>
      </c>
      <c r="E174" s="16">
        <v>13</v>
      </c>
      <c r="F174" s="16">
        <v>12.8</v>
      </c>
      <c r="G174" s="16">
        <v>12.3</v>
      </c>
      <c r="H174" s="16">
        <v>11.9</v>
      </c>
      <c r="I174">
        <v>2</v>
      </c>
      <c r="J174">
        <v>200</v>
      </c>
      <c r="K174">
        <v>100</v>
      </c>
      <c r="L174">
        <v>45</v>
      </c>
      <c r="M174">
        <v>59</v>
      </c>
      <c r="N174">
        <v>15</v>
      </c>
      <c r="O174">
        <v>30</v>
      </c>
      <c r="P174">
        <v>4</v>
      </c>
      <c r="Q174" t="s">
        <v>569</v>
      </c>
      <c r="R174">
        <v>1</v>
      </c>
      <c r="S174">
        <v>200</v>
      </c>
      <c r="T174">
        <v>3</v>
      </c>
      <c r="U174">
        <v>15</v>
      </c>
      <c r="V174">
        <v>580</v>
      </c>
      <c r="W174">
        <v>5</v>
      </c>
      <c r="X174" t="s">
        <v>576</v>
      </c>
      <c r="Y174" s="16">
        <v>150</v>
      </c>
      <c r="Z174">
        <v>58</v>
      </c>
      <c r="AA174" s="16">
        <v>3</v>
      </c>
      <c r="AB174" s="16">
        <v>15</v>
      </c>
    </row>
    <row r="175" spans="1:28" x14ac:dyDescent="0.25">
      <c r="A175" t="s">
        <v>310</v>
      </c>
      <c r="B175" t="s">
        <v>311</v>
      </c>
      <c r="C175">
        <v>116203055</v>
      </c>
      <c r="D175" t="str">
        <f t="shared" si="3"/>
        <v>Kişi, Murtaza-116203055</v>
      </c>
      <c r="E175" s="16">
        <v>14</v>
      </c>
      <c r="F175" s="16">
        <v>13.6</v>
      </c>
      <c r="G175" s="16">
        <v>13.2</v>
      </c>
      <c r="H175" s="16">
        <v>12.899999999999999</v>
      </c>
      <c r="I175">
        <v>3</v>
      </c>
      <c r="J175">
        <v>100</v>
      </c>
      <c r="K175">
        <v>150</v>
      </c>
      <c r="L175">
        <v>41</v>
      </c>
      <c r="M175">
        <v>60</v>
      </c>
      <c r="N175">
        <v>11</v>
      </c>
      <c r="O175">
        <v>40</v>
      </c>
      <c r="P175">
        <v>3</v>
      </c>
      <c r="Q175" t="s">
        <v>570</v>
      </c>
      <c r="R175">
        <v>2</v>
      </c>
      <c r="S175">
        <v>400</v>
      </c>
      <c r="T175">
        <v>3</v>
      </c>
      <c r="U175">
        <v>15</v>
      </c>
      <c r="V175">
        <v>440</v>
      </c>
      <c r="W175">
        <v>5</v>
      </c>
      <c r="X175" t="s">
        <v>576</v>
      </c>
      <c r="Y175" s="16">
        <v>120</v>
      </c>
      <c r="Z175">
        <v>34</v>
      </c>
      <c r="AA175" s="16">
        <v>1</v>
      </c>
      <c r="AB175" s="16">
        <v>8</v>
      </c>
    </row>
    <row r="176" spans="1:28" x14ac:dyDescent="0.25">
      <c r="A176" t="s">
        <v>314</v>
      </c>
      <c r="B176" t="s">
        <v>315</v>
      </c>
      <c r="C176">
        <v>113205011</v>
      </c>
      <c r="D176" t="str">
        <f t="shared" si="3"/>
        <v>Koçak, Yusuf-113205011</v>
      </c>
      <c r="E176" s="16">
        <v>13</v>
      </c>
      <c r="F176" s="16">
        <v>12.7</v>
      </c>
      <c r="G176" s="16">
        <v>12.6</v>
      </c>
      <c r="H176" s="16">
        <v>12.5</v>
      </c>
      <c r="I176">
        <v>4</v>
      </c>
      <c r="J176">
        <v>200</v>
      </c>
      <c r="K176">
        <v>80</v>
      </c>
      <c r="L176">
        <v>44</v>
      </c>
      <c r="M176">
        <v>61</v>
      </c>
      <c r="N176">
        <v>11</v>
      </c>
      <c r="O176">
        <v>20</v>
      </c>
      <c r="P176">
        <v>3</v>
      </c>
      <c r="Q176" t="s">
        <v>570</v>
      </c>
      <c r="R176">
        <v>3</v>
      </c>
      <c r="S176">
        <v>200</v>
      </c>
      <c r="T176">
        <v>2</v>
      </c>
      <c r="U176">
        <v>10</v>
      </c>
      <c r="V176">
        <v>490</v>
      </c>
      <c r="W176">
        <v>3</v>
      </c>
      <c r="X176" t="s">
        <v>578</v>
      </c>
      <c r="Y176" s="16">
        <v>210</v>
      </c>
      <c r="Z176">
        <v>79</v>
      </c>
      <c r="AA176" s="16">
        <v>1</v>
      </c>
      <c r="AB176" s="16">
        <v>8</v>
      </c>
    </row>
    <row r="177" spans="1:28" x14ac:dyDescent="0.25">
      <c r="A177" t="s">
        <v>318</v>
      </c>
      <c r="B177" t="s">
        <v>319</v>
      </c>
      <c r="C177">
        <v>114204036</v>
      </c>
      <c r="D177" t="str">
        <f t="shared" si="3"/>
        <v>Kontürk, İlker-114204036</v>
      </c>
      <c r="E177" s="16">
        <v>12</v>
      </c>
      <c r="F177" s="16">
        <v>11.7</v>
      </c>
      <c r="G177" s="16">
        <v>11.5</v>
      </c>
      <c r="H177" s="16">
        <v>11.1</v>
      </c>
      <c r="I177">
        <v>4</v>
      </c>
      <c r="J177">
        <v>300</v>
      </c>
      <c r="K177">
        <v>130</v>
      </c>
      <c r="L177">
        <v>49</v>
      </c>
      <c r="M177">
        <v>61</v>
      </c>
      <c r="N177">
        <v>12</v>
      </c>
      <c r="O177">
        <v>40</v>
      </c>
      <c r="P177">
        <v>3</v>
      </c>
      <c r="Q177" t="s">
        <v>570</v>
      </c>
      <c r="R177">
        <v>3</v>
      </c>
      <c r="S177">
        <v>200</v>
      </c>
      <c r="T177">
        <v>3</v>
      </c>
      <c r="U177">
        <v>15</v>
      </c>
      <c r="V177">
        <v>430</v>
      </c>
      <c r="W177">
        <v>4</v>
      </c>
      <c r="X177" t="s">
        <v>579</v>
      </c>
      <c r="Y177" s="16">
        <v>150</v>
      </c>
      <c r="Z177">
        <v>78</v>
      </c>
      <c r="AA177" s="16">
        <v>3</v>
      </c>
      <c r="AB177" s="16">
        <v>15</v>
      </c>
    </row>
    <row r="178" spans="1:28" x14ac:dyDescent="0.25">
      <c r="A178" t="s">
        <v>321</v>
      </c>
      <c r="B178" t="s">
        <v>322</v>
      </c>
      <c r="C178">
        <v>113204020</v>
      </c>
      <c r="D178" t="str">
        <f t="shared" si="3"/>
        <v>Koyutürk, Raşit-113204020</v>
      </c>
      <c r="E178" s="16">
        <v>13</v>
      </c>
      <c r="F178" s="16">
        <v>12.7</v>
      </c>
      <c r="G178" s="16">
        <v>12.299999999999999</v>
      </c>
      <c r="H178" s="16">
        <v>11.799999999999999</v>
      </c>
      <c r="I178">
        <v>4</v>
      </c>
      <c r="J178">
        <v>600</v>
      </c>
      <c r="K178">
        <v>100</v>
      </c>
      <c r="L178">
        <v>47</v>
      </c>
      <c r="M178">
        <v>58</v>
      </c>
      <c r="N178">
        <v>13</v>
      </c>
      <c r="O178">
        <v>30</v>
      </c>
      <c r="P178">
        <v>3</v>
      </c>
      <c r="Q178" t="s">
        <v>570</v>
      </c>
      <c r="R178">
        <v>3</v>
      </c>
      <c r="S178">
        <v>400</v>
      </c>
      <c r="T178">
        <v>3</v>
      </c>
      <c r="U178">
        <v>15</v>
      </c>
      <c r="V178">
        <v>510</v>
      </c>
      <c r="W178">
        <v>4</v>
      </c>
      <c r="X178" t="s">
        <v>579</v>
      </c>
      <c r="Y178" s="16">
        <v>160</v>
      </c>
      <c r="Z178">
        <v>86</v>
      </c>
      <c r="AA178" s="16">
        <v>1</v>
      </c>
      <c r="AB178" s="16">
        <v>8</v>
      </c>
    </row>
    <row r="179" spans="1:28" x14ac:dyDescent="0.25">
      <c r="A179" t="s">
        <v>316</v>
      </c>
      <c r="B179" t="s">
        <v>317</v>
      </c>
      <c r="C179">
        <v>114203043</v>
      </c>
      <c r="D179" t="str">
        <f t="shared" si="3"/>
        <v>Köksal, Kadir Burak-114203043</v>
      </c>
      <c r="E179" s="16">
        <v>15</v>
      </c>
      <c r="F179" s="16">
        <v>14.9</v>
      </c>
      <c r="G179" s="16">
        <v>14.700000000000001</v>
      </c>
      <c r="H179" s="16">
        <v>14.3</v>
      </c>
      <c r="I179">
        <v>2</v>
      </c>
      <c r="J179">
        <v>700</v>
      </c>
      <c r="K179">
        <v>110</v>
      </c>
      <c r="L179">
        <v>51</v>
      </c>
      <c r="M179">
        <v>63</v>
      </c>
      <c r="N179">
        <v>13</v>
      </c>
      <c r="O179">
        <v>20</v>
      </c>
      <c r="P179">
        <v>3</v>
      </c>
      <c r="Q179" t="s">
        <v>570</v>
      </c>
      <c r="R179">
        <v>1</v>
      </c>
      <c r="S179">
        <v>300</v>
      </c>
      <c r="T179">
        <v>1</v>
      </c>
      <c r="U179">
        <v>8</v>
      </c>
      <c r="V179">
        <v>540</v>
      </c>
      <c r="W179">
        <v>4</v>
      </c>
      <c r="X179" t="s">
        <v>579</v>
      </c>
      <c r="Y179" s="16">
        <v>170</v>
      </c>
      <c r="Z179">
        <v>64</v>
      </c>
      <c r="AA179" s="16">
        <v>2</v>
      </c>
      <c r="AB179" s="16">
        <v>10</v>
      </c>
    </row>
    <row r="180" spans="1:28" x14ac:dyDescent="0.25">
      <c r="A180" t="s">
        <v>320</v>
      </c>
      <c r="B180" t="s">
        <v>196</v>
      </c>
      <c r="C180">
        <v>116201145</v>
      </c>
      <c r="D180" t="str">
        <f t="shared" si="3"/>
        <v>Köroğlu, Çağla-116201145</v>
      </c>
      <c r="E180" s="16">
        <v>13</v>
      </c>
      <c r="F180" s="16">
        <v>12.9</v>
      </c>
      <c r="G180" s="16">
        <v>12.6</v>
      </c>
      <c r="H180" s="16">
        <v>12.4</v>
      </c>
      <c r="I180">
        <v>2</v>
      </c>
      <c r="J180">
        <v>500</v>
      </c>
      <c r="K180">
        <v>90</v>
      </c>
      <c r="L180">
        <v>50</v>
      </c>
      <c r="M180">
        <v>66</v>
      </c>
      <c r="N180">
        <v>14</v>
      </c>
      <c r="O180">
        <v>40</v>
      </c>
      <c r="P180">
        <v>4</v>
      </c>
      <c r="Q180" t="s">
        <v>569</v>
      </c>
      <c r="R180">
        <v>1</v>
      </c>
      <c r="S180">
        <v>200</v>
      </c>
      <c r="T180">
        <v>3</v>
      </c>
      <c r="U180">
        <v>15</v>
      </c>
      <c r="V180">
        <v>430</v>
      </c>
      <c r="W180">
        <v>3</v>
      </c>
      <c r="X180" t="s">
        <v>578</v>
      </c>
      <c r="Y180" s="16">
        <v>190</v>
      </c>
      <c r="Z180">
        <v>33</v>
      </c>
      <c r="AA180" s="16">
        <v>3</v>
      </c>
      <c r="AB180" s="16">
        <v>15</v>
      </c>
    </row>
    <row r="181" spans="1:28" x14ac:dyDescent="0.25">
      <c r="A181" t="s">
        <v>327</v>
      </c>
      <c r="B181" t="s">
        <v>328</v>
      </c>
      <c r="C181">
        <v>114205040</v>
      </c>
      <c r="D181" t="str">
        <f t="shared" si="3"/>
        <v>Kumruluoğlu, Ahmet-114205040</v>
      </c>
      <c r="E181" s="16">
        <v>15</v>
      </c>
      <c r="F181" s="16">
        <v>14.9</v>
      </c>
      <c r="G181" s="16">
        <v>14.4</v>
      </c>
      <c r="H181" s="16">
        <v>13.9</v>
      </c>
      <c r="I181">
        <v>2</v>
      </c>
      <c r="J181">
        <v>500</v>
      </c>
      <c r="K181">
        <v>100</v>
      </c>
      <c r="L181">
        <v>48</v>
      </c>
      <c r="M181">
        <v>60</v>
      </c>
      <c r="N181">
        <v>10</v>
      </c>
      <c r="O181">
        <v>20</v>
      </c>
      <c r="P181">
        <v>3</v>
      </c>
      <c r="Q181" t="s">
        <v>570</v>
      </c>
      <c r="R181">
        <v>1</v>
      </c>
      <c r="S181">
        <v>100</v>
      </c>
      <c r="T181">
        <v>3</v>
      </c>
      <c r="U181">
        <v>15</v>
      </c>
      <c r="V181">
        <v>410</v>
      </c>
      <c r="W181">
        <v>5</v>
      </c>
      <c r="X181" t="s">
        <v>576</v>
      </c>
      <c r="Y181" s="16">
        <v>110</v>
      </c>
      <c r="Z181">
        <v>81</v>
      </c>
      <c r="AA181" s="16">
        <v>1</v>
      </c>
      <c r="AB181" s="16">
        <v>8</v>
      </c>
    </row>
    <row r="182" spans="1:28" x14ac:dyDescent="0.25">
      <c r="A182" t="s">
        <v>329</v>
      </c>
      <c r="B182" t="s">
        <v>330</v>
      </c>
      <c r="C182">
        <v>114200013</v>
      </c>
      <c r="D182" t="str">
        <f t="shared" si="3"/>
        <v>Kundak, Esin-114200013</v>
      </c>
      <c r="E182" s="16">
        <v>15</v>
      </c>
      <c r="F182" s="16">
        <v>14.7</v>
      </c>
      <c r="G182" s="16">
        <v>14.399999999999999</v>
      </c>
      <c r="H182" s="16">
        <v>14.299999999999999</v>
      </c>
      <c r="I182">
        <v>2</v>
      </c>
      <c r="J182">
        <v>300</v>
      </c>
      <c r="K182">
        <v>140</v>
      </c>
      <c r="L182">
        <v>42</v>
      </c>
      <c r="M182">
        <v>60</v>
      </c>
      <c r="N182">
        <v>12</v>
      </c>
      <c r="O182">
        <v>40</v>
      </c>
      <c r="P182">
        <v>3</v>
      </c>
      <c r="Q182" t="s">
        <v>570</v>
      </c>
      <c r="R182">
        <v>1</v>
      </c>
      <c r="S182">
        <v>200</v>
      </c>
      <c r="T182">
        <v>2</v>
      </c>
      <c r="U182">
        <v>10</v>
      </c>
      <c r="V182">
        <v>410</v>
      </c>
      <c r="W182">
        <v>4</v>
      </c>
      <c r="X182" t="s">
        <v>579</v>
      </c>
      <c r="Y182" s="16">
        <v>150</v>
      </c>
      <c r="Z182">
        <v>71</v>
      </c>
      <c r="AA182" s="16">
        <v>3</v>
      </c>
      <c r="AB182" s="16">
        <v>15</v>
      </c>
    </row>
    <row r="183" spans="1:28" x14ac:dyDescent="0.25">
      <c r="A183" t="s">
        <v>331</v>
      </c>
      <c r="B183" t="s">
        <v>332</v>
      </c>
      <c r="C183">
        <v>114200064</v>
      </c>
      <c r="D183" t="str">
        <f t="shared" si="3"/>
        <v>Kurt, Ferdi-114200064</v>
      </c>
      <c r="E183" s="16">
        <v>11</v>
      </c>
      <c r="F183" s="16">
        <v>10.5</v>
      </c>
      <c r="G183" s="16">
        <v>10</v>
      </c>
      <c r="H183" s="16">
        <v>9.6999999999999993</v>
      </c>
      <c r="I183">
        <v>2</v>
      </c>
      <c r="J183">
        <v>600</v>
      </c>
      <c r="K183">
        <v>120</v>
      </c>
      <c r="L183">
        <v>48</v>
      </c>
      <c r="M183">
        <v>66</v>
      </c>
      <c r="N183">
        <v>13</v>
      </c>
      <c r="O183">
        <v>40</v>
      </c>
      <c r="P183">
        <v>4</v>
      </c>
      <c r="Q183" t="s">
        <v>569</v>
      </c>
      <c r="R183">
        <v>1</v>
      </c>
      <c r="S183">
        <v>300</v>
      </c>
      <c r="T183">
        <v>3</v>
      </c>
      <c r="U183">
        <v>15</v>
      </c>
      <c r="V183">
        <v>570</v>
      </c>
      <c r="W183">
        <v>5</v>
      </c>
      <c r="X183" t="s">
        <v>576</v>
      </c>
      <c r="Y183" s="16">
        <v>140</v>
      </c>
      <c r="Z183">
        <v>82</v>
      </c>
      <c r="AA183" s="16">
        <v>2</v>
      </c>
      <c r="AB183" s="16">
        <v>10</v>
      </c>
    </row>
    <row r="184" spans="1:28" x14ac:dyDescent="0.25">
      <c r="A184" t="s">
        <v>331</v>
      </c>
      <c r="B184" t="s">
        <v>333</v>
      </c>
      <c r="C184">
        <v>116202077</v>
      </c>
      <c r="D184" t="str">
        <f t="shared" si="3"/>
        <v>Kurt, Necmettin Barış-116202077</v>
      </c>
      <c r="E184" s="16">
        <v>11</v>
      </c>
      <c r="F184" s="16">
        <v>10.9</v>
      </c>
      <c r="G184" s="16">
        <v>10.4</v>
      </c>
      <c r="H184" s="16">
        <v>9.9</v>
      </c>
      <c r="I184">
        <v>2</v>
      </c>
      <c r="J184">
        <v>300</v>
      </c>
      <c r="K184">
        <v>150</v>
      </c>
      <c r="L184">
        <v>50</v>
      </c>
      <c r="M184">
        <v>62</v>
      </c>
      <c r="N184">
        <v>10</v>
      </c>
      <c r="O184">
        <v>20</v>
      </c>
      <c r="P184">
        <v>3</v>
      </c>
      <c r="Q184" t="s">
        <v>570</v>
      </c>
      <c r="R184">
        <v>1</v>
      </c>
      <c r="S184">
        <v>400</v>
      </c>
      <c r="T184">
        <v>1</v>
      </c>
      <c r="U184">
        <v>8</v>
      </c>
      <c r="V184">
        <v>540</v>
      </c>
      <c r="W184">
        <v>5</v>
      </c>
      <c r="X184" t="s">
        <v>576</v>
      </c>
      <c r="Y184" s="16">
        <v>150</v>
      </c>
      <c r="Z184">
        <v>84</v>
      </c>
      <c r="AA184" s="16">
        <v>3</v>
      </c>
      <c r="AB184" s="16">
        <v>15</v>
      </c>
    </row>
    <row r="185" spans="1:28" x14ac:dyDescent="0.25">
      <c r="A185" t="s">
        <v>334</v>
      </c>
      <c r="B185" t="s">
        <v>29</v>
      </c>
      <c r="C185">
        <v>115202089</v>
      </c>
      <c r="D185" t="str">
        <f t="shared" si="3"/>
        <v>Kuşoğlu, Emre-115202089</v>
      </c>
      <c r="E185" s="16">
        <v>11</v>
      </c>
      <c r="F185" s="16">
        <v>10.8</v>
      </c>
      <c r="G185" s="16">
        <v>10.600000000000001</v>
      </c>
      <c r="H185" s="16">
        <v>10.400000000000002</v>
      </c>
      <c r="I185">
        <v>2</v>
      </c>
      <c r="J185">
        <v>100</v>
      </c>
      <c r="K185">
        <v>180</v>
      </c>
      <c r="L185">
        <v>47</v>
      </c>
      <c r="M185">
        <v>62</v>
      </c>
      <c r="N185">
        <v>14</v>
      </c>
      <c r="O185">
        <v>40</v>
      </c>
      <c r="P185">
        <v>3</v>
      </c>
      <c r="Q185" t="s">
        <v>570</v>
      </c>
      <c r="R185">
        <v>1</v>
      </c>
      <c r="S185">
        <v>200</v>
      </c>
      <c r="T185">
        <v>2</v>
      </c>
      <c r="U185">
        <v>10</v>
      </c>
      <c r="V185">
        <v>550</v>
      </c>
      <c r="W185">
        <v>4</v>
      </c>
      <c r="X185" t="s">
        <v>579</v>
      </c>
      <c r="Y185" s="16">
        <v>170</v>
      </c>
      <c r="Z185">
        <v>65</v>
      </c>
      <c r="AA185" s="16">
        <v>2</v>
      </c>
      <c r="AB185" s="16">
        <v>10</v>
      </c>
    </row>
    <row r="186" spans="1:28" x14ac:dyDescent="0.25">
      <c r="A186" t="s">
        <v>335</v>
      </c>
      <c r="B186" t="s">
        <v>158</v>
      </c>
      <c r="C186">
        <v>114202034</v>
      </c>
      <c r="D186" t="str">
        <f t="shared" si="3"/>
        <v>Kutluer, Metin-114202034</v>
      </c>
      <c r="E186" s="16">
        <v>15</v>
      </c>
      <c r="F186" s="16">
        <v>14.8</v>
      </c>
      <c r="G186" s="16">
        <v>14.4</v>
      </c>
      <c r="H186" s="16">
        <v>13.9</v>
      </c>
      <c r="I186">
        <v>4</v>
      </c>
      <c r="J186">
        <v>200</v>
      </c>
      <c r="K186">
        <v>150</v>
      </c>
      <c r="L186">
        <v>48</v>
      </c>
      <c r="M186">
        <v>65</v>
      </c>
      <c r="N186">
        <v>14</v>
      </c>
      <c r="O186">
        <v>40</v>
      </c>
      <c r="P186">
        <v>4</v>
      </c>
      <c r="Q186" t="s">
        <v>569</v>
      </c>
      <c r="R186">
        <v>3</v>
      </c>
      <c r="S186">
        <v>300</v>
      </c>
      <c r="T186">
        <v>1</v>
      </c>
      <c r="U186">
        <v>8</v>
      </c>
      <c r="V186">
        <v>460</v>
      </c>
      <c r="W186">
        <v>6</v>
      </c>
      <c r="X186" t="s">
        <v>577</v>
      </c>
      <c r="Y186" s="16">
        <v>130</v>
      </c>
      <c r="Z186">
        <v>71</v>
      </c>
      <c r="AA186" s="16">
        <v>3</v>
      </c>
      <c r="AB186" s="16">
        <v>15</v>
      </c>
    </row>
    <row r="187" spans="1:28" x14ac:dyDescent="0.25">
      <c r="A187" t="s">
        <v>323</v>
      </c>
      <c r="B187" t="s">
        <v>104</v>
      </c>
      <c r="C187">
        <v>114202009</v>
      </c>
      <c r="D187" t="str">
        <f t="shared" si="3"/>
        <v>Küçük, Elif-114202009</v>
      </c>
      <c r="E187" s="16">
        <v>14</v>
      </c>
      <c r="F187" s="16">
        <v>13.5</v>
      </c>
      <c r="G187" s="16">
        <v>13.4</v>
      </c>
      <c r="H187" s="16">
        <v>12.9</v>
      </c>
      <c r="I187">
        <v>2</v>
      </c>
      <c r="J187">
        <v>900</v>
      </c>
      <c r="K187">
        <v>140</v>
      </c>
      <c r="L187">
        <v>42</v>
      </c>
      <c r="M187">
        <v>55</v>
      </c>
      <c r="N187">
        <v>10</v>
      </c>
      <c r="O187">
        <v>40</v>
      </c>
      <c r="P187">
        <v>2</v>
      </c>
      <c r="Q187" t="s">
        <v>568</v>
      </c>
      <c r="R187">
        <v>1</v>
      </c>
      <c r="S187">
        <v>400</v>
      </c>
      <c r="T187">
        <v>2</v>
      </c>
      <c r="U187">
        <v>10</v>
      </c>
      <c r="V187">
        <v>450</v>
      </c>
      <c r="W187">
        <v>3</v>
      </c>
      <c r="X187" t="s">
        <v>578</v>
      </c>
      <c r="Y187" s="16">
        <v>180</v>
      </c>
      <c r="Z187">
        <v>70</v>
      </c>
      <c r="AA187" s="16">
        <v>2</v>
      </c>
      <c r="AB187" s="16">
        <v>10</v>
      </c>
    </row>
    <row r="188" spans="1:28" x14ac:dyDescent="0.25">
      <c r="A188" t="s">
        <v>323</v>
      </c>
      <c r="B188" t="s">
        <v>324</v>
      </c>
      <c r="C188">
        <v>114202047</v>
      </c>
      <c r="D188" t="str">
        <f t="shared" si="3"/>
        <v>Küçük, Hüseyin Ardan-114202047</v>
      </c>
      <c r="E188" s="16">
        <v>14</v>
      </c>
      <c r="F188" s="16">
        <v>13.7</v>
      </c>
      <c r="G188" s="16">
        <v>13.5</v>
      </c>
      <c r="H188" s="16">
        <v>13.3</v>
      </c>
      <c r="I188">
        <v>3</v>
      </c>
      <c r="J188">
        <v>100</v>
      </c>
      <c r="K188">
        <v>180</v>
      </c>
      <c r="L188">
        <v>47</v>
      </c>
      <c r="M188">
        <v>57</v>
      </c>
      <c r="N188">
        <v>13</v>
      </c>
      <c r="O188">
        <v>30</v>
      </c>
      <c r="P188">
        <v>2</v>
      </c>
      <c r="Q188" t="s">
        <v>568</v>
      </c>
      <c r="R188">
        <v>2</v>
      </c>
      <c r="S188">
        <v>300</v>
      </c>
      <c r="T188">
        <v>1</v>
      </c>
      <c r="U188">
        <v>8</v>
      </c>
      <c r="V188">
        <v>600</v>
      </c>
      <c r="W188">
        <v>3</v>
      </c>
      <c r="X188" t="s">
        <v>578</v>
      </c>
      <c r="Y188" s="16">
        <v>250</v>
      </c>
      <c r="Z188">
        <v>95</v>
      </c>
      <c r="AA188" s="16">
        <v>1</v>
      </c>
      <c r="AB188" s="16">
        <v>8</v>
      </c>
    </row>
    <row r="189" spans="1:28" x14ac:dyDescent="0.25">
      <c r="A189" t="s">
        <v>325</v>
      </c>
      <c r="B189" t="s">
        <v>326</v>
      </c>
      <c r="C189">
        <v>116203182</v>
      </c>
      <c r="D189" t="str">
        <f t="shared" si="3"/>
        <v>Küçükyılmaz, Canakan-116203182</v>
      </c>
      <c r="E189" s="16">
        <v>13</v>
      </c>
      <c r="F189" s="16">
        <v>12.6</v>
      </c>
      <c r="G189" s="16">
        <v>12.1</v>
      </c>
      <c r="H189" s="16">
        <v>11.6</v>
      </c>
      <c r="I189">
        <v>4</v>
      </c>
      <c r="J189">
        <v>100</v>
      </c>
      <c r="K189">
        <v>80</v>
      </c>
      <c r="L189">
        <v>50</v>
      </c>
      <c r="M189">
        <v>66</v>
      </c>
      <c r="N189">
        <v>14</v>
      </c>
      <c r="O189">
        <v>30</v>
      </c>
      <c r="P189">
        <v>2</v>
      </c>
      <c r="Q189" t="s">
        <v>568</v>
      </c>
      <c r="R189">
        <v>3</v>
      </c>
      <c r="S189">
        <v>100</v>
      </c>
      <c r="T189">
        <v>1</v>
      </c>
      <c r="U189">
        <v>8</v>
      </c>
      <c r="V189">
        <v>530</v>
      </c>
      <c r="W189">
        <v>5</v>
      </c>
      <c r="X189" t="s">
        <v>576</v>
      </c>
      <c r="Y189" s="16">
        <v>140</v>
      </c>
      <c r="Z189">
        <v>83</v>
      </c>
      <c r="AA189" s="16">
        <v>3</v>
      </c>
      <c r="AB189" s="16">
        <v>15</v>
      </c>
    </row>
    <row r="190" spans="1:28" x14ac:dyDescent="0.25">
      <c r="A190" t="s">
        <v>336</v>
      </c>
      <c r="B190" t="s">
        <v>337</v>
      </c>
      <c r="C190">
        <v>113204018</v>
      </c>
      <c r="D190" t="str">
        <f t="shared" si="3"/>
        <v>Mecit, Banu Ezgi-113204018</v>
      </c>
      <c r="E190" s="16">
        <v>15</v>
      </c>
      <c r="F190" s="16">
        <v>14.5</v>
      </c>
      <c r="G190" s="16">
        <v>14</v>
      </c>
      <c r="H190" s="16">
        <v>13.8</v>
      </c>
      <c r="I190">
        <v>3</v>
      </c>
      <c r="J190">
        <v>400</v>
      </c>
      <c r="K190">
        <v>120</v>
      </c>
      <c r="L190">
        <v>42</v>
      </c>
      <c r="M190">
        <v>62</v>
      </c>
      <c r="N190">
        <v>10</v>
      </c>
      <c r="O190">
        <v>20</v>
      </c>
      <c r="P190">
        <v>3</v>
      </c>
      <c r="Q190" t="s">
        <v>570</v>
      </c>
      <c r="R190">
        <v>2</v>
      </c>
      <c r="S190">
        <v>300</v>
      </c>
      <c r="T190">
        <v>2</v>
      </c>
      <c r="U190">
        <v>10</v>
      </c>
      <c r="V190">
        <v>550</v>
      </c>
      <c r="W190">
        <v>3</v>
      </c>
      <c r="X190" t="s">
        <v>578</v>
      </c>
      <c r="Y190" s="16">
        <v>220</v>
      </c>
      <c r="Z190">
        <v>75</v>
      </c>
      <c r="AA190" s="16">
        <v>3</v>
      </c>
      <c r="AB190" s="16">
        <v>15</v>
      </c>
    </row>
    <row r="191" spans="1:28" x14ac:dyDescent="0.25">
      <c r="A191" t="s">
        <v>338</v>
      </c>
      <c r="B191" t="s">
        <v>339</v>
      </c>
      <c r="C191">
        <v>116206151</v>
      </c>
      <c r="D191" t="str">
        <f t="shared" si="3"/>
        <v>Mohammed, Siraj Mohammed Alsaedi-116206151</v>
      </c>
      <c r="E191" s="16">
        <v>15</v>
      </c>
      <c r="F191" s="16">
        <v>14.8</v>
      </c>
      <c r="G191" s="16">
        <v>14.4</v>
      </c>
      <c r="H191" s="16">
        <v>13.9</v>
      </c>
      <c r="I191">
        <v>4</v>
      </c>
      <c r="J191">
        <v>100</v>
      </c>
      <c r="K191">
        <v>130</v>
      </c>
      <c r="L191">
        <v>43</v>
      </c>
      <c r="M191">
        <v>61</v>
      </c>
      <c r="N191">
        <v>15</v>
      </c>
      <c r="O191">
        <v>40</v>
      </c>
      <c r="P191">
        <v>2</v>
      </c>
      <c r="Q191" t="s">
        <v>568</v>
      </c>
      <c r="R191">
        <v>3</v>
      </c>
      <c r="S191">
        <v>200</v>
      </c>
      <c r="T191">
        <v>1</v>
      </c>
      <c r="U191">
        <v>8</v>
      </c>
      <c r="V191">
        <v>550</v>
      </c>
      <c r="W191">
        <v>5</v>
      </c>
      <c r="X191" t="s">
        <v>576</v>
      </c>
      <c r="Y191" s="16">
        <v>150</v>
      </c>
      <c r="Z191">
        <v>55</v>
      </c>
      <c r="AA191" s="16">
        <v>1</v>
      </c>
      <c r="AB191" s="16">
        <v>8</v>
      </c>
    </row>
    <row r="192" spans="1:28" x14ac:dyDescent="0.25">
      <c r="A192" t="s">
        <v>539</v>
      </c>
      <c r="B192" t="s">
        <v>540</v>
      </c>
      <c r="C192">
        <v>116200018</v>
      </c>
      <c r="D192" t="str">
        <f t="shared" si="3"/>
        <v>Mourad, Mahmoud Ayman Abdelhalim Moursy-116200018</v>
      </c>
      <c r="E192" s="16">
        <v>13</v>
      </c>
      <c r="F192" s="16">
        <v>12.8</v>
      </c>
      <c r="G192" s="16">
        <v>12.4</v>
      </c>
      <c r="H192" s="16">
        <v>12.1</v>
      </c>
      <c r="I192">
        <v>3</v>
      </c>
      <c r="J192">
        <v>400</v>
      </c>
      <c r="K192">
        <v>140</v>
      </c>
      <c r="L192">
        <v>53</v>
      </c>
      <c r="M192">
        <v>69</v>
      </c>
      <c r="N192">
        <v>11</v>
      </c>
      <c r="O192">
        <v>40</v>
      </c>
      <c r="P192">
        <v>4</v>
      </c>
      <c r="Q192" t="s">
        <v>569</v>
      </c>
      <c r="R192">
        <v>2</v>
      </c>
      <c r="S192">
        <v>200</v>
      </c>
      <c r="T192">
        <v>2</v>
      </c>
      <c r="U192">
        <v>10</v>
      </c>
      <c r="V192">
        <v>530</v>
      </c>
      <c r="W192">
        <v>6</v>
      </c>
      <c r="X192" t="s">
        <v>577</v>
      </c>
      <c r="Y192" s="16">
        <v>130</v>
      </c>
      <c r="Z192">
        <v>78</v>
      </c>
      <c r="AA192" s="16">
        <v>1</v>
      </c>
      <c r="AB192" s="16">
        <v>8</v>
      </c>
    </row>
    <row r="193" spans="1:28" x14ac:dyDescent="0.25">
      <c r="A193" t="s">
        <v>340</v>
      </c>
      <c r="B193" t="s">
        <v>341</v>
      </c>
      <c r="C193">
        <v>11575005</v>
      </c>
      <c r="D193" t="str">
        <f t="shared" si="3"/>
        <v>Murkoyunlu, Sezen-11575005</v>
      </c>
      <c r="E193" s="16">
        <v>11</v>
      </c>
      <c r="F193" s="16">
        <v>10.7</v>
      </c>
      <c r="G193" s="16">
        <v>10.199999999999999</v>
      </c>
      <c r="H193" s="16">
        <v>9.6999999999999993</v>
      </c>
      <c r="I193">
        <v>2</v>
      </c>
      <c r="J193">
        <v>100</v>
      </c>
      <c r="K193">
        <v>80</v>
      </c>
      <c r="L193">
        <v>47</v>
      </c>
      <c r="M193">
        <v>62</v>
      </c>
      <c r="N193">
        <v>10</v>
      </c>
      <c r="O193">
        <v>30</v>
      </c>
      <c r="P193">
        <v>2</v>
      </c>
      <c r="Q193" t="s">
        <v>568</v>
      </c>
      <c r="R193">
        <v>1</v>
      </c>
      <c r="S193">
        <v>100</v>
      </c>
      <c r="T193">
        <v>3</v>
      </c>
      <c r="U193">
        <v>15</v>
      </c>
      <c r="V193">
        <v>460</v>
      </c>
      <c r="W193">
        <v>4</v>
      </c>
      <c r="X193" t="s">
        <v>579</v>
      </c>
      <c r="Y193" s="16">
        <v>150</v>
      </c>
      <c r="Z193">
        <v>61</v>
      </c>
      <c r="AA193" s="16">
        <v>1</v>
      </c>
      <c r="AB193" s="16">
        <v>8</v>
      </c>
    </row>
    <row r="194" spans="1:28" x14ac:dyDescent="0.25">
      <c r="A194" t="s">
        <v>342</v>
      </c>
      <c r="B194" t="s">
        <v>343</v>
      </c>
      <c r="C194">
        <v>116205103</v>
      </c>
      <c r="D194" t="str">
        <f t="shared" si="3"/>
        <v>Namal, Fahri-116205103</v>
      </c>
      <c r="E194" s="16">
        <v>14</v>
      </c>
      <c r="F194" s="16">
        <v>13.9</v>
      </c>
      <c r="G194" s="16">
        <v>13.8</v>
      </c>
      <c r="H194" s="16">
        <v>13.4</v>
      </c>
      <c r="I194">
        <v>4</v>
      </c>
      <c r="J194">
        <v>300</v>
      </c>
      <c r="K194">
        <v>130</v>
      </c>
      <c r="L194">
        <v>46</v>
      </c>
      <c r="M194">
        <v>59</v>
      </c>
      <c r="N194">
        <v>13</v>
      </c>
      <c r="O194">
        <v>40</v>
      </c>
      <c r="P194">
        <v>4</v>
      </c>
      <c r="Q194" t="s">
        <v>569</v>
      </c>
      <c r="R194">
        <v>3</v>
      </c>
      <c r="S194">
        <v>100</v>
      </c>
      <c r="T194">
        <v>3</v>
      </c>
      <c r="U194">
        <v>15</v>
      </c>
      <c r="V194">
        <v>400</v>
      </c>
      <c r="W194">
        <v>5</v>
      </c>
      <c r="X194" t="s">
        <v>576</v>
      </c>
      <c r="Y194" s="16">
        <v>130</v>
      </c>
      <c r="Z194">
        <v>35</v>
      </c>
      <c r="AA194" s="16">
        <v>3</v>
      </c>
      <c r="AB194" s="16">
        <v>15</v>
      </c>
    </row>
    <row r="195" spans="1:28" x14ac:dyDescent="0.25">
      <c r="A195" t="s">
        <v>344</v>
      </c>
      <c r="B195" t="s">
        <v>345</v>
      </c>
      <c r="C195">
        <v>114204035</v>
      </c>
      <c r="D195" t="str">
        <f t="shared" si="3"/>
        <v>Nerezoğlu, Berke Can-114204035</v>
      </c>
      <c r="E195" s="16">
        <v>12</v>
      </c>
      <c r="F195" s="16">
        <v>11.6</v>
      </c>
      <c r="G195" s="16">
        <v>11.4</v>
      </c>
      <c r="H195" s="16">
        <v>11.200000000000001</v>
      </c>
      <c r="I195">
        <v>2</v>
      </c>
      <c r="J195">
        <v>400</v>
      </c>
      <c r="K195">
        <v>160</v>
      </c>
      <c r="L195">
        <v>48</v>
      </c>
      <c r="M195">
        <v>61</v>
      </c>
      <c r="N195">
        <v>11</v>
      </c>
      <c r="O195">
        <v>40</v>
      </c>
      <c r="P195">
        <v>3</v>
      </c>
      <c r="Q195" t="s">
        <v>570</v>
      </c>
      <c r="R195">
        <v>1</v>
      </c>
      <c r="S195">
        <v>100</v>
      </c>
      <c r="T195">
        <v>1</v>
      </c>
      <c r="U195">
        <v>8</v>
      </c>
      <c r="V195">
        <v>440</v>
      </c>
      <c r="W195">
        <v>6</v>
      </c>
      <c r="X195" t="s">
        <v>577</v>
      </c>
      <c r="Y195" s="16">
        <v>120</v>
      </c>
      <c r="Z195">
        <v>84</v>
      </c>
      <c r="AA195" s="16">
        <v>1</v>
      </c>
      <c r="AB195" s="16">
        <v>8</v>
      </c>
    </row>
    <row r="196" spans="1:28" x14ac:dyDescent="0.25">
      <c r="A196" t="s">
        <v>346</v>
      </c>
      <c r="B196" t="s">
        <v>347</v>
      </c>
      <c r="C196">
        <v>115205107</v>
      </c>
      <c r="D196" t="str">
        <f t="shared" ref="D196:D260" si="4">A196&amp;", "&amp;B196&amp;"-"&amp;C196</f>
        <v>Okutan, İkbal Ömer-115205107</v>
      </c>
      <c r="E196" s="16">
        <v>15</v>
      </c>
      <c r="F196" s="16">
        <v>14.7</v>
      </c>
      <c r="G196" s="16">
        <v>14.6</v>
      </c>
      <c r="H196" s="16">
        <v>14.4</v>
      </c>
      <c r="I196">
        <v>3</v>
      </c>
      <c r="J196">
        <v>400</v>
      </c>
      <c r="K196">
        <v>110</v>
      </c>
      <c r="L196">
        <v>47</v>
      </c>
      <c r="M196">
        <v>57</v>
      </c>
      <c r="N196">
        <v>10</v>
      </c>
      <c r="O196">
        <v>40</v>
      </c>
      <c r="P196">
        <v>2</v>
      </c>
      <c r="Q196" t="s">
        <v>568</v>
      </c>
      <c r="R196">
        <v>2</v>
      </c>
      <c r="S196">
        <v>200</v>
      </c>
      <c r="T196">
        <v>2</v>
      </c>
      <c r="U196">
        <v>10</v>
      </c>
      <c r="V196">
        <v>520</v>
      </c>
      <c r="W196">
        <v>4</v>
      </c>
      <c r="X196" t="s">
        <v>579</v>
      </c>
      <c r="Y196" s="16">
        <v>170</v>
      </c>
      <c r="Z196">
        <v>42</v>
      </c>
      <c r="AA196" s="16">
        <v>2</v>
      </c>
      <c r="AB196" s="16">
        <v>10</v>
      </c>
    </row>
    <row r="197" spans="1:28" x14ac:dyDescent="0.25">
      <c r="A197" t="s">
        <v>348</v>
      </c>
      <c r="B197" t="s">
        <v>121</v>
      </c>
      <c r="C197">
        <v>115204036</v>
      </c>
      <c r="D197" t="str">
        <f t="shared" si="4"/>
        <v>Oran, Onur-115204036</v>
      </c>
      <c r="E197" s="16">
        <v>13</v>
      </c>
      <c r="F197" s="16">
        <v>12.9</v>
      </c>
      <c r="G197" s="16">
        <v>12.8</v>
      </c>
      <c r="H197" s="16">
        <v>12.5</v>
      </c>
      <c r="I197">
        <v>4</v>
      </c>
      <c r="J197">
        <v>300</v>
      </c>
      <c r="K197">
        <v>140</v>
      </c>
      <c r="L197">
        <v>45</v>
      </c>
      <c r="M197">
        <v>55</v>
      </c>
      <c r="N197">
        <v>11</v>
      </c>
      <c r="O197">
        <v>30</v>
      </c>
      <c r="P197">
        <v>4</v>
      </c>
      <c r="Q197" t="s">
        <v>569</v>
      </c>
      <c r="R197">
        <v>3</v>
      </c>
      <c r="S197">
        <v>200</v>
      </c>
      <c r="T197">
        <v>3</v>
      </c>
      <c r="U197">
        <v>15</v>
      </c>
      <c r="V197">
        <v>590</v>
      </c>
      <c r="W197">
        <v>3</v>
      </c>
      <c r="X197" t="s">
        <v>578</v>
      </c>
      <c r="Y197" s="16">
        <v>230</v>
      </c>
      <c r="Z197">
        <v>94</v>
      </c>
      <c r="AA197" s="16">
        <v>1</v>
      </c>
      <c r="AB197" s="16">
        <v>8</v>
      </c>
    </row>
    <row r="198" spans="1:28" x14ac:dyDescent="0.25">
      <c r="A198" t="s">
        <v>349</v>
      </c>
      <c r="B198" t="s">
        <v>350</v>
      </c>
      <c r="C198">
        <v>114202043</v>
      </c>
      <c r="D198" t="str">
        <f t="shared" si="4"/>
        <v>Oturaklıoğlu, Nazif Mert-114202043</v>
      </c>
      <c r="E198" s="16">
        <v>15</v>
      </c>
      <c r="F198" s="16">
        <v>14.6</v>
      </c>
      <c r="G198" s="16">
        <v>14.4</v>
      </c>
      <c r="H198" s="16">
        <v>13.9</v>
      </c>
      <c r="I198">
        <v>4</v>
      </c>
      <c r="J198">
        <v>700</v>
      </c>
      <c r="K198">
        <v>160</v>
      </c>
      <c r="L198">
        <v>41</v>
      </c>
      <c r="M198">
        <v>55</v>
      </c>
      <c r="N198">
        <v>10</v>
      </c>
      <c r="O198">
        <v>30</v>
      </c>
      <c r="P198">
        <v>4</v>
      </c>
      <c r="Q198" t="s">
        <v>569</v>
      </c>
      <c r="R198">
        <v>3</v>
      </c>
      <c r="S198">
        <v>200</v>
      </c>
      <c r="T198">
        <v>3</v>
      </c>
      <c r="U198">
        <v>15</v>
      </c>
      <c r="V198">
        <v>560</v>
      </c>
      <c r="W198">
        <v>4</v>
      </c>
      <c r="X198" t="s">
        <v>579</v>
      </c>
      <c r="Y198" s="16">
        <v>190</v>
      </c>
      <c r="Z198">
        <v>66</v>
      </c>
      <c r="AA198" s="16">
        <v>1</v>
      </c>
      <c r="AB198" s="16">
        <v>8</v>
      </c>
    </row>
    <row r="199" spans="1:28" x14ac:dyDescent="0.25">
      <c r="A199" t="s">
        <v>352</v>
      </c>
      <c r="B199" t="s">
        <v>353</v>
      </c>
      <c r="C199">
        <v>113205047</v>
      </c>
      <c r="D199" t="str">
        <f t="shared" si="4"/>
        <v>Ozan, Tunç-113205047</v>
      </c>
      <c r="E199" s="16">
        <v>14</v>
      </c>
      <c r="F199" s="16">
        <v>13.9</v>
      </c>
      <c r="G199" s="16">
        <v>13.700000000000001</v>
      </c>
      <c r="H199" s="16">
        <v>13.200000000000001</v>
      </c>
      <c r="I199">
        <v>2</v>
      </c>
      <c r="J199">
        <v>900</v>
      </c>
      <c r="K199">
        <v>110</v>
      </c>
      <c r="L199">
        <v>52</v>
      </c>
      <c r="M199">
        <v>67</v>
      </c>
      <c r="N199">
        <v>15</v>
      </c>
      <c r="O199">
        <v>20</v>
      </c>
      <c r="P199">
        <v>3</v>
      </c>
      <c r="Q199" t="s">
        <v>570</v>
      </c>
      <c r="R199">
        <v>1</v>
      </c>
      <c r="S199">
        <v>400</v>
      </c>
      <c r="T199">
        <v>3</v>
      </c>
      <c r="U199">
        <v>15</v>
      </c>
      <c r="V199">
        <v>440</v>
      </c>
      <c r="W199">
        <v>5</v>
      </c>
      <c r="X199" t="s">
        <v>576</v>
      </c>
      <c r="Y199" s="16">
        <v>140</v>
      </c>
      <c r="Z199">
        <v>44</v>
      </c>
      <c r="AA199" s="16">
        <v>2</v>
      </c>
      <c r="AB199" s="16">
        <v>10</v>
      </c>
    </row>
    <row r="200" spans="1:28" x14ac:dyDescent="0.25">
      <c r="A200" t="s">
        <v>351</v>
      </c>
      <c r="B200" t="s">
        <v>262</v>
      </c>
      <c r="C200">
        <v>115204046</v>
      </c>
      <c r="D200" t="str">
        <f t="shared" si="4"/>
        <v>Öz, Esra-115204046</v>
      </c>
      <c r="E200" s="16">
        <v>12</v>
      </c>
      <c r="F200" s="16">
        <v>11.7</v>
      </c>
      <c r="G200" s="16">
        <v>11.399999999999999</v>
      </c>
      <c r="H200" s="16">
        <v>11.099999999999998</v>
      </c>
      <c r="I200">
        <v>3</v>
      </c>
      <c r="J200">
        <v>400</v>
      </c>
      <c r="K200">
        <v>180</v>
      </c>
      <c r="L200">
        <v>51</v>
      </c>
      <c r="M200">
        <v>64</v>
      </c>
      <c r="N200">
        <v>12</v>
      </c>
      <c r="O200">
        <v>30</v>
      </c>
      <c r="P200">
        <v>2</v>
      </c>
      <c r="Q200" t="s">
        <v>568</v>
      </c>
      <c r="R200">
        <v>2</v>
      </c>
      <c r="S200">
        <v>100</v>
      </c>
      <c r="T200">
        <v>2</v>
      </c>
      <c r="U200">
        <v>10</v>
      </c>
      <c r="V200">
        <v>570</v>
      </c>
      <c r="W200">
        <v>3</v>
      </c>
      <c r="X200" t="s">
        <v>578</v>
      </c>
      <c r="Y200" s="16">
        <v>240</v>
      </c>
      <c r="Z200">
        <v>57</v>
      </c>
      <c r="AA200" s="16">
        <v>2</v>
      </c>
      <c r="AB200" s="16">
        <v>10</v>
      </c>
    </row>
    <row r="201" spans="1:28" x14ac:dyDescent="0.25">
      <c r="A201" t="s">
        <v>354</v>
      </c>
      <c r="B201" t="s">
        <v>276</v>
      </c>
      <c r="C201">
        <v>114203061</v>
      </c>
      <c r="D201" t="str">
        <f t="shared" si="4"/>
        <v>Özdemir, Gizem-114203061</v>
      </c>
      <c r="E201" s="16">
        <v>12</v>
      </c>
      <c r="F201" s="16">
        <v>11.8</v>
      </c>
      <c r="G201" s="16">
        <v>11.4</v>
      </c>
      <c r="H201" s="16">
        <v>11</v>
      </c>
      <c r="I201">
        <v>3</v>
      </c>
      <c r="J201">
        <v>200</v>
      </c>
      <c r="K201">
        <v>110</v>
      </c>
      <c r="L201">
        <v>50</v>
      </c>
      <c r="M201">
        <v>63</v>
      </c>
      <c r="N201">
        <v>12</v>
      </c>
      <c r="O201">
        <v>40</v>
      </c>
      <c r="P201">
        <v>2</v>
      </c>
      <c r="Q201" t="s">
        <v>568</v>
      </c>
      <c r="R201">
        <v>2</v>
      </c>
      <c r="S201">
        <v>200</v>
      </c>
      <c r="T201">
        <v>1</v>
      </c>
      <c r="U201">
        <v>8</v>
      </c>
      <c r="V201">
        <v>580</v>
      </c>
      <c r="W201">
        <v>6</v>
      </c>
      <c r="X201" t="s">
        <v>577</v>
      </c>
      <c r="Y201" s="16">
        <v>140</v>
      </c>
      <c r="Z201">
        <v>98</v>
      </c>
      <c r="AA201" s="16">
        <v>1</v>
      </c>
      <c r="AB201" s="16">
        <v>8</v>
      </c>
    </row>
    <row r="202" spans="1:28" x14ac:dyDescent="0.25">
      <c r="A202" t="s">
        <v>355</v>
      </c>
      <c r="B202" t="s">
        <v>356</v>
      </c>
      <c r="C202">
        <v>112206007</v>
      </c>
      <c r="D202" t="str">
        <f t="shared" si="4"/>
        <v>Özer, Necmi Can-112206007</v>
      </c>
      <c r="E202" s="16">
        <v>15</v>
      </c>
      <c r="F202" s="16">
        <v>14.5</v>
      </c>
      <c r="G202" s="16">
        <v>14.3</v>
      </c>
      <c r="H202" s="16">
        <v>14.100000000000001</v>
      </c>
      <c r="I202">
        <v>3</v>
      </c>
      <c r="J202">
        <v>500</v>
      </c>
      <c r="K202">
        <v>160</v>
      </c>
      <c r="L202">
        <v>49</v>
      </c>
      <c r="M202">
        <v>63</v>
      </c>
      <c r="N202">
        <v>10</v>
      </c>
      <c r="O202">
        <v>30</v>
      </c>
      <c r="P202">
        <v>3</v>
      </c>
      <c r="Q202" t="s">
        <v>570</v>
      </c>
      <c r="R202">
        <v>2</v>
      </c>
      <c r="S202">
        <v>200</v>
      </c>
      <c r="T202">
        <v>2</v>
      </c>
      <c r="U202">
        <v>10</v>
      </c>
      <c r="V202">
        <v>530</v>
      </c>
      <c r="W202">
        <v>6</v>
      </c>
      <c r="X202" t="s">
        <v>577</v>
      </c>
      <c r="Y202" s="16">
        <v>120</v>
      </c>
      <c r="Z202">
        <v>93</v>
      </c>
      <c r="AA202" s="16">
        <v>1</v>
      </c>
      <c r="AB202" s="16">
        <v>8</v>
      </c>
    </row>
    <row r="203" spans="1:28" x14ac:dyDescent="0.25">
      <c r="A203" t="s">
        <v>355</v>
      </c>
      <c r="B203" t="s">
        <v>121</v>
      </c>
      <c r="C203">
        <v>112202060</v>
      </c>
      <c r="D203" t="str">
        <f t="shared" si="4"/>
        <v>Özer, Onur-112202060</v>
      </c>
      <c r="E203" s="16">
        <v>11</v>
      </c>
      <c r="F203" s="16">
        <v>10.8</v>
      </c>
      <c r="G203" s="16">
        <v>10.700000000000001</v>
      </c>
      <c r="H203" s="16">
        <v>10.500000000000002</v>
      </c>
      <c r="I203">
        <v>4</v>
      </c>
      <c r="J203">
        <v>400</v>
      </c>
      <c r="K203">
        <v>180</v>
      </c>
      <c r="L203">
        <v>43</v>
      </c>
      <c r="M203">
        <v>57</v>
      </c>
      <c r="N203">
        <v>14</v>
      </c>
      <c r="O203">
        <v>30</v>
      </c>
      <c r="P203">
        <v>4</v>
      </c>
      <c r="Q203" t="s">
        <v>569</v>
      </c>
      <c r="R203">
        <v>3</v>
      </c>
      <c r="S203">
        <v>400</v>
      </c>
      <c r="T203">
        <v>3</v>
      </c>
      <c r="U203">
        <v>15</v>
      </c>
      <c r="V203">
        <v>510</v>
      </c>
      <c r="W203">
        <v>4</v>
      </c>
      <c r="X203" t="s">
        <v>579</v>
      </c>
      <c r="Y203" s="16">
        <v>180</v>
      </c>
      <c r="Z203">
        <v>71</v>
      </c>
      <c r="AA203" s="16">
        <v>1</v>
      </c>
      <c r="AB203" s="16">
        <v>8</v>
      </c>
    </row>
    <row r="204" spans="1:28" x14ac:dyDescent="0.25">
      <c r="A204" t="s">
        <v>357</v>
      </c>
      <c r="B204" t="s">
        <v>43</v>
      </c>
      <c r="C204">
        <v>115204048</v>
      </c>
      <c r="D204" t="str">
        <f t="shared" si="4"/>
        <v>Özkan, Furkan-115204048</v>
      </c>
      <c r="E204" s="16">
        <v>13</v>
      </c>
      <c r="F204" s="16">
        <v>12.7</v>
      </c>
      <c r="G204" s="16">
        <v>12.6</v>
      </c>
      <c r="H204" s="16">
        <v>12.2</v>
      </c>
      <c r="I204">
        <v>3</v>
      </c>
      <c r="J204">
        <v>800</v>
      </c>
      <c r="K204">
        <v>110</v>
      </c>
      <c r="L204">
        <v>43</v>
      </c>
      <c r="M204">
        <v>59</v>
      </c>
      <c r="N204">
        <v>15</v>
      </c>
      <c r="O204">
        <v>40</v>
      </c>
      <c r="P204">
        <v>3</v>
      </c>
      <c r="Q204" t="s">
        <v>570</v>
      </c>
      <c r="R204">
        <v>2</v>
      </c>
      <c r="S204">
        <v>300</v>
      </c>
      <c r="T204">
        <v>2</v>
      </c>
      <c r="U204">
        <v>10</v>
      </c>
      <c r="V204">
        <v>600</v>
      </c>
      <c r="W204">
        <v>4</v>
      </c>
      <c r="X204" t="s">
        <v>579</v>
      </c>
      <c r="Y204" s="16">
        <v>180</v>
      </c>
      <c r="Z204">
        <v>95</v>
      </c>
      <c r="AA204" s="16">
        <v>2</v>
      </c>
      <c r="AB204" s="16">
        <v>10</v>
      </c>
    </row>
    <row r="205" spans="1:28" x14ac:dyDescent="0.25">
      <c r="A205" t="s">
        <v>358</v>
      </c>
      <c r="B205" t="s">
        <v>359</v>
      </c>
      <c r="C205">
        <v>114202015</v>
      </c>
      <c r="D205" t="str">
        <f t="shared" si="4"/>
        <v>Özkırış, Oktay-114202015</v>
      </c>
      <c r="E205" s="16">
        <v>11</v>
      </c>
      <c r="F205" s="16">
        <v>10.5</v>
      </c>
      <c r="G205" s="16">
        <v>10.3</v>
      </c>
      <c r="H205" s="16">
        <v>10.200000000000001</v>
      </c>
      <c r="I205">
        <v>3</v>
      </c>
      <c r="J205">
        <v>800</v>
      </c>
      <c r="K205">
        <v>80</v>
      </c>
      <c r="L205">
        <v>45</v>
      </c>
      <c r="M205">
        <v>64</v>
      </c>
      <c r="N205">
        <v>11</v>
      </c>
      <c r="O205">
        <v>20</v>
      </c>
      <c r="P205">
        <v>3</v>
      </c>
      <c r="Q205" t="s">
        <v>570</v>
      </c>
      <c r="R205">
        <v>2</v>
      </c>
      <c r="S205">
        <v>300</v>
      </c>
      <c r="T205">
        <v>2</v>
      </c>
      <c r="U205">
        <v>10</v>
      </c>
      <c r="V205">
        <v>600</v>
      </c>
      <c r="W205">
        <v>4</v>
      </c>
      <c r="X205" t="s">
        <v>579</v>
      </c>
      <c r="Y205" s="16">
        <v>190</v>
      </c>
      <c r="Z205">
        <v>95</v>
      </c>
      <c r="AA205" s="16">
        <v>3</v>
      </c>
      <c r="AB205" s="16">
        <v>15</v>
      </c>
    </row>
    <row r="206" spans="1:28" x14ac:dyDescent="0.25">
      <c r="A206" t="s">
        <v>360</v>
      </c>
      <c r="B206" t="s">
        <v>77</v>
      </c>
      <c r="C206">
        <v>112202021</v>
      </c>
      <c r="D206" t="str">
        <f t="shared" si="4"/>
        <v>Özler, Eren-112202021</v>
      </c>
      <c r="E206" s="16">
        <v>11</v>
      </c>
      <c r="F206" s="16">
        <v>10.6</v>
      </c>
      <c r="G206" s="16">
        <v>10.199999999999999</v>
      </c>
      <c r="H206" s="16">
        <v>9.7999999999999989</v>
      </c>
      <c r="I206">
        <v>3</v>
      </c>
      <c r="J206">
        <v>900</v>
      </c>
      <c r="K206">
        <v>110</v>
      </c>
      <c r="L206">
        <v>42</v>
      </c>
      <c r="M206">
        <v>54</v>
      </c>
      <c r="N206">
        <v>14</v>
      </c>
      <c r="O206">
        <v>40</v>
      </c>
      <c r="P206">
        <v>4</v>
      </c>
      <c r="Q206" t="s">
        <v>569</v>
      </c>
      <c r="R206">
        <v>2</v>
      </c>
      <c r="S206">
        <v>400</v>
      </c>
      <c r="T206">
        <v>2</v>
      </c>
      <c r="U206">
        <v>10</v>
      </c>
      <c r="V206">
        <v>600</v>
      </c>
      <c r="W206">
        <v>4</v>
      </c>
      <c r="X206" t="s">
        <v>579</v>
      </c>
      <c r="Y206" s="16">
        <v>190</v>
      </c>
      <c r="Z206">
        <v>85</v>
      </c>
      <c r="AA206" s="16">
        <v>3</v>
      </c>
      <c r="AB206" s="16">
        <v>15</v>
      </c>
    </row>
    <row r="207" spans="1:28" x14ac:dyDescent="0.25">
      <c r="A207" t="s">
        <v>361</v>
      </c>
      <c r="B207" t="s">
        <v>362</v>
      </c>
      <c r="C207">
        <v>113204023</v>
      </c>
      <c r="D207" t="str">
        <f t="shared" si="4"/>
        <v>Özşahin, Yağmur Burcu-113204023</v>
      </c>
      <c r="E207" s="16">
        <v>11</v>
      </c>
      <c r="F207" s="16">
        <v>10.9</v>
      </c>
      <c r="G207" s="16">
        <v>10.700000000000001</v>
      </c>
      <c r="H207" s="16">
        <v>10.3</v>
      </c>
      <c r="I207">
        <v>2</v>
      </c>
      <c r="J207">
        <v>700</v>
      </c>
      <c r="K207">
        <v>180</v>
      </c>
      <c r="L207">
        <v>48</v>
      </c>
      <c r="M207">
        <v>65</v>
      </c>
      <c r="N207">
        <v>12</v>
      </c>
      <c r="O207">
        <v>40</v>
      </c>
      <c r="P207">
        <v>2</v>
      </c>
      <c r="Q207" t="s">
        <v>568</v>
      </c>
      <c r="R207">
        <v>1</v>
      </c>
      <c r="S207">
        <v>100</v>
      </c>
      <c r="T207">
        <v>3</v>
      </c>
      <c r="U207">
        <v>15</v>
      </c>
      <c r="V207">
        <v>550</v>
      </c>
      <c r="W207">
        <v>4</v>
      </c>
      <c r="X207" t="s">
        <v>579</v>
      </c>
      <c r="Y207" s="16">
        <v>180</v>
      </c>
      <c r="Z207">
        <v>45</v>
      </c>
      <c r="AA207" s="16">
        <v>1</v>
      </c>
      <c r="AB207" s="16">
        <v>8</v>
      </c>
    </row>
    <row r="208" spans="1:28" x14ac:dyDescent="0.25">
      <c r="A208" t="s">
        <v>363</v>
      </c>
      <c r="B208" t="s">
        <v>99</v>
      </c>
      <c r="C208">
        <v>114202024</v>
      </c>
      <c r="D208" t="str">
        <f t="shared" si="4"/>
        <v>Öztürk, Baran-114202024</v>
      </c>
      <c r="E208" s="16">
        <v>12</v>
      </c>
      <c r="F208" s="16">
        <v>11.5</v>
      </c>
      <c r="G208" s="16">
        <v>11.1</v>
      </c>
      <c r="H208" s="16">
        <v>11</v>
      </c>
      <c r="I208">
        <v>3</v>
      </c>
      <c r="J208">
        <v>200</v>
      </c>
      <c r="K208">
        <v>170</v>
      </c>
      <c r="L208">
        <v>44</v>
      </c>
      <c r="M208">
        <v>62</v>
      </c>
      <c r="N208">
        <v>13</v>
      </c>
      <c r="O208">
        <v>30</v>
      </c>
      <c r="P208">
        <v>3</v>
      </c>
      <c r="Q208" t="s">
        <v>570</v>
      </c>
      <c r="R208">
        <v>2</v>
      </c>
      <c r="S208">
        <v>100</v>
      </c>
      <c r="T208">
        <v>3</v>
      </c>
      <c r="U208">
        <v>15</v>
      </c>
      <c r="V208">
        <v>400</v>
      </c>
      <c r="W208">
        <v>6</v>
      </c>
      <c r="X208" t="s">
        <v>577</v>
      </c>
      <c r="Y208" s="16">
        <v>110</v>
      </c>
      <c r="Z208">
        <v>30</v>
      </c>
      <c r="AA208" s="16">
        <v>2</v>
      </c>
      <c r="AB208" s="16">
        <v>10</v>
      </c>
    </row>
    <row r="209" spans="1:28" x14ac:dyDescent="0.25">
      <c r="A209" t="s">
        <v>363</v>
      </c>
      <c r="B209" t="s">
        <v>364</v>
      </c>
      <c r="C209">
        <v>114202025</v>
      </c>
      <c r="D209" t="str">
        <f t="shared" si="4"/>
        <v>Öztürk, Emirhan-114202025</v>
      </c>
      <c r="E209" s="16">
        <v>11</v>
      </c>
      <c r="F209" s="16">
        <v>10.6</v>
      </c>
      <c r="G209" s="16">
        <v>10.4</v>
      </c>
      <c r="H209" s="16">
        <v>10</v>
      </c>
      <c r="I209">
        <v>3</v>
      </c>
      <c r="J209">
        <v>500</v>
      </c>
      <c r="K209">
        <v>120</v>
      </c>
      <c r="L209">
        <v>50</v>
      </c>
      <c r="M209">
        <v>63</v>
      </c>
      <c r="N209">
        <v>15</v>
      </c>
      <c r="O209">
        <v>40</v>
      </c>
      <c r="P209">
        <v>3</v>
      </c>
      <c r="Q209" t="s">
        <v>570</v>
      </c>
      <c r="R209">
        <v>2</v>
      </c>
      <c r="S209">
        <v>400</v>
      </c>
      <c r="T209">
        <v>2</v>
      </c>
      <c r="U209">
        <v>10</v>
      </c>
      <c r="V209">
        <v>440</v>
      </c>
      <c r="W209">
        <v>5</v>
      </c>
      <c r="X209" t="s">
        <v>576</v>
      </c>
      <c r="Y209" s="16">
        <v>140</v>
      </c>
      <c r="Z209">
        <v>44</v>
      </c>
      <c r="AA209" s="16">
        <v>1</v>
      </c>
      <c r="AB209" s="16">
        <v>8</v>
      </c>
    </row>
    <row r="210" spans="1:28" x14ac:dyDescent="0.25">
      <c r="A210" t="s">
        <v>363</v>
      </c>
      <c r="B210" t="s">
        <v>365</v>
      </c>
      <c r="C210">
        <v>114204019</v>
      </c>
      <c r="D210" t="str">
        <f t="shared" si="4"/>
        <v>Öztürk, İlknur Senem-114204019</v>
      </c>
      <c r="E210" s="16">
        <v>14</v>
      </c>
      <c r="F210" s="16">
        <v>13.8</v>
      </c>
      <c r="G210" s="16">
        <v>13.3</v>
      </c>
      <c r="H210" s="16">
        <v>12.9</v>
      </c>
      <c r="I210">
        <v>4</v>
      </c>
      <c r="J210">
        <v>400</v>
      </c>
      <c r="K210">
        <v>130</v>
      </c>
      <c r="L210">
        <v>50</v>
      </c>
      <c r="M210">
        <v>66</v>
      </c>
      <c r="N210">
        <v>12</v>
      </c>
      <c r="O210">
        <v>40</v>
      </c>
      <c r="P210">
        <v>4</v>
      </c>
      <c r="Q210" t="s">
        <v>569</v>
      </c>
      <c r="R210">
        <v>3</v>
      </c>
      <c r="S210">
        <v>300</v>
      </c>
      <c r="T210">
        <v>2</v>
      </c>
      <c r="U210">
        <v>10</v>
      </c>
      <c r="V210">
        <v>450</v>
      </c>
      <c r="W210">
        <v>5</v>
      </c>
      <c r="X210" t="s">
        <v>576</v>
      </c>
      <c r="Y210" s="16">
        <v>130</v>
      </c>
      <c r="Z210">
        <v>75</v>
      </c>
      <c r="AA210" s="16">
        <v>3</v>
      </c>
      <c r="AB210" s="16">
        <v>15</v>
      </c>
    </row>
    <row r="211" spans="1:28" x14ac:dyDescent="0.25">
      <c r="A211" t="s">
        <v>363</v>
      </c>
      <c r="B211" t="s">
        <v>91</v>
      </c>
      <c r="C211">
        <v>114206068</v>
      </c>
      <c r="D211" t="str">
        <f t="shared" si="4"/>
        <v>Öztürk, Mehmet-114206068</v>
      </c>
      <c r="E211" s="16">
        <v>15</v>
      </c>
      <c r="F211" s="16">
        <v>14.9</v>
      </c>
      <c r="G211" s="16">
        <v>14.6</v>
      </c>
      <c r="H211" s="16">
        <v>14.5</v>
      </c>
      <c r="I211">
        <v>3</v>
      </c>
      <c r="J211">
        <v>500</v>
      </c>
      <c r="K211">
        <v>120</v>
      </c>
      <c r="L211">
        <v>42</v>
      </c>
      <c r="M211">
        <v>60</v>
      </c>
      <c r="N211">
        <v>11</v>
      </c>
      <c r="O211">
        <v>40</v>
      </c>
      <c r="P211">
        <v>2</v>
      </c>
      <c r="Q211" t="s">
        <v>568</v>
      </c>
      <c r="R211">
        <v>2</v>
      </c>
      <c r="S211">
        <v>100</v>
      </c>
      <c r="T211">
        <v>3</v>
      </c>
      <c r="U211">
        <v>15</v>
      </c>
      <c r="V211">
        <v>530</v>
      </c>
      <c r="W211">
        <v>5</v>
      </c>
      <c r="X211" t="s">
        <v>576</v>
      </c>
      <c r="Y211" s="16">
        <v>160</v>
      </c>
      <c r="Z211">
        <v>73</v>
      </c>
      <c r="AA211" s="16">
        <v>2</v>
      </c>
      <c r="AB211" s="16">
        <v>10</v>
      </c>
    </row>
    <row r="212" spans="1:28" x14ac:dyDescent="0.25">
      <c r="A212" t="s">
        <v>363</v>
      </c>
      <c r="B212" t="s">
        <v>121</v>
      </c>
      <c r="C212">
        <v>116206225</v>
      </c>
      <c r="D212" t="str">
        <f t="shared" si="4"/>
        <v>Öztürk, Onur-116206225</v>
      </c>
      <c r="E212" s="16">
        <v>14</v>
      </c>
      <c r="F212" s="16">
        <v>13.7</v>
      </c>
      <c r="G212" s="16">
        <v>13.2</v>
      </c>
      <c r="H212" s="16">
        <v>12.799999999999999</v>
      </c>
      <c r="I212">
        <v>4</v>
      </c>
      <c r="J212">
        <v>600</v>
      </c>
      <c r="K212">
        <v>90</v>
      </c>
      <c r="L212">
        <v>44</v>
      </c>
      <c r="M212">
        <v>59</v>
      </c>
      <c r="N212">
        <v>14</v>
      </c>
      <c r="O212">
        <v>40</v>
      </c>
      <c r="P212">
        <v>2</v>
      </c>
      <c r="Q212" t="s">
        <v>568</v>
      </c>
      <c r="R212">
        <v>3</v>
      </c>
      <c r="S212">
        <v>400</v>
      </c>
      <c r="T212">
        <v>1</v>
      </c>
      <c r="U212">
        <v>8</v>
      </c>
      <c r="V212">
        <v>480</v>
      </c>
      <c r="W212">
        <v>3</v>
      </c>
      <c r="X212" t="s">
        <v>578</v>
      </c>
      <c r="Y212" s="16">
        <v>210</v>
      </c>
      <c r="Z212">
        <v>78</v>
      </c>
      <c r="AA212" s="16">
        <v>3</v>
      </c>
      <c r="AB212" s="16">
        <v>15</v>
      </c>
    </row>
    <row r="213" spans="1:28" x14ac:dyDescent="0.25">
      <c r="A213" t="s">
        <v>363</v>
      </c>
      <c r="B213" t="s">
        <v>366</v>
      </c>
      <c r="C213">
        <v>114205060</v>
      </c>
      <c r="D213" t="str">
        <f t="shared" si="4"/>
        <v>Öztürk, Özcan-114205060</v>
      </c>
      <c r="E213" s="16">
        <v>14</v>
      </c>
      <c r="F213" s="16">
        <v>13.6</v>
      </c>
      <c r="G213" s="16">
        <v>13.1</v>
      </c>
      <c r="H213" s="16">
        <v>13</v>
      </c>
      <c r="I213">
        <v>4</v>
      </c>
      <c r="J213">
        <v>100</v>
      </c>
      <c r="K213">
        <v>80</v>
      </c>
      <c r="L213">
        <v>43</v>
      </c>
      <c r="M213">
        <v>53</v>
      </c>
      <c r="N213">
        <v>15</v>
      </c>
      <c r="O213">
        <v>40</v>
      </c>
      <c r="P213">
        <v>4</v>
      </c>
      <c r="Q213" t="s">
        <v>569</v>
      </c>
      <c r="R213">
        <v>3</v>
      </c>
      <c r="S213">
        <v>300</v>
      </c>
      <c r="T213">
        <v>3</v>
      </c>
      <c r="U213">
        <v>15</v>
      </c>
      <c r="V213">
        <v>540</v>
      </c>
      <c r="W213">
        <v>3</v>
      </c>
      <c r="X213" t="s">
        <v>578</v>
      </c>
      <c r="Y213" s="16">
        <v>220</v>
      </c>
      <c r="Z213">
        <v>94</v>
      </c>
      <c r="AA213" s="16">
        <v>1</v>
      </c>
      <c r="AB213" s="16">
        <v>8</v>
      </c>
    </row>
    <row r="214" spans="1:28" x14ac:dyDescent="0.25">
      <c r="A214" t="s">
        <v>367</v>
      </c>
      <c r="B214" t="s">
        <v>368</v>
      </c>
      <c r="C214">
        <v>114205016</v>
      </c>
      <c r="D214" t="str">
        <f t="shared" si="4"/>
        <v>Özübek, Anıl-114205016</v>
      </c>
      <c r="E214" s="16">
        <v>14</v>
      </c>
      <c r="F214" s="16">
        <v>13.9</v>
      </c>
      <c r="G214" s="16">
        <v>13.4</v>
      </c>
      <c r="H214" s="16">
        <v>13.3</v>
      </c>
      <c r="I214">
        <v>4</v>
      </c>
      <c r="J214">
        <v>900</v>
      </c>
      <c r="K214">
        <v>110</v>
      </c>
      <c r="L214">
        <v>44</v>
      </c>
      <c r="M214">
        <v>57</v>
      </c>
      <c r="N214">
        <v>10</v>
      </c>
      <c r="O214">
        <v>40</v>
      </c>
      <c r="P214">
        <v>2</v>
      </c>
      <c r="Q214" t="s">
        <v>568</v>
      </c>
      <c r="R214">
        <v>3</v>
      </c>
      <c r="S214">
        <v>400</v>
      </c>
      <c r="T214">
        <v>2</v>
      </c>
      <c r="U214">
        <v>10</v>
      </c>
      <c r="V214">
        <v>550</v>
      </c>
      <c r="W214">
        <v>5</v>
      </c>
      <c r="X214" t="s">
        <v>576</v>
      </c>
      <c r="Y214" s="16">
        <v>150</v>
      </c>
      <c r="Z214">
        <v>60</v>
      </c>
      <c r="AA214" s="16">
        <v>1</v>
      </c>
      <c r="AB214" s="16">
        <v>8</v>
      </c>
    </row>
    <row r="215" spans="1:28" x14ac:dyDescent="0.25">
      <c r="A215" t="s">
        <v>369</v>
      </c>
      <c r="B215" t="s">
        <v>370</v>
      </c>
      <c r="C215">
        <v>116203065</v>
      </c>
      <c r="D215" t="str">
        <f t="shared" si="4"/>
        <v>Özyurt, Yunus Emre-116203065</v>
      </c>
      <c r="E215" s="16">
        <v>12</v>
      </c>
      <c r="F215" s="16">
        <v>11.8</v>
      </c>
      <c r="G215" s="16">
        <v>11.4</v>
      </c>
      <c r="H215" s="16">
        <v>11.3</v>
      </c>
      <c r="I215">
        <v>2</v>
      </c>
      <c r="J215">
        <v>500</v>
      </c>
      <c r="K215">
        <v>100</v>
      </c>
      <c r="L215">
        <v>48</v>
      </c>
      <c r="M215">
        <v>64</v>
      </c>
      <c r="N215">
        <v>14</v>
      </c>
      <c r="O215">
        <v>40</v>
      </c>
      <c r="P215">
        <v>2</v>
      </c>
      <c r="Q215" t="s">
        <v>568</v>
      </c>
      <c r="R215">
        <v>1</v>
      </c>
      <c r="S215">
        <v>200</v>
      </c>
      <c r="T215">
        <v>1</v>
      </c>
      <c r="U215">
        <v>8</v>
      </c>
      <c r="V215">
        <v>520</v>
      </c>
      <c r="W215">
        <v>5</v>
      </c>
      <c r="X215" t="s">
        <v>576</v>
      </c>
      <c r="Y215" s="16">
        <v>150</v>
      </c>
      <c r="Z215">
        <v>47</v>
      </c>
      <c r="AA215" s="16">
        <v>3</v>
      </c>
      <c r="AB215" s="16">
        <v>15</v>
      </c>
    </row>
    <row r="216" spans="1:28" x14ac:dyDescent="0.25">
      <c r="A216" t="s">
        <v>371</v>
      </c>
      <c r="B216" t="s">
        <v>372</v>
      </c>
      <c r="C216">
        <v>113201010</v>
      </c>
      <c r="D216" t="str">
        <f t="shared" si="4"/>
        <v>Özzade, Ayça Büşra-113201010</v>
      </c>
      <c r="E216" s="16">
        <v>15</v>
      </c>
      <c r="F216" s="16">
        <v>14.9</v>
      </c>
      <c r="G216" s="16">
        <v>14.700000000000001</v>
      </c>
      <c r="H216" s="16">
        <v>14.600000000000001</v>
      </c>
      <c r="I216">
        <v>2</v>
      </c>
      <c r="J216">
        <v>300</v>
      </c>
      <c r="K216">
        <v>130</v>
      </c>
      <c r="L216">
        <v>46</v>
      </c>
      <c r="M216">
        <v>58</v>
      </c>
      <c r="N216">
        <v>11</v>
      </c>
      <c r="O216">
        <v>40</v>
      </c>
      <c r="P216">
        <v>3</v>
      </c>
      <c r="Q216" t="s">
        <v>570</v>
      </c>
      <c r="R216">
        <v>1</v>
      </c>
      <c r="S216">
        <v>400</v>
      </c>
      <c r="T216">
        <v>1</v>
      </c>
      <c r="U216">
        <v>8</v>
      </c>
      <c r="V216">
        <v>580</v>
      </c>
      <c r="W216">
        <v>6</v>
      </c>
      <c r="X216" t="s">
        <v>577</v>
      </c>
      <c r="Y216" s="16">
        <v>150</v>
      </c>
      <c r="Z216">
        <v>93</v>
      </c>
      <c r="AA216" s="16">
        <v>3</v>
      </c>
      <c r="AB216" s="16">
        <v>15</v>
      </c>
    </row>
    <row r="217" spans="1:28" x14ac:dyDescent="0.25">
      <c r="A217" t="s">
        <v>373</v>
      </c>
      <c r="B217" t="s">
        <v>174</v>
      </c>
      <c r="C217">
        <v>115206040</v>
      </c>
      <c r="D217" t="str">
        <f t="shared" si="4"/>
        <v>Palalı, Arda-115206040</v>
      </c>
      <c r="E217" s="16">
        <v>11</v>
      </c>
      <c r="F217" s="16">
        <v>10.5</v>
      </c>
      <c r="G217" s="16">
        <v>10.1</v>
      </c>
      <c r="H217" s="16">
        <v>9.6999999999999993</v>
      </c>
      <c r="I217">
        <v>2</v>
      </c>
      <c r="J217">
        <v>300</v>
      </c>
      <c r="K217">
        <v>150</v>
      </c>
      <c r="L217">
        <v>43</v>
      </c>
      <c r="M217">
        <v>63</v>
      </c>
      <c r="N217">
        <v>12</v>
      </c>
      <c r="O217">
        <v>20</v>
      </c>
      <c r="P217">
        <v>2</v>
      </c>
      <c r="Q217" t="s">
        <v>568</v>
      </c>
      <c r="R217">
        <v>1</v>
      </c>
      <c r="S217">
        <v>400</v>
      </c>
      <c r="T217">
        <v>3</v>
      </c>
      <c r="U217">
        <v>15</v>
      </c>
      <c r="V217">
        <v>440</v>
      </c>
      <c r="W217">
        <v>4</v>
      </c>
      <c r="X217" t="s">
        <v>579</v>
      </c>
      <c r="Y217" s="16">
        <v>160</v>
      </c>
      <c r="Z217">
        <v>84</v>
      </c>
      <c r="AA217" s="16">
        <v>1</v>
      </c>
      <c r="AB217" s="16">
        <v>8</v>
      </c>
    </row>
    <row r="218" spans="1:28" x14ac:dyDescent="0.25">
      <c r="A218" t="s">
        <v>374</v>
      </c>
      <c r="B218" t="s">
        <v>375</v>
      </c>
      <c r="C218">
        <v>115205014</v>
      </c>
      <c r="D218" t="str">
        <f t="shared" si="4"/>
        <v>Palombo, Sami-115205014</v>
      </c>
      <c r="E218" s="16">
        <v>13</v>
      </c>
      <c r="F218" s="16">
        <v>12.8</v>
      </c>
      <c r="G218" s="16">
        <v>12.5</v>
      </c>
      <c r="H218" s="16">
        <v>12.4</v>
      </c>
      <c r="I218">
        <v>4</v>
      </c>
      <c r="J218">
        <v>400</v>
      </c>
      <c r="K218">
        <v>110</v>
      </c>
      <c r="L218">
        <v>54</v>
      </c>
      <c r="M218">
        <v>73</v>
      </c>
      <c r="N218">
        <v>15</v>
      </c>
      <c r="O218">
        <v>30</v>
      </c>
      <c r="P218">
        <v>2</v>
      </c>
      <c r="Q218" t="s">
        <v>568</v>
      </c>
      <c r="R218">
        <v>3</v>
      </c>
      <c r="S218">
        <v>300</v>
      </c>
      <c r="T218">
        <v>3</v>
      </c>
      <c r="U218">
        <v>15</v>
      </c>
      <c r="V218">
        <v>460</v>
      </c>
      <c r="W218">
        <v>4</v>
      </c>
      <c r="X218" t="s">
        <v>579</v>
      </c>
      <c r="Y218" s="16">
        <v>170</v>
      </c>
      <c r="Z218">
        <v>81</v>
      </c>
      <c r="AA218" s="16">
        <v>3</v>
      </c>
      <c r="AB218" s="16">
        <v>15</v>
      </c>
    </row>
    <row r="219" spans="1:28" x14ac:dyDescent="0.25">
      <c r="A219" t="s">
        <v>376</v>
      </c>
      <c r="B219" t="s">
        <v>377</v>
      </c>
      <c r="C219">
        <v>114206041</v>
      </c>
      <c r="D219" t="str">
        <f t="shared" si="4"/>
        <v>Pınar, Eren Can-114206041</v>
      </c>
      <c r="E219" s="16">
        <v>12</v>
      </c>
      <c r="F219" s="16">
        <v>11.5</v>
      </c>
      <c r="G219" s="16">
        <v>11.2</v>
      </c>
      <c r="H219" s="16">
        <v>10.7</v>
      </c>
      <c r="I219">
        <v>2</v>
      </c>
      <c r="J219">
        <v>400</v>
      </c>
      <c r="K219">
        <v>110</v>
      </c>
      <c r="L219">
        <v>44</v>
      </c>
      <c r="M219">
        <v>56</v>
      </c>
      <c r="N219">
        <v>14</v>
      </c>
      <c r="O219">
        <v>30</v>
      </c>
      <c r="P219">
        <v>4</v>
      </c>
      <c r="Q219" t="s">
        <v>569</v>
      </c>
      <c r="R219">
        <v>1</v>
      </c>
      <c r="S219">
        <v>400</v>
      </c>
      <c r="T219">
        <v>1</v>
      </c>
      <c r="U219">
        <v>8</v>
      </c>
      <c r="V219">
        <v>600</v>
      </c>
      <c r="W219">
        <v>3</v>
      </c>
      <c r="X219" t="s">
        <v>578</v>
      </c>
      <c r="Y219" s="16">
        <v>230</v>
      </c>
      <c r="Z219">
        <v>95</v>
      </c>
      <c r="AA219" s="16">
        <v>2</v>
      </c>
      <c r="AB219" s="16">
        <v>10</v>
      </c>
    </row>
    <row r="220" spans="1:28" x14ac:dyDescent="0.25">
      <c r="A220" t="s">
        <v>378</v>
      </c>
      <c r="B220" t="s">
        <v>328</v>
      </c>
      <c r="C220">
        <v>114205054</v>
      </c>
      <c r="D220" t="str">
        <f t="shared" si="4"/>
        <v>Renklioğlu, Ahmet-114205054</v>
      </c>
      <c r="E220" s="16">
        <v>11</v>
      </c>
      <c r="F220" s="16">
        <v>10.9</v>
      </c>
      <c r="G220" s="16">
        <v>10.700000000000001</v>
      </c>
      <c r="H220" s="16">
        <v>10.600000000000001</v>
      </c>
      <c r="I220">
        <v>2</v>
      </c>
      <c r="J220">
        <v>600</v>
      </c>
      <c r="K220">
        <v>80</v>
      </c>
      <c r="L220">
        <v>46</v>
      </c>
      <c r="M220">
        <v>56</v>
      </c>
      <c r="N220">
        <v>12</v>
      </c>
      <c r="O220">
        <v>40</v>
      </c>
      <c r="P220">
        <v>3</v>
      </c>
      <c r="Q220" t="s">
        <v>570</v>
      </c>
      <c r="R220">
        <v>1</v>
      </c>
      <c r="S220">
        <v>400</v>
      </c>
      <c r="T220">
        <v>3</v>
      </c>
      <c r="U220">
        <v>15</v>
      </c>
      <c r="V220">
        <v>580</v>
      </c>
      <c r="W220">
        <v>5</v>
      </c>
      <c r="X220" t="s">
        <v>576</v>
      </c>
      <c r="Y220" s="16">
        <v>170</v>
      </c>
      <c r="Z220">
        <v>68</v>
      </c>
      <c r="AA220" s="16">
        <v>3</v>
      </c>
      <c r="AB220" s="16">
        <v>15</v>
      </c>
    </row>
    <row r="221" spans="1:28" x14ac:dyDescent="0.25">
      <c r="A221" t="s">
        <v>379</v>
      </c>
      <c r="B221" t="s">
        <v>380</v>
      </c>
      <c r="C221">
        <v>114205064</v>
      </c>
      <c r="D221" t="str">
        <f t="shared" si="4"/>
        <v>Rud, Iliya-114205064</v>
      </c>
      <c r="E221" s="16">
        <v>12</v>
      </c>
      <c r="F221" s="16">
        <v>11.7</v>
      </c>
      <c r="G221" s="16">
        <v>11.6</v>
      </c>
      <c r="H221" s="16">
        <v>11.4</v>
      </c>
      <c r="I221">
        <v>4</v>
      </c>
      <c r="J221">
        <v>200</v>
      </c>
      <c r="K221">
        <v>170</v>
      </c>
      <c r="L221">
        <v>49</v>
      </c>
      <c r="M221">
        <v>61</v>
      </c>
      <c r="N221">
        <v>13</v>
      </c>
      <c r="O221">
        <v>20</v>
      </c>
      <c r="P221">
        <v>3</v>
      </c>
      <c r="Q221" t="s">
        <v>570</v>
      </c>
      <c r="R221">
        <v>3</v>
      </c>
      <c r="S221">
        <v>100</v>
      </c>
      <c r="T221">
        <v>2</v>
      </c>
      <c r="U221">
        <v>10</v>
      </c>
      <c r="V221">
        <v>580</v>
      </c>
      <c r="W221">
        <v>5</v>
      </c>
      <c r="X221" t="s">
        <v>576</v>
      </c>
      <c r="Y221" s="16">
        <v>160</v>
      </c>
      <c r="Z221">
        <v>68</v>
      </c>
      <c r="AA221" s="16">
        <v>1</v>
      </c>
      <c r="AB221" s="16">
        <v>8</v>
      </c>
    </row>
    <row r="222" spans="1:28" x14ac:dyDescent="0.25">
      <c r="A222" t="s">
        <v>383</v>
      </c>
      <c r="B222" t="s">
        <v>384</v>
      </c>
      <c r="C222">
        <v>115200100</v>
      </c>
      <c r="D222" t="str">
        <f t="shared" si="4"/>
        <v>Sadrimajd, Salva-115200100</v>
      </c>
      <c r="E222" s="16">
        <v>12</v>
      </c>
      <c r="F222" s="16">
        <v>11.9</v>
      </c>
      <c r="G222" s="16">
        <v>11.6</v>
      </c>
      <c r="H222" s="16">
        <v>11.5</v>
      </c>
      <c r="I222">
        <v>2</v>
      </c>
      <c r="J222">
        <v>900</v>
      </c>
      <c r="K222">
        <v>170</v>
      </c>
      <c r="L222">
        <v>44</v>
      </c>
      <c r="M222">
        <v>63</v>
      </c>
      <c r="N222">
        <v>11</v>
      </c>
      <c r="O222">
        <v>30</v>
      </c>
      <c r="P222">
        <v>3</v>
      </c>
      <c r="Q222" t="s">
        <v>570</v>
      </c>
      <c r="R222">
        <v>1</v>
      </c>
      <c r="S222">
        <v>100</v>
      </c>
      <c r="T222">
        <v>2</v>
      </c>
      <c r="U222">
        <v>10</v>
      </c>
      <c r="V222">
        <v>530</v>
      </c>
      <c r="W222">
        <v>6</v>
      </c>
      <c r="X222" t="s">
        <v>577</v>
      </c>
      <c r="Y222" s="16">
        <v>130</v>
      </c>
      <c r="Z222">
        <v>93</v>
      </c>
      <c r="AA222" s="16">
        <v>2</v>
      </c>
      <c r="AB222" s="16">
        <v>10</v>
      </c>
    </row>
    <row r="223" spans="1:28" x14ac:dyDescent="0.25">
      <c r="A223" t="s">
        <v>388</v>
      </c>
      <c r="B223" t="s">
        <v>389</v>
      </c>
      <c r="C223">
        <v>116203001</v>
      </c>
      <c r="D223" t="str">
        <f t="shared" si="4"/>
        <v>Saleem, Muhammad Farhan-116203001</v>
      </c>
      <c r="E223" s="16">
        <v>13</v>
      </c>
      <c r="F223" s="16">
        <v>12.9</v>
      </c>
      <c r="G223" s="16">
        <v>12.5</v>
      </c>
      <c r="H223" s="16">
        <v>12.2</v>
      </c>
      <c r="I223">
        <v>3</v>
      </c>
      <c r="J223">
        <v>100</v>
      </c>
      <c r="K223">
        <v>140</v>
      </c>
      <c r="L223">
        <v>43</v>
      </c>
      <c r="M223">
        <v>53</v>
      </c>
      <c r="N223">
        <v>11</v>
      </c>
      <c r="O223">
        <v>40</v>
      </c>
      <c r="P223">
        <v>2</v>
      </c>
      <c r="Q223" t="s">
        <v>568</v>
      </c>
      <c r="R223">
        <v>2</v>
      </c>
      <c r="S223">
        <v>300</v>
      </c>
      <c r="T223">
        <v>3</v>
      </c>
      <c r="U223">
        <v>15</v>
      </c>
      <c r="V223">
        <v>420</v>
      </c>
      <c r="W223">
        <v>6</v>
      </c>
      <c r="X223" t="s">
        <v>577</v>
      </c>
      <c r="Y223" s="16">
        <v>110</v>
      </c>
      <c r="Z223">
        <v>72</v>
      </c>
      <c r="AA223" s="16">
        <v>3</v>
      </c>
      <c r="AB223" s="16">
        <v>15</v>
      </c>
    </row>
    <row r="224" spans="1:28" x14ac:dyDescent="0.25">
      <c r="A224" t="s">
        <v>390</v>
      </c>
      <c r="B224" t="s">
        <v>391</v>
      </c>
      <c r="C224">
        <v>115206032</v>
      </c>
      <c r="D224" t="str">
        <f t="shared" si="4"/>
        <v>Samancı, Selahattin Alp-115206032</v>
      </c>
      <c r="E224" s="16">
        <v>13</v>
      </c>
      <c r="F224" s="16">
        <v>12.7</v>
      </c>
      <c r="G224" s="16">
        <v>12.299999999999999</v>
      </c>
      <c r="H224" s="16">
        <v>12.1</v>
      </c>
      <c r="I224">
        <v>4</v>
      </c>
      <c r="J224">
        <v>800</v>
      </c>
      <c r="K224">
        <v>90</v>
      </c>
      <c r="L224">
        <v>54</v>
      </c>
      <c r="M224">
        <v>73</v>
      </c>
      <c r="N224">
        <v>14</v>
      </c>
      <c r="O224">
        <v>20</v>
      </c>
      <c r="P224">
        <v>4</v>
      </c>
      <c r="Q224" t="s">
        <v>569</v>
      </c>
      <c r="R224">
        <v>3</v>
      </c>
      <c r="S224">
        <v>100</v>
      </c>
      <c r="T224">
        <v>1</v>
      </c>
      <c r="U224">
        <v>8</v>
      </c>
      <c r="V224">
        <v>410</v>
      </c>
      <c r="W224">
        <v>4</v>
      </c>
      <c r="X224" t="s">
        <v>579</v>
      </c>
      <c r="Y224" s="16">
        <v>140</v>
      </c>
      <c r="Z224">
        <v>51</v>
      </c>
      <c r="AA224" s="16">
        <v>3</v>
      </c>
      <c r="AB224" s="16">
        <v>15</v>
      </c>
    </row>
    <row r="225" spans="1:28" x14ac:dyDescent="0.25">
      <c r="A225" t="s">
        <v>392</v>
      </c>
      <c r="B225" t="s">
        <v>393</v>
      </c>
      <c r="C225">
        <v>111201034</v>
      </c>
      <c r="D225" t="str">
        <f t="shared" si="4"/>
        <v>Sandıkçı, Oğulcan-111201034</v>
      </c>
      <c r="E225" s="16">
        <v>15</v>
      </c>
      <c r="F225" s="16">
        <v>14.6</v>
      </c>
      <c r="G225" s="16">
        <v>14.299999999999999</v>
      </c>
      <c r="H225" s="16">
        <v>14.2</v>
      </c>
      <c r="I225">
        <v>4</v>
      </c>
      <c r="J225">
        <v>600</v>
      </c>
      <c r="K225">
        <v>160</v>
      </c>
      <c r="L225">
        <v>46</v>
      </c>
      <c r="M225">
        <v>58</v>
      </c>
      <c r="N225">
        <v>13</v>
      </c>
      <c r="O225">
        <v>40</v>
      </c>
      <c r="P225">
        <v>4</v>
      </c>
      <c r="Q225" t="s">
        <v>569</v>
      </c>
      <c r="R225">
        <v>3</v>
      </c>
      <c r="S225">
        <v>100</v>
      </c>
      <c r="T225">
        <v>3</v>
      </c>
      <c r="U225">
        <v>15</v>
      </c>
      <c r="V225">
        <v>490</v>
      </c>
      <c r="W225">
        <v>4</v>
      </c>
      <c r="X225" t="s">
        <v>579</v>
      </c>
      <c r="Y225" s="16">
        <v>160</v>
      </c>
      <c r="Z225">
        <v>54</v>
      </c>
      <c r="AA225" s="16">
        <v>3</v>
      </c>
      <c r="AB225" s="16">
        <v>15</v>
      </c>
    </row>
    <row r="226" spans="1:28" x14ac:dyDescent="0.25">
      <c r="A226" t="s">
        <v>394</v>
      </c>
      <c r="B226" t="s">
        <v>395</v>
      </c>
      <c r="C226">
        <v>11275008</v>
      </c>
      <c r="D226" t="str">
        <f t="shared" si="4"/>
        <v>Sanisoğlu, Ceren-11275008</v>
      </c>
      <c r="E226" s="16">
        <v>11</v>
      </c>
      <c r="F226" s="16">
        <v>10.6</v>
      </c>
      <c r="G226" s="16">
        <v>10.199999999999999</v>
      </c>
      <c r="H226" s="16">
        <v>9.7999999999999989</v>
      </c>
      <c r="I226">
        <v>4</v>
      </c>
      <c r="J226">
        <v>600</v>
      </c>
      <c r="K226">
        <v>130</v>
      </c>
      <c r="L226">
        <v>50</v>
      </c>
      <c r="M226">
        <v>63</v>
      </c>
      <c r="N226">
        <v>11</v>
      </c>
      <c r="O226">
        <v>30</v>
      </c>
      <c r="P226">
        <v>2</v>
      </c>
      <c r="Q226" t="s">
        <v>568</v>
      </c>
      <c r="R226">
        <v>3</v>
      </c>
      <c r="S226">
        <v>300</v>
      </c>
      <c r="T226">
        <v>2</v>
      </c>
      <c r="U226">
        <v>10</v>
      </c>
      <c r="V226">
        <v>510</v>
      </c>
      <c r="W226">
        <v>4</v>
      </c>
      <c r="X226" t="s">
        <v>579</v>
      </c>
      <c r="Y226" s="16">
        <v>170</v>
      </c>
      <c r="Z226">
        <v>46</v>
      </c>
      <c r="AA226" s="16">
        <v>1</v>
      </c>
      <c r="AB226" s="16">
        <v>8</v>
      </c>
    </row>
    <row r="227" spans="1:28" x14ac:dyDescent="0.25">
      <c r="A227" t="s">
        <v>398</v>
      </c>
      <c r="B227" t="s">
        <v>43</v>
      </c>
      <c r="C227">
        <v>115202021</v>
      </c>
      <c r="D227" t="str">
        <f t="shared" si="4"/>
        <v>Satış, Furkan-115202021</v>
      </c>
      <c r="E227" s="16">
        <v>12</v>
      </c>
      <c r="F227" s="16">
        <v>11.9</v>
      </c>
      <c r="G227" s="16">
        <v>11.8</v>
      </c>
      <c r="H227" s="16">
        <v>11.3</v>
      </c>
      <c r="I227">
        <v>2</v>
      </c>
      <c r="J227">
        <v>100</v>
      </c>
      <c r="K227">
        <v>180</v>
      </c>
      <c r="L227">
        <v>47</v>
      </c>
      <c r="M227">
        <v>59</v>
      </c>
      <c r="N227">
        <v>15</v>
      </c>
      <c r="O227">
        <v>30</v>
      </c>
      <c r="P227">
        <v>4</v>
      </c>
      <c r="Q227" t="s">
        <v>569</v>
      </c>
      <c r="R227">
        <v>1</v>
      </c>
      <c r="S227">
        <v>300</v>
      </c>
      <c r="T227">
        <v>3</v>
      </c>
      <c r="U227">
        <v>15</v>
      </c>
      <c r="V227">
        <v>410</v>
      </c>
      <c r="W227">
        <v>5</v>
      </c>
      <c r="X227" t="s">
        <v>576</v>
      </c>
      <c r="Y227" s="16">
        <v>130</v>
      </c>
      <c r="Z227">
        <v>56</v>
      </c>
      <c r="AA227" s="16">
        <v>3</v>
      </c>
      <c r="AB227" s="16">
        <v>15</v>
      </c>
    </row>
    <row r="228" spans="1:28" x14ac:dyDescent="0.25">
      <c r="A228" t="s">
        <v>399</v>
      </c>
      <c r="B228" t="s">
        <v>400</v>
      </c>
      <c r="C228">
        <v>113203007</v>
      </c>
      <c r="D228" t="str">
        <f t="shared" si="4"/>
        <v>Sayek, Alexander-113203007</v>
      </c>
      <c r="E228" s="16">
        <v>13</v>
      </c>
      <c r="F228" s="16">
        <v>12.6</v>
      </c>
      <c r="G228" s="16">
        <v>12.299999999999999</v>
      </c>
      <c r="H228" s="16">
        <v>11.899999999999999</v>
      </c>
      <c r="I228">
        <v>2</v>
      </c>
      <c r="J228">
        <v>200</v>
      </c>
      <c r="K228">
        <v>110</v>
      </c>
      <c r="L228">
        <v>43</v>
      </c>
      <c r="M228">
        <v>56</v>
      </c>
      <c r="N228">
        <v>10</v>
      </c>
      <c r="O228">
        <v>40</v>
      </c>
      <c r="P228">
        <v>2</v>
      </c>
      <c r="Q228" t="s">
        <v>568</v>
      </c>
      <c r="R228">
        <v>1</v>
      </c>
      <c r="S228">
        <v>400</v>
      </c>
      <c r="T228">
        <v>1</v>
      </c>
      <c r="U228">
        <v>8</v>
      </c>
      <c r="V228">
        <v>520</v>
      </c>
      <c r="W228">
        <v>5</v>
      </c>
      <c r="X228" t="s">
        <v>576</v>
      </c>
      <c r="Y228" s="16">
        <v>150</v>
      </c>
      <c r="Z228">
        <v>42</v>
      </c>
      <c r="AA228" s="16">
        <v>2</v>
      </c>
      <c r="AB228" s="16">
        <v>10</v>
      </c>
    </row>
    <row r="229" spans="1:28" x14ac:dyDescent="0.25">
      <c r="A229" t="s">
        <v>401</v>
      </c>
      <c r="B229" t="s">
        <v>402</v>
      </c>
      <c r="C229">
        <v>114204046</v>
      </c>
      <c r="D229" t="str">
        <f t="shared" si="4"/>
        <v>Selçuk, Ahmet Mert-114204046</v>
      </c>
      <c r="E229" s="16">
        <v>14</v>
      </c>
      <c r="F229" s="16">
        <v>13.8</v>
      </c>
      <c r="G229" s="16">
        <v>13.700000000000001</v>
      </c>
      <c r="H229" s="16">
        <v>13.200000000000001</v>
      </c>
      <c r="I229">
        <v>4</v>
      </c>
      <c r="J229">
        <v>600</v>
      </c>
      <c r="K229">
        <v>170</v>
      </c>
      <c r="L229">
        <v>41</v>
      </c>
      <c r="M229">
        <v>56</v>
      </c>
      <c r="N229">
        <v>12</v>
      </c>
      <c r="O229">
        <v>40</v>
      </c>
      <c r="P229">
        <v>3</v>
      </c>
      <c r="Q229" t="s">
        <v>570</v>
      </c>
      <c r="R229">
        <v>3</v>
      </c>
      <c r="S229">
        <v>100</v>
      </c>
      <c r="T229">
        <v>1</v>
      </c>
      <c r="U229">
        <v>8</v>
      </c>
      <c r="V229">
        <v>450</v>
      </c>
      <c r="W229">
        <v>4</v>
      </c>
      <c r="X229" t="s">
        <v>579</v>
      </c>
      <c r="Y229" s="16">
        <v>160</v>
      </c>
      <c r="Z229">
        <v>55</v>
      </c>
      <c r="AA229" s="16">
        <v>2</v>
      </c>
      <c r="AB229" s="16">
        <v>10</v>
      </c>
    </row>
    <row r="230" spans="1:28" x14ac:dyDescent="0.25">
      <c r="A230" t="s">
        <v>401</v>
      </c>
      <c r="B230" t="s">
        <v>403</v>
      </c>
      <c r="C230">
        <v>113205041</v>
      </c>
      <c r="D230" t="str">
        <f t="shared" si="4"/>
        <v>Selçuk, Yağız-113205041</v>
      </c>
      <c r="E230" s="16">
        <v>11</v>
      </c>
      <c r="F230" s="16">
        <v>10.8</v>
      </c>
      <c r="G230" s="16">
        <v>10.700000000000001</v>
      </c>
      <c r="H230" s="16">
        <v>10.500000000000002</v>
      </c>
      <c r="I230">
        <v>3</v>
      </c>
      <c r="J230">
        <v>600</v>
      </c>
      <c r="K230">
        <v>180</v>
      </c>
      <c r="L230">
        <v>41</v>
      </c>
      <c r="M230">
        <v>60</v>
      </c>
      <c r="N230">
        <v>12</v>
      </c>
      <c r="O230">
        <v>20</v>
      </c>
      <c r="P230">
        <v>3</v>
      </c>
      <c r="Q230" t="s">
        <v>570</v>
      </c>
      <c r="R230">
        <v>2</v>
      </c>
      <c r="S230">
        <v>300</v>
      </c>
      <c r="T230">
        <v>1</v>
      </c>
      <c r="U230">
        <v>8</v>
      </c>
      <c r="V230">
        <v>540</v>
      </c>
      <c r="W230">
        <v>6</v>
      </c>
      <c r="X230" t="s">
        <v>577</v>
      </c>
      <c r="Y230" s="16">
        <v>130</v>
      </c>
      <c r="Z230">
        <v>69</v>
      </c>
      <c r="AA230" s="16">
        <v>1</v>
      </c>
      <c r="AB230" s="16">
        <v>8</v>
      </c>
    </row>
    <row r="231" spans="1:28" x14ac:dyDescent="0.25">
      <c r="A231" t="s">
        <v>408</v>
      </c>
      <c r="B231" t="s">
        <v>409</v>
      </c>
      <c r="C231">
        <v>116201154</v>
      </c>
      <c r="D231" t="str">
        <f t="shared" si="4"/>
        <v>Serdaroğlu, Hüdanur-116201154</v>
      </c>
      <c r="E231" s="16">
        <v>11</v>
      </c>
      <c r="F231" s="16">
        <v>10.5</v>
      </c>
      <c r="G231" s="16">
        <v>10.4</v>
      </c>
      <c r="H231" s="16">
        <v>10.1</v>
      </c>
      <c r="I231">
        <v>2</v>
      </c>
      <c r="J231">
        <v>200</v>
      </c>
      <c r="K231">
        <v>180</v>
      </c>
      <c r="L231">
        <v>53</v>
      </c>
      <c r="M231">
        <v>63</v>
      </c>
      <c r="N231">
        <v>11</v>
      </c>
      <c r="O231">
        <v>40</v>
      </c>
      <c r="P231">
        <v>3</v>
      </c>
      <c r="Q231" t="s">
        <v>570</v>
      </c>
      <c r="R231">
        <v>1</v>
      </c>
      <c r="S231">
        <v>100</v>
      </c>
      <c r="T231">
        <v>3</v>
      </c>
      <c r="U231">
        <v>15</v>
      </c>
      <c r="V231">
        <v>450</v>
      </c>
      <c r="W231">
        <v>3</v>
      </c>
      <c r="X231" t="s">
        <v>578</v>
      </c>
      <c r="Y231" s="16">
        <v>180</v>
      </c>
      <c r="Z231">
        <v>40</v>
      </c>
      <c r="AA231" s="16">
        <v>2</v>
      </c>
      <c r="AB231" s="16">
        <v>10</v>
      </c>
    </row>
    <row r="232" spans="1:28" x14ac:dyDescent="0.25">
      <c r="A232" t="s">
        <v>410</v>
      </c>
      <c r="B232" t="s">
        <v>411</v>
      </c>
      <c r="C232">
        <v>115204014</v>
      </c>
      <c r="D232" t="str">
        <f t="shared" si="4"/>
        <v>Serin, Ali Emre-115204014</v>
      </c>
      <c r="E232" s="16">
        <v>12</v>
      </c>
      <c r="F232" s="16">
        <v>11.8</v>
      </c>
      <c r="G232" s="16">
        <v>11.5</v>
      </c>
      <c r="H232" s="16">
        <v>11.2</v>
      </c>
      <c r="I232">
        <v>4</v>
      </c>
      <c r="J232">
        <v>400</v>
      </c>
      <c r="K232">
        <v>180</v>
      </c>
      <c r="L232">
        <v>44</v>
      </c>
      <c r="M232">
        <v>55</v>
      </c>
      <c r="N232">
        <v>10</v>
      </c>
      <c r="O232">
        <v>30</v>
      </c>
      <c r="P232">
        <v>3</v>
      </c>
      <c r="Q232" t="s">
        <v>570</v>
      </c>
      <c r="R232">
        <v>3</v>
      </c>
      <c r="S232">
        <v>300</v>
      </c>
      <c r="T232">
        <v>1</v>
      </c>
      <c r="U232">
        <v>8</v>
      </c>
      <c r="V232">
        <v>600</v>
      </c>
      <c r="W232">
        <v>6</v>
      </c>
      <c r="X232" t="s">
        <v>577</v>
      </c>
      <c r="Y232" s="16">
        <v>130</v>
      </c>
      <c r="Z232">
        <v>90</v>
      </c>
      <c r="AA232" s="16">
        <v>1</v>
      </c>
      <c r="AB232" s="16">
        <v>8</v>
      </c>
    </row>
    <row r="233" spans="1:28" x14ac:dyDescent="0.25">
      <c r="A233" t="s">
        <v>412</v>
      </c>
      <c r="B233" t="s">
        <v>413</v>
      </c>
      <c r="C233">
        <v>116204054</v>
      </c>
      <c r="D233" t="str">
        <f t="shared" si="4"/>
        <v>Sev, Onat Çağıl-116204054</v>
      </c>
      <c r="E233" s="16">
        <v>13</v>
      </c>
      <c r="F233" s="16">
        <v>12.6</v>
      </c>
      <c r="G233" s="16">
        <v>12.5</v>
      </c>
      <c r="H233" s="16">
        <v>12.1</v>
      </c>
      <c r="I233">
        <v>2</v>
      </c>
      <c r="J233">
        <v>500</v>
      </c>
      <c r="K233">
        <v>120</v>
      </c>
      <c r="L233">
        <v>50</v>
      </c>
      <c r="M233">
        <v>69</v>
      </c>
      <c r="N233">
        <v>11</v>
      </c>
      <c r="O233">
        <v>40</v>
      </c>
      <c r="P233">
        <v>2</v>
      </c>
      <c r="Q233" t="s">
        <v>568</v>
      </c>
      <c r="R233">
        <v>1</v>
      </c>
      <c r="S233">
        <v>200</v>
      </c>
      <c r="T233">
        <v>1</v>
      </c>
      <c r="U233">
        <v>8</v>
      </c>
      <c r="V233">
        <v>400</v>
      </c>
      <c r="W233">
        <v>4</v>
      </c>
      <c r="X233" t="s">
        <v>579</v>
      </c>
      <c r="Y233" s="16">
        <v>140</v>
      </c>
      <c r="Z233">
        <v>80</v>
      </c>
      <c r="AA233" s="16">
        <v>2</v>
      </c>
      <c r="AB233" s="16">
        <v>10</v>
      </c>
    </row>
    <row r="234" spans="1:28" x14ac:dyDescent="0.25">
      <c r="A234" t="s">
        <v>414</v>
      </c>
      <c r="B234" t="s">
        <v>415</v>
      </c>
      <c r="C234">
        <v>113202064</v>
      </c>
      <c r="D234" t="str">
        <f t="shared" si="4"/>
        <v>Sevim, Mehmet Emin-113202064</v>
      </c>
      <c r="E234" s="16">
        <v>13</v>
      </c>
      <c r="F234" s="16">
        <v>12.6</v>
      </c>
      <c r="G234" s="16">
        <v>12.1</v>
      </c>
      <c r="H234" s="16">
        <v>12</v>
      </c>
      <c r="I234">
        <v>2</v>
      </c>
      <c r="J234">
        <v>800</v>
      </c>
      <c r="K234">
        <v>120</v>
      </c>
      <c r="L234">
        <v>41</v>
      </c>
      <c r="M234">
        <v>61</v>
      </c>
      <c r="N234">
        <v>12</v>
      </c>
      <c r="O234">
        <v>40</v>
      </c>
      <c r="P234">
        <v>2</v>
      </c>
      <c r="Q234" t="s">
        <v>568</v>
      </c>
      <c r="R234">
        <v>1</v>
      </c>
      <c r="S234">
        <v>400</v>
      </c>
      <c r="T234">
        <v>1</v>
      </c>
      <c r="U234">
        <v>8</v>
      </c>
      <c r="V234">
        <v>560</v>
      </c>
      <c r="W234">
        <v>4</v>
      </c>
      <c r="X234" t="s">
        <v>579</v>
      </c>
      <c r="Y234" s="16">
        <v>170</v>
      </c>
      <c r="Z234">
        <v>81</v>
      </c>
      <c r="AA234" s="16">
        <v>1</v>
      </c>
      <c r="AB234" s="16">
        <v>8</v>
      </c>
    </row>
    <row r="235" spans="1:28" x14ac:dyDescent="0.25">
      <c r="A235" t="s">
        <v>416</v>
      </c>
      <c r="B235" t="s">
        <v>417</v>
      </c>
      <c r="C235">
        <v>116201155</v>
      </c>
      <c r="D235" t="str">
        <f t="shared" si="4"/>
        <v>Sevimli, Gülşah-116201155</v>
      </c>
      <c r="E235" s="16">
        <v>12</v>
      </c>
      <c r="F235" s="16">
        <v>11.9</v>
      </c>
      <c r="G235" s="16">
        <v>11.8</v>
      </c>
      <c r="H235" s="16">
        <v>11.700000000000001</v>
      </c>
      <c r="I235">
        <v>2</v>
      </c>
      <c r="J235">
        <v>300</v>
      </c>
      <c r="K235">
        <v>90</v>
      </c>
      <c r="L235">
        <v>50</v>
      </c>
      <c r="M235">
        <v>61</v>
      </c>
      <c r="N235">
        <v>14</v>
      </c>
      <c r="O235">
        <v>40</v>
      </c>
      <c r="P235">
        <v>3</v>
      </c>
      <c r="Q235" t="s">
        <v>570</v>
      </c>
      <c r="R235">
        <v>1</v>
      </c>
      <c r="S235">
        <v>300</v>
      </c>
      <c r="T235">
        <v>3</v>
      </c>
      <c r="U235">
        <v>15</v>
      </c>
      <c r="V235">
        <v>500</v>
      </c>
      <c r="W235">
        <v>6</v>
      </c>
      <c r="X235" t="s">
        <v>577</v>
      </c>
      <c r="Y235" s="16">
        <v>110</v>
      </c>
      <c r="Z235">
        <v>65</v>
      </c>
      <c r="AA235" s="16">
        <v>2</v>
      </c>
      <c r="AB235" s="16">
        <v>10</v>
      </c>
    </row>
    <row r="236" spans="1:28" x14ac:dyDescent="0.25">
      <c r="A236" t="s">
        <v>418</v>
      </c>
      <c r="B236" t="s">
        <v>419</v>
      </c>
      <c r="C236">
        <v>116206226</v>
      </c>
      <c r="D236" t="str">
        <f t="shared" si="4"/>
        <v>Sevinçhan, İbrahim Yuşah-116206226</v>
      </c>
      <c r="E236" s="16">
        <v>15</v>
      </c>
      <c r="F236" s="16">
        <v>14.7</v>
      </c>
      <c r="G236" s="16">
        <v>14.6</v>
      </c>
      <c r="H236" s="16">
        <v>14.299999999999999</v>
      </c>
      <c r="I236">
        <v>4</v>
      </c>
      <c r="J236">
        <v>200</v>
      </c>
      <c r="K236">
        <v>130</v>
      </c>
      <c r="L236">
        <v>43</v>
      </c>
      <c r="M236">
        <v>62</v>
      </c>
      <c r="N236">
        <v>14</v>
      </c>
      <c r="O236">
        <v>30</v>
      </c>
      <c r="P236">
        <v>4</v>
      </c>
      <c r="Q236" t="s">
        <v>569</v>
      </c>
      <c r="R236">
        <v>3</v>
      </c>
      <c r="S236">
        <v>300</v>
      </c>
      <c r="T236">
        <v>3</v>
      </c>
      <c r="U236">
        <v>15</v>
      </c>
      <c r="V236">
        <v>490</v>
      </c>
      <c r="W236">
        <v>3</v>
      </c>
      <c r="X236" t="s">
        <v>578</v>
      </c>
      <c r="Y236" s="16">
        <v>210</v>
      </c>
      <c r="Z236">
        <v>54</v>
      </c>
      <c r="AA236" s="16">
        <v>2</v>
      </c>
      <c r="AB236" s="16">
        <v>10</v>
      </c>
    </row>
    <row r="237" spans="1:28" x14ac:dyDescent="0.25">
      <c r="A237" t="s">
        <v>420</v>
      </c>
      <c r="B237" t="s">
        <v>421</v>
      </c>
      <c r="C237">
        <v>117203094</v>
      </c>
      <c r="D237" t="str">
        <f t="shared" si="4"/>
        <v>Sezer, Erkmen-117203094</v>
      </c>
      <c r="E237" s="16">
        <v>11</v>
      </c>
      <c r="F237" s="16">
        <v>10.6</v>
      </c>
      <c r="G237" s="16">
        <v>10.1</v>
      </c>
      <c r="H237" s="16">
        <v>10</v>
      </c>
      <c r="I237">
        <v>2</v>
      </c>
      <c r="J237">
        <v>700</v>
      </c>
      <c r="K237">
        <v>110</v>
      </c>
      <c r="L237">
        <v>45</v>
      </c>
      <c r="M237">
        <v>60</v>
      </c>
      <c r="N237">
        <v>12</v>
      </c>
      <c r="O237">
        <v>20</v>
      </c>
      <c r="P237">
        <v>4</v>
      </c>
      <c r="Q237" t="s">
        <v>569</v>
      </c>
      <c r="R237">
        <v>1</v>
      </c>
      <c r="S237">
        <v>400</v>
      </c>
      <c r="T237">
        <v>1</v>
      </c>
      <c r="U237">
        <v>8</v>
      </c>
      <c r="V237">
        <v>520</v>
      </c>
      <c r="W237">
        <v>6</v>
      </c>
      <c r="X237" t="s">
        <v>577</v>
      </c>
      <c r="Y237" s="16">
        <v>140</v>
      </c>
      <c r="Z237">
        <v>82</v>
      </c>
      <c r="AA237" s="16">
        <v>3</v>
      </c>
      <c r="AB237" s="16">
        <v>15</v>
      </c>
    </row>
    <row r="238" spans="1:28" x14ac:dyDescent="0.25">
      <c r="A238" t="s">
        <v>420</v>
      </c>
      <c r="B238" t="s">
        <v>37</v>
      </c>
      <c r="C238">
        <v>115203064</v>
      </c>
      <c r="D238" t="str">
        <f t="shared" si="4"/>
        <v>Sezer, Zeynep-115203064</v>
      </c>
      <c r="E238" s="16">
        <v>12</v>
      </c>
      <c r="F238" s="16">
        <v>11.8</v>
      </c>
      <c r="G238" s="16">
        <v>11.5</v>
      </c>
      <c r="H238" s="16">
        <v>11.1</v>
      </c>
      <c r="I238">
        <v>4</v>
      </c>
      <c r="J238">
        <v>500</v>
      </c>
      <c r="K238">
        <v>180</v>
      </c>
      <c r="L238">
        <v>51</v>
      </c>
      <c r="M238">
        <v>70</v>
      </c>
      <c r="N238">
        <v>14</v>
      </c>
      <c r="O238">
        <v>30</v>
      </c>
      <c r="P238">
        <v>2</v>
      </c>
      <c r="Q238" t="s">
        <v>568</v>
      </c>
      <c r="R238">
        <v>3</v>
      </c>
      <c r="S238">
        <v>300</v>
      </c>
      <c r="T238">
        <v>3</v>
      </c>
      <c r="U238">
        <v>15</v>
      </c>
      <c r="V238">
        <v>530</v>
      </c>
      <c r="W238">
        <v>4</v>
      </c>
      <c r="X238" t="s">
        <v>579</v>
      </c>
      <c r="Y238" s="16">
        <v>180</v>
      </c>
      <c r="Z238">
        <v>78</v>
      </c>
      <c r="AA238" s="16">
        <v>3</v>
      </c>
      <c r="AB238" s="16">
        <v>15</v>
      </c>
    </row>
    <row r="239" spans="1:28" x14ac:dyDescent="0.25">
      <c r="A239" t="s">
        <v>592</v>
      </c>
      <c r="B239" t="s">
        <v>593</v>
      </c>
      <c r="C239">
        <v>116203203</v>
      </c>
      <c r="D239" t="str">
        <f t="shared" si="4"/>
        <v>Sow, Modıbo-116203203</v>
      </c>
      <c r="E239" s="16">
        <v>13</v>
      </c>
      <c r="F239" s="16">
        <v>12.9</v>
      </c>
      <c r="G239" s="16">
        <v>12.5</v>
      </c>
      <c r="H239" s="16">
        <v>12</v>
      </c>
      <c r="I239" s="16">
        <v>2</v>
      </c>
      <c r="J239" s="16">
        <v>800</v>
      </c>
      <c r="K239" s="16">
        <v>170</v>
      </c>
      <c r="L239" s="16">
        <v>54</v>
      </c>
      <c r="M239" s="16">
        <v>74</v>
      </c>
      <c r="N239" s="16">
        <v>13</v>
      </c>
      <c r="O239" s="16">
        <v>40</v>
      </c>
      <c r="P239" s="16">
        <v>4</v>
      </c>
      <c r="Q239" s="16" t="s">
        <v>569</v>
      </c>
      <c r="R239" s="16">
        <v>1</v>
      </c>
      <c r="S239" s="16">
        <v>100</v>
      </c>
      <c r="T239" s="16">
        <v>3</v>
      </c>
      <c r="U239" s="16">
        <v>15</v>
      </c>
      <c r="V239" s="16">
        <v>450</v>
      </c>
      <c r="W239" s="16">
        <v>5</v>
      </c>
      <c r="X239" s="16" t="s">
        <v>576</v>
      </c>
      <c r="Y239" s="16">
        <v>110</v>
      </c>
      <c r="Z239" s="16">
        <v>40</v>
      </c>
      <c r="AA239" s="16">
        <v>3</v>
      </c>
      <c r="AB239" s="16">
        <v>15</v>
      </c>
    </row>
    <row r="240" spans="1:28" x14ac:dyDescent="0.25">
      <c r="A240" t="s">
        <v>430</v>
      </c>
      <c r="B240" t="s">
        <v>431</v>
      </c>
      <c r="C240">
        <v>116203188</v>
      </c>
      <c r="D240" t="str">
        <f t="shared" si="4"/>
        <v>Su, Ertuğrul-116203188</v>
      </c>
      <c r="E240" s="16">
        <v>13</v>
      </c>
      <c r="F240" s="16">
        <v>12.9</v>
      </c>
      <c r="G240" s="16">
        <v>12.5</v>
      </c>
      <c r="H240" s="16">
        <v>12</v>
      </c>
      <c r="I240">
        <v>4</v>
      </c>
      <c r="J240">
        <v>500</v>
      </c>
      <c r="K240">
        <v>130</v>
      </c>
      <c r="L240">
        <v>54</v>
      </c>
      <c r="M240">
        <v>71</v>
      </c>
      <c r="N240">
        <v>15</v>
      </c>
      <c r="O240">
        <v>30</v>
      </c>
      <c r="P240">
        <v>3</v>
      </c>
      <c r="Q240" t="s">
        <v>570</v>
      </c>
      <c r="R240">
        <v>3</v>
      </c>
      <c r="S240">
        <v>100</v>
      </c>
      <c r="T240">
        <v>3</v>
      </c>
      <c r="U240">
        <v>15</v>
      </c>
      <c r="V240">
        <v>400</v>
      </c>
      <c r="W240">
        <v>3</v>
      </c>
      <c r="X240" t="s">
        <v>578</v>
      </c>
      <c r="Y240" s="16">
        <v>170</v>
      </c>
      <c r="Z240">
        <v>30</v>
      </c>
      <c r="AA240" s="16">
        <v>3</v>
      </c>
      <c r="AB240" s="16">
        <v>15</v>
      </c>
    </row>
    <row r="241" spans="1:28" x14ac:dyDescent="0.25">
      <c r="A241" t="s">
        <v>432</v>
      </c>
      <c r="B241" t="s">
        <v>433</v>
      </c>
      <c r="C241">
        <v>114205055</v>
      </c>
      <c r="D241" t="str">
        <f t="shared" si="4"/>
        <v>Sunay, Volkan-114205055</v>
      </c>
      <c r="E241" s="16">
        <v>11</v>
      </c>
      <c r="F241" s="16">
        <v>10.5</v>
      </c>
      <c r="G241" s="16">
        <v>10</v>
      </c>
      <c r="H241" s="16">
        <v>9.9</v>
      </c>
      <c r="I241">
        <v>2</v>
      </c>
      <c r="J241">
        <v>400</v>
      </c>
      <c r="K241">
        <v>120</v>
      </c>
      <c r="L241">
        <v>51</v>
      </c>
      <c r="M241">
        <v>67</v>
      </c>
      <c r="N241">
        <v>15</v>
      </c>
      <c r="O241">
        <v>40</v>
      </c>
      <c r="P241">
        <v>2</v>
      </c>
      <c r="Q241" t="s">
        <v>568</v>
      </c>
      <c r="R241">
        <v>1</v>
      </c>
      <c r="S241">
        <v>100</v>
      </c>
      <c r="T241">
        <v>3</v>
      </c>
      <c r="U241">
        <v>15</v>
      </c>
      <c r="V241">
        <v>560</v>
      </c>
      <c r="W241">
        <v>5</v>
      </c>
      <c r="X241" t="s">
        <v>576</v>
      </c>
      <c r="Y241" s="16">
        <v>150</v>
      </c>
      <c r="Z241">
        <v>81</v>
      </c>
      <c r="AA241" s="16">
        <v>3</v>
      </c>
      <c r="AB241" s="16">
        <v>15</v>
      </c>
    </row>
    <row r="242" spans="1:28" x14ac:dyDescent="0.25">
      <c r="A242" t="s">
        <v>541</v>
      </c>
      <c r="B242" t="s">
        <v>542</v>
      </c>
      <c r="C242">
        <v>117203010</v>
      </c>
      <c r="D242" t="str">
        <f t="shared" si="4"/>
        <v>Suved, Muhammet Rüştü-117203010</v>
      </c>
      <c r="E242" s="16">
        <v>12</v>
      </c>
      <c r="F242" s="16">
        <v>11.7</v>
      </c>
      <c r="G242" s="16">
        <v>11.299999999999999</v>
      </c>
      <c r="H242" s="16">
        <v>11.2</v>
      </c>
      <c r="I242">
        <v>2</v>
      </c>
      <c r="J242">
        <v>100</v>
      </c>
      <c r="K242">
        <v>90</v>
      </c>
      <c r="L242">
        <v>45</v>
      </c>
      <c r="M242">
        <v>63</v>
      </c>
      <c r="N242">
        <v>15</v>
      </c>
      <c r="O242">
        <v>30</v>
      </c>
      <c r="P242">
        <v>4</v>
      </c>
      <c r="Q242" t="s">
        <v>569</v>
      </c>
      <c r="R242">
        <v>1</v>
      </c>
      <c r="S242">
        <v>400</v>
      </c>
      <c r="T242">
        <v>3</v>
      </c>
      <c r="U242">
        <v>15</v>
      </c>
      <c r="V242">
        <v>520</v>
      </c>
      <c r="W242">
        <v>6</v>
      </c>
      <c r="X242" t="s">
        <v>577</v>
      </c>
      <c r="Y242" s="16">
        <v>140</v>
      </c>
      <c r="Z242">
        <v>42</v>
      </c>
      <c r="AA242" s="16">
        <v>1</v>
      </c>
      <c r="AB242" s="16">
        <v>8</v>
      </c>
    </row>
    <row r="243" spans="1:28" x14ac:dyDescent="0.25">
      <c r="A243" t="s">
        <v>434</v>
      </c>
      <c r="B243" t="s">
        <v>435</v>
      </c>
      <c r="C243">
        <v>115205043</v>
      </c>
      <c r="D243" t="str">
        <f t="shared" si="4"/>
        <v>Sürmeli, Mehmet Cahit-115205043</v>
      </c>
      <c r="E243" s="16">
        <v>11</v>
      </c>
      <c r="F243" s="16">
        <v>10.8</v>
      </c>
      <c r="G243" s="16">
        <v>10.4</v>
      </c>
      <c r="H243" s="16">
        <v>10.1</v>
      </c>
      <c r="I243">
        <v>4</v>
      </c>
      <c r="J243">
        <v>800</v>
      </c>
      <c r="K243">
        <v>120</v>
      </c>
      <c r="L243">
        <v>45</v>
      </c>
      <c r="M243">
        <v>58</v>
      </c>
      <c r="N243">
        <v>13</v>
      </c>
      <c r="O243">
        <v>20</v>
      </c>
      <c r="P243">
        <v>4</v>
      </c>
      <c r="Q243" t="s">
        <v>569</v>
      </c>
      <c r="R243">
        <v>3</v>
      </c>
      <c r="S243">
        <v>300</v>
      </c>
      <c r="T243">
        <v>1</v>
      </c>
      <c r="U243">
        <v>8</v>
      </c>
      <c r="V243">
        <v>600</v>
      </c>
      <c r="W243">
        <v>3</v>
      </c>
      <c r="X243" t="s">
        <v>578</v>
      </c>
      <c r="Y243" s="16">
        <v>230</v>
      </c>
      <c r="Z243">
        <v>60</v>
      </c>
      <c r="AA243" s="16">
        <v>3</v>
      </c>
      <c r="AB243" s="16">
        <v>15</v>
      </c>
    </row>
    <row r="244" spans="1:28" x14ac:dyDescent="0.25">
      <c r="A244" t="s">
        <v>381</v>
      </c>
      <c r="B244" t="s">
        <v>382</v>
      </c>
      <c r="C244">
        <v>114202021</v>
      </c>
      <c r="D244" t="str">
        <f t="shared" si="4"/>
        <v>Şabablı, Ebru-114202021</v>
      </c>
      <c r="E244" s="16">
        <v>14</v>
      </c>
      <c r="F244" s="16">
        <v>13.8</v>
      </c>
      <c r="G244" s="16">
        <v>13.700000000000001</v>
      </c>
      <c r="H244" s="16">
        <v>13.200000000000001</v>
      </c>
      <c r="I244">
        <v>3</v>
      </c>
      <c r="J244">
        <v>600</v>
      </c>
      <c r="K244">
        <v>170</v>
      </c>
      <c r="L244">
        <v>49</v>
      </c>
      <c r="M244">
        <v>66</v>
      </c>
      <c r="N244">
        <v>13</v>
      </c>
      <c r="O244">
        <v>20</v>
      </c>
      <c r="P244">
        <v>4</v>
      </c>
      <c r="Q244" t="s">
        <v>569</v>
      </c>
      <c r="R244">
        <v>2</v>
      </c>
      <c r="S244">
        <v>300</v>
      </c>
      <c r="T244">
        <v>2</v>
      </c>
      <c r="U244">
        <v>10</v>
      </c>
      <c r="V244">
        <v>590</v>
      </c>
      <c r="W244">
        <v>5</v>
      </c>
      <c r="X244" t="s">
        <v>576</v>
      </c>
      <c r="Y244" s="16">
        <v>160</v>
      </c>
      <c r="Z244">
        <v>69</v>
      </c>
      <c r="AA244" s="16">
        <v>2</v>
      </c>
      <c r="AB244" s="16">
        <v>10</v>
      </c>
    </row>
    <row r="245" spans="1:28" x14ac:dyDescent="0.25">
      <c r="A245" t="s">
        <v>385</v>
      </c>
      <c r="B245" t="s">
        <v>386</v>
      </c>
      <c r="C245">
        <v>115204008</v>
      </c>
      <c r="D245" t="str">
        <f t="shared" si="4"/>
        <v>Şahin, Hazal Su-115204008</v>
      </c>
      <c r="E245" s="16">
        <v>13</v>
      </c>
      <c r="F245" s="16">
        <v>12.5</v>
      </c>
      <c r="G245" s="16">
        <v>12.3</v>
      </c>
      <c r="H245" s="16">
        <v>11.8</v>
      </c>
      <c r="I245">
        <v>2</v>
      </c>
      <c r="J245">
        <v>900</v>
      </c>
      <c r="K245">
        <v>90</v>
      </c>
      <c r="L245">
        <v>46</v>
      </c>
      <c r="M245">
        <v>64</v>
      </c>
      <c r="N245">
        <v>10</v>
      </c>
      <c r="O245">
        <v>30</v>
      </c>
      <c r="P245">
        <v>4</v>
      </c>
      <c r="Q245" t="s">
        <v>569</v>
      </c>
      <c r="R245">
        <v>1</v>
      </c>
      <c r="S245">
        <v>400</v>
      </c>
      <c r="T245">
        <v>3</v>
      </c>
      <c r="U245">
        <v>15</v>
      </c>
      <c r="V245">
        <v>570</v>
      </c>
      <c r="W245">
        <v>5</v>
      </c>
      <c r="X245" t="s">
        <v>576</v>
      </c>
      <c r="Y245" s="16">
        <v>160</v>
      </c>
      <c r="Z245">
        <v>57</v>
      </c>
      <c r="AA245" s="16">
        <v>2</v>
      </c>
      <c r="AB245" s="16">
        <v>10</v>
      </c>
    </row>
    <row r="246" spans="1:28" x14ac:dyDescent="0.25">
      <c r="A246" t="s">
        <v>385</v>
      </c>
      <c r="B246" t="s">
        <v>387</v>
      </c>
      <c r="C246">
        <v>114201050</v>
      </c>
      <c r="D246" t="str">
        <f t="shared" si="4"/>
        <v>Şahin, İlayda-114201050</v>
      </c>
      <c r="E246" s="16">
        <v>14</v>
      </c>
      <c r="F246" s="16">
        <v>13.5</v>
      </c>
      <c r="G246" s="16">
        <v>13.4</v>
      </c>
      <c r="H246" s="16">
        <v>12.9</v>
      </c>
      <c r="I246">
        <v>4</v>
      </c>
      <c r="J246">
        <v>900</v>
      </c>
      <c r="K246">
        <v>130</v>
      </c>
      <c r="L246">
        <v>42</v>
      </c>
      <c r="M246">
        <v>53</v>
      </c>
      <c r="N246">
        <v>12</v>
      </c>
      <c r="O246">
        <v>20</v>
      </c>
      <c r="P246">
        <v>2</v>
      </c>
      <c r="Q246" t="s">
        <v>568</v>
      </c>
      <c r="R246">
        <v>3</v>
      </c>
      <c r="S246">
        <v>100</v>
      </c>
      <c r="T246">
        <v>2</v>
      </c>
      <c r="U246">
        <v>10</v>
      </c>
      <c r="V246">
        <v>530</v>
      </c>
      <c r="W246">
        <v>3</v>
      </c>
      <c r="X246" t="s">
        <v>578</v>
      </c>
      <c r="Y246" s="16">
        <v>210</v>
      </c>
      <c r="Z246">
        <v>48</v>
      </c>
      <c r="AA246" s="16">
        <v>2</v>
      </c>
      <c r="AB246" s="16">
        <v>10</v>
      </c>
    </row>
    <row r="247" spans="1:28" x14ac:dyDescent="0.25">
      <c r="A247" t="s">
        <v>396</v>
      </c>
      <c r="B247" t="s">
        <v>397</v>
      </c>
      <c r="C247">
        <v>114202049</v>
      </c>
      <c r="D247" t="str">
        <f t="shared" si="4"/>
        <v>Şaşıoğlu, Kaan-114202049</v>
      </c>
      <c r="E247" s="16">
        <v>11</v>
      </c>
      <c r="F247" s="16">
        <v>10.8</v>
      </c>
      <c r="G247" s="16">
        <v>10.4</v>
      </c>
      <c r="H247" s="16">
        <v>10.1</v>
      </c>
      <c r="I247">
        <v>2</v>
      </c>
      <c r="J247">
        <v>400</v>
      </c>
      <c r="K247">
        <v>80</v>
      </c>
      <c r="L247">
        <v>44</v>
      </c>
      <c r="M247">
        <v>63</v>
      </c>
      <c r="N247">
        <v>13</v>
      </c>
      <c r="O247">
        <v>20</v>
      </c>
      <c r="P247">
        <v>2</v>
      </c>
      <c r="Q247" t="s">
        <v>568</v>
      </c>
      <c r="R247">
        <v>1</v>
      </c>
      <c r="S247">
        <v>200</v>
      </c>
      <c r="T247">
        <v>3</v>
      </c>
      <c r="U247">
        <v>15</v>
      </c>
      <c r="V247">
        <v>490</v>
      </c>
      <c r="W247">
        <v>6</v>
      </c>
      <c r="X247" t="s">
        <v>577</v>
      </c>
      <c r="Y247" s="16">
        <v>110</v>
      </c>
      <c r="Z247">
        <v>49</v>
      </c>
      <c r="AA247" s="16">
        <v>3</v>
      </c>
      <c r="AB247" s="16">
        <v>15</v>
      </c>
    </row>
    <row r="248" spans="1:28" x14ac:dyDescent="0.25">
      <c r="A248" t="s">
        <v>404</v>
      </c>
      <c r="B248" t="s">
        <v>209</v>
      </c>
      <c r="C248">
        <v>116203035</v>
      </c>
      <c r="D248" t="str">
        <f t="shared" si="4"/>
        <v>Şenel, Utku-116203035</v>
      </c>
      <c r="E248" s="16">
        <v>11</v>
      </c>
      <c r="F248" s="16">
        <v>10.7</v>
      </c>
      <c r="G248" s="16">
        <v>10.299999999999999</v>
      </c>
      <c r="H248" s="16">
        <v>9.9999999999999982</v>
      </c>
      <c r="I248">
        <v>2</v>
      </c>
      <c r="J248">
        <v>200</v>
      </c>
      <c r="K248">
        <v>140</v>
      </c>
      <c r="L248">
        <v>44</v>
      </c>
      <c r="M248">
        <v>57</v>
      </c>
      <c r="N248">
        <v>10</v>
      </c>
      <c r="O248">
        <v>30</v>
      </c>
      <c r="P248">
        <v>4</v>
      </c>
      <c r="Q248" t="s">
        <v>569</v>
      </c>
      <c r="R248">
        <v>1</v>
      </c>
      <c r="S248">
        <v>400</v>
      </c>
      <c r="T248">
        <v>1</v>
      </c>
      <c r="U248">
        <v>8</v>
      </c>
      <c r="V248">
        <v>460</v>
      </c>
      <c r="W248">
        <v>5</v>
      </c>
      <c r="X248" t="s">
        <v>576</v>
      </c>
      <c r="Y248" s="16">
        <v>120</v>
      </c>
      <c r="Z248">
        <v>76</v>
      </c>
      <c r="AA248" s="16">
        <v>1</v>
      </c>
      <c r="AB248" s="16">
        <v>8</v>
      </c>
    </row>
    <row r="249" spans="1:28" x14ac:dyDescent="0.25">
      <c r="A249" t="s">
        <v>405</v>
      </c>
      <c r="B249" t="s">
        <v>213</v>
      </c>
      <c r="C249">
        <v>115203071</v>
      </c>
      <c r="D249" t="str">
        <f t="shared" si="4"/>
        <v>Şengül, Eda-115203071</v>
      </c>
      <c r="E249" s="16">
        <v>12</v>
      </c>
      <c r="F249" s="16">
        <v>11.5</v>
      </c>
      <c r="G249" s="16">
        <v>11.4</v>
      </c>
      <c r="H249" s="16">
        <v>11</v>
      </c>
      <c r="I249">
        <v>3</v>
      </c>
      <c r="J249">
        <v>700</v>
      </c>
      <c r="K249">
        <v>120</v>
      </c>
      <c r="L249">
        <v>51</v>
      </c>
      <c r="M249">
        <v>66</v>
      </c>
      <c r="N249">
        <v>15</v>
      </c>
      <c r="O249">
        <v>40</v>
      </c>
      <c r="P249">
        <v>4</v>
      </c>
      <c r="Q249" t="s">
        <v>569</v>
      </c>
      <c r="R249">
        <v>2</v>
      </c>
      <c r="S249">
        <v>300</v>
      </c>
      <c r="T249">
        <v>2</v>
      </c>
      <c r="U249">
        <v>10</v>
      </c>
      <c r="V249">
        <v>540</v>
      </c>
      <c r="W249">
        <v>3</v>
      </c>
      <c r="X249" t="s">
        <v>578</v>
      </c>
      <c r="Y249" s="16">
        <v>210</v>
      </c>
      <c r="Z249">
        <v>84</v>
      </c>
      <c r="AA249" s="16">
        <v>2</v>
      </c>
      <c r="AB249" s="16">
        <v>10</v>
      </c>
    </row>
    <row r="250" spans="1:28" x14ac:dyDescent="0.25">
      <c r="A250" t="s">
        <v>406</v>
      </c>
      <c r="B250" t="s">
        <v>407</v>
      </c>
      <c r="C250">
        <v>114207018</v>
      </c>
      <c r="D250" t="str">
        <f t="shared" si="4"/>
        <v>Şensoy, Emin Alper-114207018</v>
      </c>
      <c r="E250" s="16">
        <v>11</v>
      </c>
      <c r="F250" s="16">
        <v>10.7</v>
      </c>
      <c r="G250" s="16">
        <v>10.6</v>
      </c>
      <c r="H250" s="16">
        <v>10.299999999999999</v>
      </c>
      <c r="I250">
        <v>4</v>
      </c>
      <c r="J250">
        <v>600</v>
      </c>
      <c r="K250">
        <v>140</v>
      </c>
      <c r="L250">
        <v>49</v>
      </c>
      <c r="M250">
        <v>60</v>
      </c>
      <c r="N250">
        <v>11</v>
      </c>
      <c r="O250">
        <v>20</v>
      </c>
      <c r="P250">
        <v>2</v>
      </c>
      <c r="Q250" t="s">
        <v>568</v>
      </c>
      <c r="R250">
        <v>3</v>
      </c>
      <c r="S250">
        <v>300</v>
      </c>
      <c r="T250">
        <v>2</v>
      </c>
      <c r="U250">
        <v>10</v>
      </c>
      <c r="V250">
        <v>400</v>
      </c>
      <c r="W250">
        <v>6</v>
      </c>
      <c r="X250" t="s">
        <v>577</v>
      </c>
      <c r="Y250" s="16">
        <v>100</v>
      </c>
      <c r="Z250">
        <v>60</v>
      </c>
      <c r="AA250" s="16">
        <v>1</v>
      </c>
      <c r="AB250" s="16">
        <v>8</v>
      </c>
    </row>
    <row r="251" spans="1:28" x14ac:dyDescent="0.25">
      <c r="A251" t="s">
        <v>422</v>
      </c>
      <c r="B251" t="s">
        <v>423</v>
      </c>
      <c r="C251">
        <v>114200047</v>
      </c>
      <c r="D251" t="str">
        <f t="shared" si="4"/>
        <v>Şimşek, Onurcan-114200047</v>
      </c>
      <c r="E251" s="16">
        <v>14</v>
      </c>
      <c r="F251" s="16">
        <v>13.6</v>
      </c>
      <c r="G251" s="16">
        <v>13.1</v>
      </c>
      <c r="H251" s="16">
        <v>13</v>
      </c>
      <c r="I251">
        <v>3</v>
      </c>
      <c r="J251">
        <v>500</v>
      </c>
      <c r="K251">
        <v>160</v>
      </c>
      <c r="L251">
        <v>46</v>
      </c>
      <c r="M251">
        <v>60</v>
      </c>
      <c r="N251">
        <v>14</v>
      </c>
      <c r="O251">
        <v>20</v>
      </c>
      <c r="P251">
        <v>4</v>
      </c>
      <c r="Q251" t="s">
        <v>569</v>
      </c>
      <c r="R251">
        <v>2</v>
      </c>
      <c r="S251">
        <v>100</v>
      </c>
      <c r="T251">
        <v>2</v>
      </c>
      <c r="U251">
        <v>10</v>
      </c>
      <c r="V251">
        <v>520</v>
      </c>
      <c r="W251">
        <v>5</v>
      </c>
      <c r="X251" t="s">
        <v>576</v>
      </c>
      <c r="Y251" s="16">
        <v>150</v>
      </c>
      <c r="Z251">
        <v>52</v>
      </c>
      <c r="AA251" s="16">
        <v>3</v>
      </c>
      <c r="AB251" s="16">
        <v>15</v>
      </c>
    </row>
    <row r="252" spans="1:28" x14ac:dyDescent="0.25">
      <c r="A252" t="s">
        <v>422</v>
      </c>
      <c r="B252" t="s">
        <v>424</v>
      </c>
      <c r="C252">
        <v>115206142</v>
      </c>
      <c r="D252" t="str">
        <f t="shared" si="4"/>
        <v>Şimşek, Sedat-115206142</v>
      </c>
      <c r="E252" s="16">
        <v>12</v>
      </c>
      <c r="F252" s="16">
        <v>11.8</v>
      </c>
      <c r="G252" s="16">
        <v>11.5</v>
      </c>
      <c r="H252" s="16">
        <v>11.4</v>
      </c>
      <c r="I252">
        <v>2</v>
      </c>
      <c r="J252">
        <v>800</v>
      </c>
      <c r="K252">
        <v>140</v>
      </c>
      <c r="L252">
        <v>43</v>
      </c>
      <c r="M252">
        <v>55</v>
      </c>
      <c r="N252">
        <v>14</v>
      </c>
      <c r="O252">
        <v>20</v>
      </c>
      <c r="P252">
        <v>3</v>
      </c>
      <c r="Q252" t="s">
        <v>570</v>
      </c>
      <c r="R252">
        <v>1</v>
      </c>
      <c r="S252">
        <v>300</v>
      </c>
      <c r="T252">
        <v>3</v>
      </c>
      <c r="U252">
        <v>15</v>
      </c>
      <c r="V252">
        <v>600</v>
      </c>
      <c r="W252">
        <v>5</v>
      </c>
      <c r="X252" t="s">
        <v>576</v>
      </c>
      <c r="Y252" s="16">
        <v>160</v>
      </c>
      <c r="Z252">
        <v>90</v>
      </c>
      <c r="AA252" s="16">
        <v>1</v>
      </c>
      <c r="AB252" s="16">
        <v>8</v>
      </c>
    </row>
    <row r="253" spans="1:28" x14ac:dyDescent="0.25">
      <c r="A253" t="s">
        <v>425</v>
      </c>
      <c r="B253" t="s">
        <v>426</v>
      </c>
      <c r="C253">
        <v>115203037</v>
      </c>
      <c r="D253" t="str">
        <f t="shared" si="4"/>
        <v>Şimşir, Mısra-115203037</v>
      </c>
      <c r="E253" s="16">
        <v>12</v>
      </c>
      <c r="F253" s="16">
        <v>11.7</v>
      </c>
      <c r="G253" s="16">
        <v>11.299999999999999</v>
      </c>
      <c r="H253" s="16">
        <v>10.999999999999998</v>
      </c>
      <c r="I253">
        <v>3</v>
      </c>
      <c r="J253">
        <v>200</v>
      </c>
      <c r="K253">
        <v>150</v>
      </c>
      <c r="L253">
        <v>42</v>
      </c>
      <c r="M253">
        <v>61</v>
      </c>
      <c r="N253">
        <v>10</v>
      </c>
      <c r="O253">
        <v>20</v>
      </c>
      <c r="P253">
        <v>3</v>
      </c>
      <c r="Q253" t="s">
        <v>570</v>
      </c>
      <c r="R253">
        <v>2</v>
      </c>
      <c r="S253">
        <v>200</v>
      </c>
      <c r="T253">
        <v>3</v>
      </c>
      <c r="U253">
        <v>15</v>
      </c>
      <c r="V253">
        <v>550</v>
      </c>
      <c r="W253">
        <v>6</v>
      </c>
      <c r="X253" t="s">
        <v>577</v>
      </c>
      <c r="Y253" s="16">
        <v>140</v>
      </c>
      <c r="Z253">
        <v>70</v>
      </c>
      <c r="AA253" s="16">
        <v>1</v>
      </c>
      <c r="AB253" s="16">
        <v>8</v>
      </c>
    </row>
    <row r="254" spans="1:28" x14ac:dyDescent="0.25">
      <c r="A254" t="s">
        <v>425</v>
      </c>
      <c r="B254" t="s">
        <v>427</v>
      </c>
      <c r="C254">
        <v>116203155</v>
      </c>
      <c r="D254" t="str">
        <f t="shared" si="4"/>
        <v>Şimşir, Serra-116203155</v>
      </c>
      <c r="E254" s="16">
        <v>15</v>
      </c>
      <c r="F254" s="16">
        <v>14.9</v>
      </c>
      <c r="G254" s="16">
        <v>14.4</v>
      </c>
      <c r="H254" s="16">
        <v>13.9</v>
      </c>
      <c r="I254">
        <v>3</v>
      </c>
      <c r="J254">
        <v>300</v>
      </c>
      <c r="K254">
        <v>170</v>
      </c>
      <c r="L254">
        <v>41</v>
      </c>
      <c r="M254">
        <v>60</v>
      </c>
      <c r="N254">
        <v>15</v>
      </c>
      <c r="O254">
        <v>30</v>
      </c>
      <c r="P254">
        <v>4</v>
      </c>
      <c r="Q254" t="s">
        <v>569</v>
      </c>
      <c r="R254">
        <v>2</v>
      </c>
      <c r="S254">
        <v>100</v>
      </c>
      <c r="T254">
        <v>2</v>
      </c>
      <c r="U254">
        <v>10</v>
      </c>
      <c r="V254">
        <v>450</v>
      </c>
      <c r="W254">
        <v>6</v>
      </c>
      <c r="X254" t="s">
        <v>577</v>
      </c>
      <c r="Y254" s="16">
        <v>110</v>
      </c>
      <c r="Z254">
        <v>45</v>
      </c>
      <c r="AA254" s="16">
        <v>3</v>
      </c>
      <c r="AB254" s="16">
        <v>15</v>
      </c>
    </row>
    <row r="255" spans="1:28" x14ac:dyDescent="0.25">
      <c r="A255" t="s">
        <v>428</v>
      </c>
      <c r="B255" t="s">
        <v>429</v>
      </c>
      <c r="C255">
        <v>114205025</v>
      </c>
      <c r="D255" t="str">
        <f t="shared" si="4"/>
        <v>Şişli, Bahar-114205025</v>
      </c>
      <c r="E255" s="16">
        <v>15</v>
      </c>
      <c r="F255" s="16">
        <v>14.9</v>
      </c>
      <c r="G255" s="16">
        <v>14.5</v>
      </c>
      <c r="H255" s="16">
        <v>14.2</v>
      </c>
      <c r="I255">
        <v>4</v>
      </c>
      <c r="J255">
        <v>800</v>
      </c>
      <c r="K255">
        <v>120</v>
      </c>
      <c r="L255">
        <v>54</v>
      </c>
      <c r="M255">
        <v>65</v>
      </c>
      <c r="N255">
        <v>14</v>
      </c>
      <c r="O255">
        <v>30</v>
      </c>
      <c r="P255">
        <v>3</v>
      </c>
      <c r="Q255" t="s">
        <v>570</v>
      </c>
      <c r="R255">
        <v>3</v>
      </c>
      <c r="S255">
        <v>100</v>
      </c>
      <c r="T255">
        <v>1</v>
      </c>
      <c r="U255">
        <v>8</v>
      </c>
      <c r="V255">
        <v>550</v>
      </c>
      <c r="W255">
        <v>3</v>
      </c>
      <c r="X255" t="s">
        <v>578</v>
      </c>
      <c r="Y255" s="16">
        <v>210</v>
      </c>
      <c r="Z255">
        <v>55</v>
      </c>
      <c r="AA255" s="16">
        <v>3</v>
      </c>
      <c r="AB255" s="16">
        <v>15</v>
      </c>
    </row>
    <row r="256" spans="1:28" x14ac:dyDescent="0.25">
      <c r="A256" t="s">
        <v>436</v>
      </c>
      <c r="B256" t="s">
        <v>437</v>
      </c>
      <c r="C256">
        <v>115206058</v>
      </c>
      <c r="D256" t="str">
        <f t="shared" si="4"/>
        <v>Tahmaz, Ecem Naz-115206058</v>
      </c>
      <c r="E256" s="16">
        <v>12</v>
      </c>
      <c r="F256" s="16">
        <v>11.9</v>
      </c>
      <c r="G256" s="16">
        <v>11.6</v>
      </c>
      <c r="H256" s="16">
        <v>11.299999999999999</v>
      </c>
      <c r="I256">
        <v>4</v>
      </c>
      <c r="J256">
        <v>100</v>
      </c>
      <c r="K256">
        <v>160</v>
      </c>
      <c r="L256">
        <v>47</v>
      </c>
      <c r="M256">
        <v>60</v>
      </c>
      <c r="N256">
        <v>11</v>
      </c>
      <c r="O256">
        <v>40</v>
      </c>
      <c r="P256">
        <v>2</v>
      </c>
      <c r="Q256" t="s">
        <v>568</v>
      </c>
      <c r="R256">
        <v>3</v>
      </c>
      <c r="S256">
        <v>300</v>
      </c>
      <c r="T256">
        <v>3</v>
      </c>
      <c r="U256">
        <v>15</v>
      </c>
      <c r="V256">
        <v>570</v>
      </c>
      <c r="W256">
        <v>5</v>
      </c>
      <c r="X256" t="s">
        <v>576</v>
      </c>
      <c r="Y256" s="16">
        <v>140</v>
      </c>
      <c r="Z256">
        <v>92</v>
      </c>
      <c r="AA256" s="16">
        <v>3</v>
      </c>
      <c r="AB256" s="16">
        <v>15</v>
      </c>
    </row>
    <row r="257" spans="1:28" x14ac:dyDescent="0.25">
      <c r="A257" t="s">
        <v>438</v>
      </c>
      <c r="B257" t="s">
        <v>439</v>
      </c>
      <c r="C257">
        <v>113202030</v>
      </c>
      <c r="D257" t="str">
        <f t="shared" si="4"/>
        <v>Takıl, Buse-113202030</v>
      </c>
      <c r="E257" s="16">
        <v>12</v>
      </c>
      <c r="F257" s="16">
        <v>11.7</v>
      </c>
      <c r="G257" s="16">
        <v>11.299999999999999</v>
      </c>
      <c r="H257" s="16">
        <v>10.999999999999998</v>
      </c>
      <c r="I257">
        <v>4</v>
      </c>
      <c r="J257">
        <v>900</v>
      </c>
      <c r="K257">
        <v>100</v>
      </c>
      <c r="L257">
        <v>46</v>
      </c>
      <c r="M257">
        <v>65</v>
      </c>
      <c r="N257">
        <v>15</v>
      </c>
      <c r="O257">
        <v>20</v>
      </c>
      <c r="P257">
        <v>2</v>
      </c>
      <c r="Q257" t="s">
        <v>568</v>
      </c>
      <c r="R257">
        <v>3</v>
      </c>
      <c r="S257">
        <v>300</v>
      </c>
      <c r="T257">
        <v>1</v>
      </c>
      <c r="U257">
        <v>8</v>
      </c>
      <c r="V257">
        <v>510</v>
      </c>
      <c r="W257">
        <v>4</v>
      </c>
      <c r="X257" t="s">
        <v>579</v>
      </c>
      <c r="Y257" s="16">
        <v>170</v>
      </c>
      <c r="Z257">
        <v>61</v>
      </c>
      <c r="AA257" s="16">
        <v>1</v>
      </c>
      <c r="AB257" s="16">
        <v>8</v>
      </c>
    </row>
    <row r="258" spans="1:28" x14ac:dyDescent="0.25">
      <c r="A258" t="s">
        <v>440</v>
      </c>
      <c r="B258" t="s">
        <v>441</v>
      </c>
      <c r="C258">
        <v>115204025</v>
      </c>
      <c r="D258" t="str">
        <f t="shared" si="4"/>
        <v>Tarakçı, Ömer-115204025</v>
      </c>
      <c r="E258" s="16">
        <v>15</v>
      </c>
      <c r="F258" s="16">
        <v>14.6</v>
      </c>
      <c r="G258" s="16">
        <v>14.299999999999999</v>
      </c>
      <c r="H258" s="16">
        <v>13.999999999999998</v>
      </c>
      <c r="I258">
        <v>3</v>
      </c>
      <c r="J258">
        <v>700</v>
      </c>
      <c r="K258">
        <v>80</v>
      </c>
      <c r="L258">
        <v>42</v>
      </c>
      <c r="M258">
        <v>52</v>
      </c>
      <c r="N258">
        <v>12</v>
      </c>
      <c r="O258">
        <v>20</v>
      </c>
      <c r="P258">
        <v>2</v>
      </c>
      <c r="Q258" t="s">
        <v>568</v>
      </c>
      <c r="R258">
        <v>2</v>
      </c>
      <c r="S258">
        <v>200</v>
      </c>
      <c r="T258">
        <v>3</v>
      </c>
      <c r="U258">
        <v>15</v>
      </c>
      <c r="V258">
        <v>600</v>
      </c>
      <c r="W258">
        <v>3</v>
      </c>
      <c r="X258" t="s">
        <v>578</v>
      </c>
      <c r="Y258" s="16">
        <v>240</v>
      </c>
      <c r="Z258">
        <v>65</v>
      </c>
      <c r="AA258" s="16">
        <v>2</v>
      </c>
      <c r="AB258" s="16">
        <v>10</v>
      </c>
    </row>
    <row r="259" spans="1:28" x14ac:dyDescent="0.25">
      <c r="A259" t="s">
        <v>442</v>
      </c>
      <c r="B259" t="s">
        <v>443</v>
      </c>
      <c r="C259">
        <v>116201148</v>
      </c>
      <c r="D259" t="str">
        <f t="shared" si="4"/>
        <v>Taşçı, Tamay Seda-116201148</v>
      </c>
      <c r="E259" s="16">
        <v>12</v>
      </c>
      <c r="F259" s="16">
        <v>11.9</v>
      </c>
      <c r="G259" s="16">
        <v>11.4</v>
      </c>
      <c r="H259" s="16">
        <v>11.1</v>
      </c>
      <c r="I259">
        <v>3</v>
      </c>
      <c r="J259">
        <v>300</v>
      </c>
      <c r="K259">
        <v>110</v>
      </c>
      <c r="L259">
        <v>47</v>
      </c>
      <c r="M259">
        <v>60</v>
      </c>
      <c r="N259">
        <v>11</v>
      </c>
      <c r="O259">
        <v>20</v>
      </c>
      <c r="P259">
        <v>2</v>
      </c>
      <c r="Q259" t="s">
        <v>568</v>
      </c>
      <c r="R259">
        <v>2</v>
      </c>
      <c r="S259">
        <v>200</v>
      </c>
      <c r="T259">
        <v>2</v>
      </c>
      <c r="U259">
        <v>10</v>
      </c>
      <c r="V259">
        <v>450</v>
      </c>
      <c r="W259">
        <v>6</v>
      </c>
      <c r="X259" t="s">
        <v>577</v>
      </c>
      <c r="Y259" s="16">
        <v>130</v>
      </c>
      <c r="Z259">
        <v>60</v>
      </c>
      <c r="AA259" s="16">
        <v>3</v>
      </c>
      <c r="AB259" s="16">
        <v>15</v>
      </c>
    </row>
    <row r="260" spans="1:28" x14ac:dyDescent="0.25">
      <c r="A260" t="s">
        <v>444</v>
      </c>
      <c r="B260" t="s">
        <v>213</v>
      </c>
      <c r="C260">
        <v>116203027</v>
      </c>
      <c r="D260" t="str">
        <f t="shared" si="4"/>
        <v>Taşkıran, Eda-116203027</v>
      </c>
      <c r="E260" s="16">
        <v>13</v>
      </c>
      <c r="F260" s="16">
        <v>12.7</v>
      </c>
      <c r="G260" s="16">
        <v>12.6</v>
      </c>
      <c r="H260" s="16">
        <v>12.2</v>
      </c>
      <c r="I260">
        <v>2</v>
      </c>
      <c r="J260">
        <v>900</v>
      </c>
      <c r="K260">
        <v>120</v>
      </c>
      <c r="L260">
        <v>46</v>
      </c>
      <c r="M260">
        <v>63</v>
      </c>
      <c r="N260">
        <v>11</v>
      </c>
      <c r="O260">
        <v>20</v>
      </c>
      <c r="P260">
        <v>3</v>
      </c>
      <c r="Q260" t="s">
        <v>570</v>
      </c>
      <c r="R260">
        <v>1</v>
      </c>
      <c r="S260">
        <v>200</v>
      </c>
      <c r="T260">
        <v>3</v>
      </c>
      <c r="U260">
        <v>15</v>
      </c>
      <c r="V260">
        <v>420</v>
      </c>
      <c r="W260">
        <v>4</v>
      </c>
      <c r="X260" t="s">
        <v>579</v>
      </c>
      <c r="Y260" s="16">
        <v>150</v>
      </c>
      <c r="Z260">
        <v>37</v>
      </c>
      <c r="AA260" s="16">
        <v>1</v>
      </c>
      <c r="AB260" s="16">
        <v>8</v>
      </c>
    </row>
    <row r="261" spans="1:28" x14ac:dyDescent="0.25">
      <c r="A261" t="s">
        <v>445</v>
      </c>
      <c r="B261" t="s">
        <v>446</v>
      </c>
      <c r="C261">
        <v>114200032</v>
      </c>
      <c r="D261" t="str">
        <f t="shared" ref="D261:D322" si="5">A261&amp;", "&amp;B261&amp;"-"&amp;C261</f>
        <v>Tekgül, Hüma-114200032</v>
      </c>
      <c r="E261" s="16">
        <v>14</v>
      </c>
      <c r="F261" s="16">
        <v>13.6</v>
      </c>
      <c r="G261" s="16">
        <v>13.4</v>
      </c>
      <c r="H261" s="16">
        <v>13.1</v>
      </c>
      <c r="I261">
        <v>2</v>
      </c>
      <c r="J261">
        <v>900</v>
      </c>
      <c r="K261">
        <v>90</v>
      </c>
      <c r="L261">
        <v>54</v>
      </c>
      <c r="M261">
        <v>71</v>
      </c>
      <c r="N261">
        <v>13</v>
      </c>
      <c r="O261">
        <v>30</v>
      </c>
      <c r="P261">
        <v>2</v>
      </c>
      <c r="Q261" t="s">
        <v>568</v>
      </c>
      <c r="R261">
        <v>1</v>
      </c>
      <c r="S261">
        <v>300</v>
      </c>
      <c r="T261">
        <v>3</v>
      </c>
      <c r="U261">
        <v>15</v>
      </c>
      <c r="V261">
        <v>560</v>
      </c>
      <c r="W261">
        <v>5</v>
      </c>
      <c r="X261" t="s">
        <v>576</v>
      </c>
      <c r="Y261" s="16">
        <v>140</v>
      </c>
      <c r="Z261">
        <v>46</v>
      </c>
      <c r="AA261" s="16">
        <v>2</v>
      </c>
      <c r="AB261" s="16">
        <v>10</v>
      </c>
    </row>
    <row r="262" spans="1:28" x14ac:dyDescent="0.25">
      <c r="A262" t="s">
        <v>447</v>
      </c>
      <c r="B262" t="s">
        <v>448</v>
      </c>
      <c r="C262">
        <v>115202080</v>
      </c>
      <c r="D262" t="str">
        <f t="shared" si="5"/>
        <v>Tekin, Engincan-115202080</v>
      </c>
      <c r="E262" s="16">
        <v>15</v>
      </c>
      <c r="F262" s="16">
        <v>14.8</v>
      </c>
      <c r="G262" s="16">
        <v>14.5</v>
      </c>
      <c r="H262" s="16">
        <v>14</v>
      </c>
      <c r="I262">
        <v>3</v>
      </c>
      <c r="J262">
        <v>700</v>
      </c>
      <c r="K262">
        <v>110</v>
      </c>
      <c r="L262">
        <v>43</v>
      </c>
      <c r="M262">
        <v>63</v>
      </c>
      <c r="N262">
        <v>11</v>
      </c>
      <c r="O262">
        <v>20</v>
      </c>
      <c r="P262">
        <v>2</v>
      </c>
      <c r="Q262" t="s">
        <v>568</v>
      </c>
      <c r="R262">
        <v>2</v>
      </c>
      <c r="S262">
        <v>300</v>
      </c>
      <c r="T262">
        <v>1</v>
      </c>
      <c r="U262">
        <v>8</v>
      </c>
      <c r="V262">
        <v>540</v>
      </c>
      <c r="W262">
        <v>6</v>
      </c>
      <c r="X262" t="s">
        <v>577</v>
      </c>
      <c r="Y262" s="16">
        <v>130</v>
      </c>
      <c r="Z262">
        <v>94</v>
      </c>
      <c r="AA262" s="16">
        <v>3</v>
      </c>
      <c r="AB262" s="16">
        <v>15</v>
      </c>
    </row>
    <row r="263" spans="1:28" x14ac:dyDescent="0.25">
      <c r="A263" t="s">
        <v>449</v>
      </c>
      <c r="B263" t="s">
        <v>450</v>
      </c>
      <c r="C263">
        <v>114205011</v>
      </c>
      <c r="D263" t="str">
        <f t="shared" si="5"/>
        <v>Temel, Münür Uğur-114205011</v>
      </c>
      <c r="E263" s="16">
        <v>11</v>
      </c>
      <c r="F263" s="16">
        <v>10.7</v>
      </c>
      <c r="G263" s="16">
        <v>10.399999999999999</v>
      </c>
      <c r="H263" s="16">
        <v>10.199999999999999</v>
      </c>
      <c r="I263">
        <v>3</v>
      </c>
      <c r="J263">
        <v>400</v>
      </c>
      <c r="K263">
        <v>180</v>
      </c>
      <c r="L263">
        <v>46</v>
      </c>
      <c r="M263">
        <v>63</v>
      </c>
      <c r="N263">
        <v>15</v>
      </c>
      <c r="O263">
        <v>20</v>
      </c>
      <c r="P263">
        <v>3</v>
      </c>
      <c r="Q263" t="s">
        <v>570</v>
      </c>
      <c r="R263">
        <v>2</v>
      </c>
      <c r="S263">
        <v>200</v>
      </c>
      <c r="T263">
        <v>1</v>
      </c>
      <c r="U263">
        <v>8</v>
      </c>
      <c r="V263">
        <v>470</v>
      </c>
      <c r="W263">
        <v>3</v>
      </c>
      <c r="X263" t="s">
        <v>578</v>
      </c>
      <c r="Y263" s="16">
        <v>200</v>
      </c>
      <c r="Z263">
        <v>47</v>
      </c>
      <c r="AA263" s="16">
        <v>1</v>
      </c>
      <c r="AB263" s="16">
        <v>8</v>
      </c>
    </row>
    <row r="264" spans="1:28" x14ac:dyDescent="0.25">
      <c r="A264" t="s">
        <v>451</v>
      </c>
      <c r="B264" t="s">
        <v>270</v>
      </c>
      <c r="C264">
        <v>115205046</v>
      </c>
      <c r="D264" t="str">
        <f t="shared" si="5"/>
        <v>Temizer, Selim-115205046</v>
      </c>
      <c r="E264" s="16">
        <v>15</v>
      </c>
      <c r="F264" s="16">
        <v>14.7</v>
      </c>
      <c r="G264" s="16">
        <v>14.5</v>
      </c>
      <c r="H264" s="16">
        <v>14</v>
      </c>
      <c r="I264">
        <v>4</v>
      </c>
      <c r="J264">
        <v>900</v>
      </c>
      <c r="K264">
        <v>170</v>
      </c>
      <c r="L264">
        <v>51</v>
      </c>
      <c r="M264">
        <v>71</v>
      </c>
      <c r="N264">
        <v>12</v>
      </c>
      <c r="O264">
        <v>40</v>
      </c>
      <c r="P264">
        <v>2</v>
      </c>
      <c r="Q264" t="s">
        <v>568</v>
      </c>
      <c r="R264">
        <v>3</v>
      </c>
      <c r="S264">
        <v>100</v>
      </c>
      <c r="T264">
        <v>1</v>
      </c>
      <c r="U264">
        <v>8</v>
      </c>
      <c r="V264">
        <v>410</v>
      </c>
      <c r="W264">
        <v>4</v>
      </c>
      <c r="X264" t="s">
        <v>579</v>
      </c>
      <c r="Y264" s="16">
        <v>140</v>
      </c>
      <c r="Z264">
        <v>41</v>
      </c>
      <c r="AA264" s="16">
        <v>1</v>
      </c>
      <c r="AB264" s="16">
        <v>8</v>
      </c>
    </row>
    <row r="265" spans="1:28" x14ac:dyDescent="0.25">
      <c r="A265" t="s">
        <v>452</v>
      </c>
      <c r="B265" t="s">
        <v>309</v>
      </c>
      <c r="C265">
        <v>112205028</v>
      </c>
      <c r="D265" t="str">
        <f t="shared" si="5"/>
        <v>Tesbihci, Büşra-112205028</v>
      </c>
      <c r="E265" s="16">
        <v>12</v>
      </c>
      <c r="F265" s="16">
        <v>11.7</v>
      </c>
      <c r="G265" s="16">
        <v>11.5</v>
      </c>
      <c r="H265" s="16">
        <v>11.2</v>
      </c>
      <c r="I265">
        <v>4</v>
      </c>
      <c r="J265">
        <v>600</v>
      </c>
      <c r="K265">
        <v>170</v>
      </c>
      <c r="L265">
        <v>48</v>
      </c>
      <c r="M265">
        <v>62</v>
      </c>
      <c r="N265">
        <v>11</v>
      </c>
      <c r="O265">
        <v>30</v>
      </c>
      <c r="P265">
        <v>2</v>
      </c>
      <c r="Q265" t="s">
        <v>568</v>
      </c>
      <c r="R265">
        <v>3</v>
      </c>
      <c r="S265">
        <v>100</v>
      </c>
      <c r="T265">
        <v>1</v>
      </c>
      <c r="U265">
        <v>8</v>
      </c>
      <c r="V265">
        <v>430</v>
      </c>
      <c r="W265">
        <v>3</v>
      </c>
      <c r="X265" t="s">
        <v>578</v>
      </c>
      <c r="Y265" s="16">
        <v>180</v>
      </c>
      <c r="Z265">
        <v>53</v>
      </c>
      <c r="AA265" s="16">
        <v>1</v>
      </c>
      <c r="AB265" s="16">
        <v>8</v>
      </c>
    </row>
    <row r="266" spans="1:28" x14ac:dyDescent="0.25">
      <c r="A266" t="s">
        <v>453</v>
      </c>
      <c r="B266" t="s">
        <v>37</v>
      </c>
      <c r="C266">
        <v>115203073</v>
      </c>
      <c r="D266" t="str">
        <f t="shared" si="5"/>
        <v>Tevrüz, Zeynep-115203073</v>
      </c>
      <c r="E266" s="16">
        <v>15</v>
      </c>
      <c r="F266" s="16">
        <v>14.7</v>
      </c>
      <c r="G266" s="16">
        <v>14.299999999999999</v>
      </c>
      <c r="H266" s="16">
        <v>13.999999999999998</v>
      </c>
      <c r="I266">
        <v>2</v>
      </c>
      <c r="J266">
        <v>700</v>
      </c>
      <c r="K266">
        <v>100</v>
      </c>
      <c r="L266">
        <v>44</v>
      </c>
      <c r="M266">
        <v>58</v>
      </c>
      <c r="N266">
        <v>14</v>
      </c>
      <c r="O266">
        <v>20</v>
      </c>
      <c r="P266">
        <v>3</v>
      </c>
      <c r="Q266" t="s">
        <v>570</v>
      </c>
      <c r="R266">
        <v>1</v>
      </c>
      <c r="S266">
        <v>300</v>
      </c>
      <c r="T266">
        <v>3</v>
      </c>
      <c r="U266">
        <v>15</v>
      </c>
      <c r="V266">
        <v>430</v>
      </c>
      <c r="W266">
        <v>5</v>
      </c>
      <c r="X266" t="s">
        <v>576</v>
      </c>
      <c r="Y266" s="16">
        <v>140</v>
      </c>
      <c r="Z266">
        <v>58</v>
      </c>
      <c r="AA266" s="16">
        <v>1</v>
      </c>
      <c r="AB266" s="16">
        <v>8</v>
      </c>
    </row>
    <row r="267" spans="1:28" x14ac:dyDescent="0.25">
      <c r="A267" t="s">
        <v>454</v>
      </c>
      <c r="B267" t="s">
        <v>455</v>
      </c>
      <c r="C267">
        <v>115203110</v>
      </c>
      <c r="D267" t="str">
        <f t="shared" si="5"/>
        <v>Toker, Furkan Salih-115203110</v>
      </c>
      <c r="E267" s="16">
        <v>12</v>
      </c>
      <c r="F267" s="16">
        <v>11.9</v>
      </c>
      <c r="G267" s="16">
        <v>11.4</v>
      </c>
      <c r="H267" s="16">
        <v>11.3</v>
      </c>
      <c r="I267">
        <v>2</v>
      </c>
      <c r="J267">
        <v>700</v>
      </c>
      <c r="K267">
        <v>130</v>
      </c>
      <c r="L267">
        <v>42</v>
      </c>
      <c r="M267">
        <v>57</v>
      </c>
      <c r="N267">
        <v>15</v>
      </c>
      <c r="O267">
        <v>40</v>
      </c>
      <c r="P267">
        <v>4</v>
      </c>
      <c r="Q267" t="s">
        <v>569</v>
      </c>
      <c r="R267">
        <v>1</v>
      </c>
      <c r="S267">
        <v>100</v>
      </c>
      <c r="T267">
        <v>2</v>
      </c>
      <c r="U267">
        <v>10</v>
      </c>
      <c r="V267">
        <v>570</v>
      </c>
      <c r="W267">
        <v>6</v>
      </c>
      <c r="X267" t="s">
        <v>577</v>
      </c>
      <c r="Y267" s="16">
        <v>150</v>
      </c>
      <c r="Z267">
        <v>97</v>
      </c>
      <c r="AA267" s="16">
        <v>2</v>
      </c>
      <c r="AB267" s="16">
        <v>10</v>
      </c>
    </row>
    <row r="268" spans="1:28" x14ac:dyDescent="0.25">
      <c r="A268" t="s">
        <v>456</v>
      </c>
      <c r="B268" t="s">
        <v>457</v>
      </c>
      <c r="C268">
        <v>115203057</v>
      </c>
      <c r="D268" t="str">
        <f t="shared" si="5"/>
        <v>Toledo, Rıfat-115203057</v>
      </c>
      <c r="E268" s="16">
        <v>15</v>
      </c>
      <c r="F268" s="16">
        <v>14.7</v>
      </c>
      <c r="G268" s="16">
        <v>14.5</v>
      </c>
      <c r="H268" s="16">
        <v>14.2</v>
      </c>
      <c r="I268">
        <v>3</v>
      </c>
      <c r="J268">
        <v>900</v>
      </c>
      <c r="K268">
        <v>140</v>
      </c>
      <c r="L268">
        <v>53</v>
      </c>
      <c r="M268">
        <v>64</v>
      </c>
      <c r="N268">
        <v>14</v>
      </c>
      <c r="O268">
        <v>30</v>
      </c>
      <c r="P268">
        <v>2</v>
      </c>
      <c r="Q268" t="s">
        <v>568</v>
      </c>
      <c r="R268">
        <v>2</v>
      </c>
      <c r="S268">
        <v>400</v>
      </c>
      <c r="T268">
        <v>2</v>
      </c>
      <c r="U268">
        <v>10</v>
      </c>
      <c r="V268">
        <v>440</v>
      </c>
      <c r="W268">
        <v>5</v>
      </c>
      <c r="X268" t="s">
        <v>576</v>
      </c>
      <c r="Y268" s="16">
        <v>130</v>
      </c>
      <c r="Z268">
        <v>49</v>
      </c>
      <c r="AA268" s="16">
        <v>2</v>
      </c>
      <c r="AB268" s="16">
        <v>10</v>
      </c>
    </row>
    <row r="269" spans="1:28" x14ac:dyDescent="0.25">
      <c r="A269" t="s">
        <v>458</v>
      </c>
      <c r="B269" t="s">
        <v>43</v>
      </c>
      <c r="C269">
        <v>115204023</v>
      </c>
      <c r="D269" t="str">
        <f t="shared" si="5"/>
        <v>Topal, Furkan-115204023</v>
      </c>
      <c r="E269" s="16">
        <v>14</v>
      </c>
      <c r="F269" s="16">
        <v>13.8</v>
      </c>
      <c r="G269" s="16">
        <v>13.600000000000001</v>
      </c>
      <c r="H269" s="16">
        <v>13.500000000000002</v>
      </c>
      <c r="I269">
        <v>4</v>
      </c>
      <c r="J269">
        <v>600</v>
      </c>
      <c r="K269">
        <v>160</v>
      </c>
      <c r="L269">
        <v>46</v>
      </c>
      <c r="M269">
        <v>60</v>
      </c>
      <c r="N269">
        <v>15</v>
      </c>
      <c r="O269">
        <v>40</v>
      </c>
      <c r="P269">
        <v>2</v>
      </c>
      <c r="Q269" t="s">
        <v>568</v>
      </c>
      <c r="R269">
        <v>3</v>
      </c>
      <c r="S269">
        <v>300</v>
      </c>
      <c r="T269">
        <v>2</v>
      </c>
      <c r="U269">
        <v>10</v>
      </c>
      <c r="V269">
        <v>420</v>
      </c>
      <c r="W269">
        <v>6</v>
      </c>
      <c r="X269" t="s">
        <v>577</v>
      </c>
      <c r="Y269" s="16">
        <v>120</v>
      </c>
      <c r="Z269">
        <v>32</v>
      </c>
      <c r="AA269" s="16">
        <v>1</v>
      </c>
      <c r="AB269" s="16">
        <v>8</v>
      </c>
    </row>
    <row r="270" spans="1:28" x14ac:dyDescent="0.25">
      <c r="A270" t="s">
        <v>459</v>
      </c>
      <c r="B270" t="s">
        <v>45</v>
      </c>
      <c r="C270">
        <v>116201126</v>
      </c>
      <c r="D270" t="str">
        <f t="shared" si="5"/>
        <v>Topaloğlu, İrem-116201126</v>
      </c>
      <c r="E270" s="16">
        <v>14</v>
      </c>
      <c r="F270" s="16">
        <v>13.8</v>
      </c>
      <c r="G270" s="16">
        <v>13.5</v>
      </c>
      <c r="H270" s="16">
        <v>13.4</v>
      </c>
      <c r="I270">
        <v>4</v>
      </c>
      <c r="J270">
        <v>100</v>
      </c>
      <c r="K270">
        <v>150</v>
      </c>
      <c r="L270">
        <v>44</v>
      </c>
      <c r="M270">
        <v>64</v>
      </c>
      <c r="N270">
        <v>11</v>
      </c>
      <c r="O270">
        <v>30</v>
      </c>
      <c r="P270">
        <v>2</v>
      </c>
      <c r="Q270" t="s">
        <v>568</v>
      </c>
      <c r="R270">
        <v>3</v>
      </c>
      <c r="S270">
        <v>100</v>
      </c>
      <c r="T270">
        <v>1</v>
      </c>
      <c r="U270">
        <v>8</v>
      </c>
      <c r="V270">
        <v>600</v>
      </c>
      <c r="W270">
        <v>6</v>
      </c>
      <c r="X270" t="s">
        <v>577</v>
      </c>
      <c r="Y270" s="16">
        <v>140</v>
      </c>
      <c r="Z270">
        <v>55</v>
      </c>
      <c r="AA270" s="16">
        <v>2</v>
      </c>
      <c r="AB270" s="16">
        <v>10</v>
      </c>
    </row>
    <row r="271" spans="1:28" x14ac:dyDescent="0.25">
      <c r="A271" t="s">
        <v>460</v>
      </c>
      <c r="B271" t="s">
        <v>461</v>
      </c>
      <c r="C271">
        <v>115203045</v>
      </c>
      <c r="D271" t="str">
        <f t="shared" si="5"/>
        <v>Toz, Bersu İrem-115203045</v>
      </c>
      <c r="E271" s="16">
        <v>12</v>
      </c>
      <c r="F271" s="16">
        <v>11.9</v>
      </c>
      <c r="G271" s="16">
        <v>11.5</v>
      </c>
      <c r="H271" s="16">
        <v>11.4</v>
      </c>
      <c r="I271">
        <v>4</v>
      </c>
      <c r="J271">
        <v>600</v>
      </c>
      <c r="K271">
        <v>100</v>
      </c>
      <c r="L271">
        <v>46</v>
      </c>
      <c r="M271">
        <v>62</v>
      </c>
      <c r="N271">
        <v>13</v>
      </c>
      <c r="O271">
        <v>20</v>
      </c>
      <c r="P271">
        <v>4</v>
      </c>
      <c r="Q271" t="s">
        <v>569</v>
      </c>
      <c r="R271">
        <v>3</v>
      </c>
      <c r="S271">
        <v>100</v>
      </c>
      <c r="T271">
        <v>3</v>
      </c>
      <c r="U271">
        <v>15</v>
      </c>
      <c r="V271">
        <v>600</v>
      </c>
      <c r="W271">
        <v>6</v>
      </c>
      <c r="X271" t="s">
        <v>577</v>
      </c>
      <c r="Y271" s="16">
        <v>150</v>
      </c>
      <c r="Z271">
        <v>70</v>
      </c>
      <c r="AA271" s="16">
        <v>2</v>
      </c>
      <c r="AB271" s="16">
        <v>10</v>
      </c>
    </row>
    <row r="272" spans="1:28" x14ac:dyDescent="0.25">
      <c r="A272" t="s">
        <v>462</v>
      </c>
      <c r="B272" t="s">
        <v>201</v>
      </c>
      <c r="C272">
        <v>113205023</v>
      </c>
      <c r="D272" t="str">
        <f t="shared" si="5"/>
        <v>Turan, Can-113205023</v>
      </c>
      <c r="E272" s="16">
        <v>15</v>
      </c>
      <c r="F272" s="16">
        <v>14.6</v>
      </c>
      <c r="G272" s="16">
        <v>14.5</v>
      </c>
      <c r="H272" s="16">
        <v>14.3</v>
      </c>
      <c r="I272">
        <v>3</v>
      </c>
      <c r="J272">
        <v>600</v>
      </c>
      <c r="K272">
        <v>110</v>
      </c>
      <c r="L272">
        <v>48</v>
      </c>
      <c r="M272">
        <v>65</v>
      </c>
      <c r="N272">
        <v>14</v>
      </c>
      <c r="O272">
        <v>20</v>
      </c>
      <c r="P272">
        <v>2</v>
      </c>
      <c r="Q272" t="s">
        <v>568</v>
      </c>
      <c r="R272">
        <v>2</v>
      </c>
      <c r="S272">
        <v>300</v>
      </c>
      <c r="T272">
        <v>1</v>
      </c>
      <c r="U272">
        <v>8</v>
      </c>
      <c r="V272">
        <v>500</v>
      </c>
      <c r="W272">
        <v>6</v>
      </c>
      <c r="X272" t="s">
        <v>577</v>
      </c>
      <c r="Y272" s="16">
        <v>120</v>
      </c>
      <c r="Z272">
        <v>60</v>
      </c>
      <c r="AA272" s="16">
        <v>2</v>
      </c>
      <c r="AB272" s="16">
        <v>10</v>
      </c>
    </row>
    <row r="273" spans="1:28" x14ac:dyDescent="0.25">
      <c r="A273" t="s">
        <v>462</v>
      </c>
      <c r="B273" t="s">
        <v>463</v>
      </c>
      <c r="C273">
        <v>113204025</v>
      </c>
      <c r="D273" t="str">
        <f t="shared" si="5"/>
        <v>Turan, Yekcan-113204025</v>
      </c>
      <c r="E273" s="16">
        <v>11</v>
      </c>
      <c r="F273" s="16">
        <v>10.9</v>
      </c>
      <c r="G273" s="16">
        <v>10.6</v>
      </c>
      <c r="H273" s="16">
        <v>10.199999999999999</v>
      </c>
      <c r="I273">
        <v>2</v>
      </c>
      <c r="J273">
        <v>500</v>
      </c>
      <c r="K273">
        <v>110</v>
      </c>
      <c r="L273">
        <v>53</v>
      </c>
      <c r="M273">
        <v>70</v>
      </c>
      <c r="N273">
        <v>12</v>
      </c>
      <c r="O273">
        <v>30</v>
      </c>
      <c r="P273">
        <v>2</v>
      </c>
      <c r="Q273" t="s">
        <v>568</v>
      </c>
      <c r="R273">
        <v>1</v>
      </c>
      <c r="S273">
        <v>300</v>
      </c>
      <c r="T273">
        <v>2</v>
      </c>
      <c r="U273">
        <v>10</v>
      </c>
      <c r="V273">
        <v>460</v>
      </c>
      <c r="W273">
        <v>3</v>
      </c>
      <c r="X273" t="s">
        <v>578</v>
      </c>
      <c r="Y273" s="16">
        <v>200</v>
      </c>
      <c r="Z273">
        <v>66</v>
      </c>
      <c r="AA273" s="16">
        <v>2</v>
      </c>
      <c r="AB273" s="16">
        <v>10</v>
      </c>
    </row>
    <row r="274" spans="1:28" x14ac:dyDescent="0.25">
      <c r="A274" t="s">
        <v>464</v>
      </c>
      <c r="B274" t="s">
        <v>465</v>
      </c>
      <c r="C274">
        <v>116204070</v>
      </c>
      <c r="D274" t="str">
        <f t="shared" si="5"/>
        <v>Türkay, Şehadet-116204070</v>
      </c>
      <c r="E274" s="16">
        <v>13</v>
      </c>
      <c r="F274" s="16">
        <v>12.7</v>
      </c>
      <c r="G274" s="16">
        <v>12.5</v>
      </c>
      <c r="H274" s="16">
        <v>12.1</v>
      </c>
      <c r="I274">
        <v>4</v>
      </c>
      <c r="J274">
        <v>900</v>
      </c>
      <c r="K274">
        <v>150</v>
      </c>
      <c r="L274">
        <v>41</v>
      </c>
      <c r="M274">
        <v>56</v>
      </c>
      <c r="N274">
        <v>13</v>
      </c>
      <c r="O274">
        <v>20</v>
      </c>
      <c r="P274">
        <v>2</v>
      </c>
      <c r="Q274" t="s">
        <v>568</v>
      </c>
      <c r="R274">
        <v>3</v>
      </c>
      <c r="S274">
        <v>100</v>
      </c>
      <c r="T274">
        <v>2</v>
      </c>
      <c r="U274">
        <v>10</v>
      </c>
      <c r="V274">
        <v>500</v>
      </c>
      <c r="W274">
        <v>6</v>
      </c>
      <c r="X274" t="s">
        <v>577</v>
      </c>
      <c r="Y274" s="16">
        <v>120</v>
      </c>
      <c r="Z274">
        <v>75</v>
      </c>
      <c r="AA274" s="16">
        <v>2</v>
      </c>
      <c r="AB274" s="16">
        <v>10</v>
      </c>
    </row>
    <row r="275" spans="1:28" x14ac:dyDescent="0.25">
      <c r="A275" t="s">
        <v>466</v>
      </c>
      <c r="B275" t="s">
        <v>467</v>
      </c>
      <c r="C275">
        <v>113200061</v>
      </c>
      <c r="D275" t="str">
        <f t="shared" si="5"/>
        <v>Türkeli, Anıl Emek-113200061</v>
      </c>
      <c r="E275" s="16">
        <v>12</v>
      </c>
      <c r="F275" s="16">
        <v>11.9</v>
      </c>
      <c r="G275" s="16">
        <v>11.4</v>
      </c>
      <c r="H275" s="16">
        <v>11</v>
      </c>
      <c r="I275">
        <v>4</v>
      </c>
      <c r="J275">
        <v>700</v>
      </c>
      <c r="K275">
        <v>110</v>
      </c>
      <c r="L275">
        <v>51</v>
      </c>
      <c r="M275">
        <v>67</v>
      </c>
      <c r="N275">
        <v>12</v>
      </c>
      <c r="O275">
        <v>20</v>
      </c>
      <c r="P275">
        <v>4</v>
      </c>
      <c r="Q275" t="s">
        <v>569</v>
      </c>
      <c r="R275">
        <v>3</v>
      </c>
      <c r="S275">
        <v>300</v>
      </c>
      <c r="T275">
        <v>2</v>
      </c>
      <c r="U275">
        <v>10</v>
      </c>
      <c r="V275">
        <v>410</v>
      </c>
      <c r="W275">
        <v>4</v>
      </c>
      <c r="X275" t="s">
        <v>579</v>
      </c>
      <c r="Y275" s="16">
        <v>130</v>
      </c>
      <c r="Z275">
        <v>61</v>
      </c>
      <c r="AA275" s="16">
        <v>1</v>
      </c>
      <c r="AB275" s="16">
        <v>8</v>
      </c>
    </row>
    <row r="276" spans="1:28" x14ac:dyDescent="0.25">
      <c r="A276" t="s">
        <v>468</v>
      </c>
      <c r="B276" t="s">
        <v>469</v>
      </c>
      <c r="C276">
        <v>116204062</v>
      </c>
      <c r="D276" t="str">
        <f t="shared" si="5"/>
        <v>Türker, Sabedin Berat-116204062</v>
      </c>
      <c r="E276" s="16">
        <v>15</v>
      </c>
      <c r="F276" s="16">
        <v>14.5</v>
      </c>
      <c r="G276" s="16">
        <v>14.3</v>
      </c>
      <c r="H276" s="16">
        <v>13.8</v>
      </c>
      <c r="I276">
        <v>3</v>
      </c>
      <c r="J276">
        <v>500</v>
      </c>
      <c r="K276">
        <v>90</v>
      </c>
      <c r="L276">
        <v>46</v>
      </c>
      <c r="M276">
        <v>59</v>
      </c>
      <c r="N276">
        <v>12</v>
      </c>
      <c r="O276">
        <v>40</v>
      </c>
      <c r="P276">
        <v>3</v>
      </c>
      <c r="Q276" t="s">
        <v>570</v>
      </c>
      <c r="R276">
        <v>2</v>
      </c>
      <c r="S276">
        <v>200</v>
      </c>
      <c r="T276">
        <v>1</v>
      </c>
      <c r="U276">
        <v>8</v>
      </c>
      <c r="V276">
        <v>510</v>
      </c>
      <c r="W276">
        <v>4</v>
      </c>
      <c r="X276" t="s">
        <v>579</v>
      </c>
      <c r="Y276" s="16">
        <v>180</v>
      </c>
      <c r="Z276">
        <v>86</v>
      </c>
      <c r="AA276" s="16">
        <v>2</v>
      </c>
      <c r="AB276" s="16">
        <v>10</v>
      </c>
    </row>
    <row r="277" spans="1:28" x14ac:dyDescent="0.25">
      <c r="A277" t="s">
        <v>470</v>
      </c>
      <c r="B277" t="s">
        <v>309</v>
      </c>
      <c r="C277">
        <v>115202078</v>
      </c>
      <c r="D277" t="str">
        <f t="shared" si="5"/>
        <v>Uçar, Büşra-115202078</v>
      </c>
      <c r="E277" s="16">
        <v>12</v>
      </c>
      <c r="F277" s="16">
        <v>11.7</v>
      </c>
      <c r="G277" s="16">
        <v>11.2</v>
      </c>
      <c r="H277" s="16">
        <v>10.7</v>
      </c>
      <c r="I277">
        <v>2</v>
      </c>
      <c r="J277">
        <v>700</v>
      </c>
      <c r="K277">
        <v>130</v>
      </c>
      <c r="L277">
        <v>46</v>
      </c>
      <c r="M277">
        <v>57</v>
      </c>
      <c r="N277">
        <v>10</v>
      </c>
      <c r="O277">
        <v>20</v>
      </c>
      <c r="P277">
        <v>3</v>
      </c>
      <c r="Q277" t="s">
        <v>570</v>
      </c>
      <c r="R277">
        <v>1</v>
      </c>
      <c r="S277">
        <v>200</v>
      </c>
      <c r="T277">
        <v>3</v>
      </c>
      <c r="U277">
        <v>15</v>
      </c>
      <c r="V277">
        <v>480</v>
      </c>
      <c r="W277">
        <v>6</v>
      </c>
      <c r="X277" t="s">
        <v>577</v>
      </c>
      <c r="Y277" s="16">
        <v>130</v>
      </c>
      <c r="Z277">
        <v>38</v>
      </c>
      <c r="AA277" s="16">
        <v>3</v>
      </c>
      <c r="AB277" s="16">
        <v>15</v>
      </c>
    </row>
    <row r="278" spans="1:28" x14ac:dyDescent="0.25">
      <c r="A278" t="s">
        <v>471</v>
      </c>
      <c r="B278" t="s">
        <v>368</v>
      </c>
      <c r="C278">
        <v>115205023</v>
      </c>
      <c r="D278" t="str">
        <f t="shared" si="5"/>
        <v>Uçarer, Anıl-115205023</v>
      </c>
      <c r="E278" s="16">
        <v>11</v>
      </c>
      <c r="F278" s="16">
        <v>10.6</v>
      </c>
      <c r="G278" s="16">
        <v>10.5</v>
      </c>
      <c r="H278" s="16">
        <v>10.4</v>
      </c>
      <c r="I278">
        <v>3</v>
      </c>
      <c r="J278">
        <v>800</v>
      </c>
      <c r="K278">
        <v>170</v>
      </c>
      <c r="L278">
        <v>41</v>
      </c>
      <c r="M278">
        <v>54</v>
      </c>
      <c r="N278">
        <v>15</v>
      </c>
      <c r="O278">
        <v>40</v>
      </c>
      <c r="P278">
        <v>3</v>
      </c>
      <c r="Q278" t="s">
        <v>570</v>
      </c>
      <c r="R278">
        <v>2</v>
      </c>
      <c r="S278">
        <v>100</v>
      </c>
      <c r="T278">
        <v>1</v>
      </c>
      <c r="U278">
        <v>8</v>
      </c>
      <c r="V278">
        <v>560</v>
      </c>
      <c r="W278">
        <v>4</v>
      </c>
      <c r="X278" t="s">
        <v>579</v>
      </c>
      <c r="Y278" s="16">
        <v>180</v>
      </c>
      <c r="Z278">
        <v>51</v>
      </c>
      <c r="AA278" s="16">
        <v>1</v>
      </c>
      <c r="AB278" s="16">
        <v>8</v>
      </c>
    </row>
    <row r="279" spans="1:28" x14ac:dyDescent="0.25">
      <c r="A279" t="s">
        <v>472</v>
      </c>
      <c r="B279" t="s">
        <v>424</v>
      </c>
      <c r="C279">
        <v>115205109</v>
      </c>
      <c r="D279" t="str">
        <f t="shared" si="5"/>
        <v>Uğurlu, Sedat-115205109</v>
      </c>
      <c r="E279" s="16">
        <v>12</v>
      </c>
      <c r="F279" s="16">
        <v>11.8</v>
      </c>
      <c r="G279" s="16">
        <v>11.600000000000001</v>
      </c>
      <c r="H279" s="16">
        <v>11.500000000000002</v>
      </c>
      <c r="I279">
        <v>4</v>
      </c>
      <c r="J279">
        <v>900</v>
      </c>
      <c r="K279">
        <v>180</v>
      </c>
      <c r="L279">
        <v>48</v>
      </c>
      <c r="M279">
        <v>60</v>
      </c>
      <c r="N279">
        <v>14</v>
      </c>
      <c r="O279">
        <v>30</v>
      </c>
      <c r="P279">
        <v>2</v>
      </c>
      <c r="Q279" t="s">
        <v>568</v>
      </c>
      <c r="R279">
        <v>3</v>
      </c>
      <c r="S279">
        <v>300</v>
      </c>
      <c r="T279">
        <v>3</v>
      </c>
      <c r="U279">
        <v>15</v>
      </c>
      <c r="V279">
        <v>550</v>
      </c>
      <c r="W279">
        <v>4</v>
      </c>
      <c r="X279" t="s">
        <v>579</v>
      </c>
      <c r="Y279" s="16">
        <v>170</v>
      </c>
      <c r="Z279">
        <v>70</v>
      </c>
      <c r="AA279" s="16">
        <v>2</v>
      </c>
      <c r="AB279" s="16">
        <v>10</v>
      </c>
    </row>
    <row r="280" spans="1:28" x14ac:dyDescent="0.25">
      <c r="A280" t="s">
        <v>472</v>
      </c>
      <c r="B280" t="s">
        <v>403</v>
      </c>
      <c r="C280">
        <v>115200110</v>
      </c>
      <c r="D280" t="str">
        <f t="shared" si="5"/>
        <v>Uğurlu, Yağız-115200110</v>
      </c>
      <c r="E280" s="16">
        <v>15</v>
      </c>
      <c r="F280" s="16">
        <v>14.7</v>
      </c>
      <c r="G280" s="16">
        <v>14.6</v>
      </c>
      <c r="H280" s="16">
        <v>14.5</v>
      </c>
      <c r="I280">
        <v>4</v>
      </c>
      <c r="J280">
        <v>800</v>
      </c>
      <c r="K280">
        <v>130</v>
      </c>
      <c r="L280">
        <v>48</v>
      </c>
      <c r="M280">
        <v>62</v>
      </c>
      <c r="N280">
        <v>14</v>
      </c>
      <c r="O280">
        <v>30</v>
      </c>
      <c r="P280">
        <v>2</v>
      </c>
      <c r="Q280" t="s">
        <v>568</v>
      </c>
      <c r="R280">
        <v>3</v>
      </c>
      <c r="S280">
        <v>300</v>
      </c>
      <c r="T280">
        <v>3</v>
      </c>
      <c r="U280">
        <v>15</v>
      </c>
      <c r="V280">
        <v>600</v>
      </c>
      <c r="W280">
        <v>4</v>
      </c>
      <c r="X280" t="s">
        <v>579</v>
      </c>
      <c r="Y280" s="16">
        <v>180</v>
      </c>
      <c r="Z280">
        <v>90</v>
      </c>
      <c r="AA280" s="16">
        <v>1</v>
      </c>
      <c r="AB280" s="16">
        <v>8</v>
      </c>
    </row>
    <row r="281" spans="1:28" x14ac:dyDescent="0.25">
      <c r="A281" t="s">
        <v>472</v>
      </c>
      <c r="B281" t="s">
        <v>473</v>
      </c>
      <c r="C281">
        <v>112200054</v>
      </c>
      <c r="D281" t="str">
        <f t="shared" si="5"/>
        <v>Uğurlu, Özden Kübra-112200054</v>
      </c>
      <c r="E281" s="16">
        <v>14</v>
      </c>
      <c r="F281" s="16">
        <v>13.5</v>
      </c>
      <c r="G281" s="16">
        <v>13.1</v>
      </c>
      <c r="H281" s="16">
        <v>12.6</v>
      </c>
      <c r="I281">
        <v>3</v>
      </c>
      <c r="J281">
        <v>800</v>
      </c>
      <c r="K281">
        <v>130</v>
      </c>
      <c r="L281">
        <v>46</v>
      </c>
      <c r="M281">
        <v>59</v>
      </c>
      <c r="N281">
        <v>10</v>
      </c>
      <c r="O281">
        <v>20</v>
      </c>
      <c r="P281">
        <v>4</v>
      </c>
      <c r="Q281" t="s">
        <v>569</v>
      </c>
      <c r="R281">
        <v>2</v>
      </c>
      <c r="S281">
        <v>200</v>
      </c>
      <c r="T281">
        <v>3</v>
      </c>
      <c r="U281">
        <v>15</v>
      </c>
      <c r="V281">
        <v>480</v>
      </c>
      <c r="W281">
        <v>6</v>
      </c>
      <c r="X281" t="s">
        <v>577</v>
      </c>
      <c r="Y281" s="16">
        <v>110</v>
      </c>
      <c r="Z281">
        <v>78</v>
      </c>
      <c r="AA281" s="16">
        <v>2</v>
      </c>
      <c r="AB281" s="16">
        <v>10</v>
      </c>
    </row>
    <row r="282" spans="1:28" x14ac:dyDescent="0.25">
      <c r="A282" t="s">
        <v>474</v>
      </c>
      <c r="B282" t="s">
        <v>43</v>
      </c>
      <c r="C282">
        <v>114205062</v>
      </c>
      <c r="D282" t="str">
        <f t="shared" si="5"/>
        <v>Ulu, Furkan-114205062</v>
      </c>
      <c r="E282" s="16">
        <v>11</v>
      </c>
      <c r="F282" s="16">
        <v>10.7</v>
      </c>
      <c r="G282" s="16">
        <v>10.399999999999999</v>
      </c>
      <c r="H282" s="16">
        <v>10.099999999999998</v>
      </c>
      <c r="I282">
        <v>4</v>
      </c>
      <c r="J282">
        <v>800</v>
      </c>
      <c r="K282">
        <v>160</v>
      </c>
      <c r="L282">
        <v>48</v>
      </c>
      <c r="M282">
        <v>67</v>
      </c>
      <c r="N282">
        <v>13</v>
      </c>
      <c r="O282">
        <v>40</v>
      </c>
      <c r="P282">
        <v>3</v>
      </c>
      <c r="Q282" t="s">
        <v>570</v>
      </c>
      <c r="R282">
        <v>3</v>
      </c>
      <c r="S282">
        <v>400</v>
      </c>
      <c r="T282">
        <v>2</v>
      </c>
      <c r="U282">
        <v>10</v>
      </c>
      <c r="V282">
        <v>470</v>
      </c>
      <c r="W282">
        <v>4</v>
      </c>
      <c r="X282" t="s">
        <v>579</v>
      </c>
      <c r="Y282" s="16">
        <v>160</v>
      </c>
      <c r="Z282">
        <v>87</v>
      </c>
      <c r="AA282" s="16">
        <v>3</v>
      </c>
      <c r="AB282" s="16">
        <v>15</v>
      </c>
    </row>
    <row r="283" spans="1:28" x14ac:dyDescent="0.25">
      <c r="A283" t="s">
        <v>475</v>
      </c>
      <c r="B283" t="s">
        <v>476</v>
      </c>
      <c r="C283">
        <v>115203066</v>
      </c>
      <c r="D283" t="str">
        <f t="shared" si="5"/>
        <v>Uluhansın, Orkun-115203066</v>
      </c>
      <c r="E283" s="16">
        <v>13</v>
      </c>
      <c r="F283" s="16">
        <v>12.9</v>
      </c>
      <c r="G283" s="16">
        <v>12.700000000000001</v>
      </c>
      <c r="H283" s="16">
        <v>12.500000000000002</v>
      </c>
      <c r="I283">
        <v>4</v>
      </c>
      <c r="J283">
        <v>800</v>
      </c>
      <c r="K283">
        <v>80</v>
      </c>
      <c r="L283">
        <v>44</v>
      </c>
      <c r="M283">
        <v>55</v>
      </c>
      <c r="N283">
        <v>11</v>
      </c>
      <c r="O283">
        <v>20</v>
      </c>
      <c r="P283">
        <v>3</v>
      </c>
      <c r="Q283" t="s">
        <v>570</v>
      </c>
      <c r="R283">
        <v>3</v>
      </c>
      <c r="S283">
        <v>200</v>
      </c>
      <c r="T283">
        <v>2</v>
      </c>
      <c r="U283">
        <v>10</v>
      </c>
      <c r="V283">
        <v>450</v>
      </c>
      <c r="W283">
        <v>5</v>
      </c>
      <c r="X283" t="s">
        <v>576</v>
      </c>
      <c r="Y283" s="16">
        <v>130</v>
      </c>
      <c r="Z283">
        <v>75</v>
      </c>
      <c r="AA283" s="16">
        <v>3</v>
      </c>
      <c r="AB283" s="16">
        <v>15</v>
      </c>
    </row>
    <row r="284" spans="1:28" x14ac:dyDescent="0.25">
      <c r="A284" t="s">
        <v>477</v>
      </c>
      <c r="B284" t="s">
        <v>478</v>
      </c>
      <c r="C284">
        <v>114205017</v>
      </c>
      <c r="D284" t="str">
        <f t="shared" si="5"/>
        <v>Ulusoy, Eylül-114205017</v>
      </c>
      <c r="E284" s="16">
        <v>14</v>
      </c>
      <c r="F284" s="16">
        <v>13.9</v>
      </c>
      <c r="G284" s="16">
        <v>13.6</v>
      </c>
      <c r="H284" s="16">
        <v>13.4</v>
      </c>
      <c r="I284">
        <v>3</v>
      </c>
      <c r="J284">
        <v>900</v>
      </c>
      <c r="K284">
        <v>130</v>
      </c>
      <c r="L284">
        <v>45</v>
      </c>
      <c r="M284">
        <v>55</v>
      </c>
      <c r="N284">
        <v>12</v>
      </c>
      <c r="O284">
        <v>40</v>
      </c>
      <c r="P284">
        <v>4</v>
      </c>
      <c r="Q284" t="s">
        <v>569</v>
      </c>
      <c r="R284">
        <v>2</v>
      </c>
      <c r="S284">
        <v>100</v>
      </c>
      <c r="T284">
        <v>3</v>
      </c>
      <c r="U284">
        <v>15</v>
      </c>
      <c r="V284">
        <v>470</v>
      </c>
      <c r="W284">
        <v>5</v>
      </c>
      <c r="X284" t="s">
        <v>576</v>
      </c>
      <c r="Y284" s="16">
        <v>130</v>
      </c>
      <c r="Z284">
        <v>42</v>
      </c>
      <c r="AA284" s="16">
        <v>3</v>
      </c>
      <c r="AB284" s="16">
        <v>15</v>
      </c>
    </row>
    <row r="285" spans="1:28" x14ac:dyDescent="0.25">
      <c r="A285" t="s">
        <v>484</v>
      </c>
      <c r="B285" t="s">
        <v>485</v>
      </c>
      <c r="C285">
        <v>114204014</v>
      </c>
      <c r="D285" t="str">
        <f t="shared" si="5"/>
        <v>Uras, Ege Salih-114204014</v>
      </c>
      <c r="E285" s="16">
        <v>15</v>
      </c>
      <c r="F285" s="16">
        <v>14.6</v>
      </c>
      <c r="G285" s="16">
        <v>14.299999999999999</v>
      </c>
      <c r="H285" s="16">
        <v>13.899999999999999</v>
      </c>
      <c r="I285">
        <v>2</v>
      </c>
      <c r="J285">
        <v>300</v>
      </c>
      <c r="K285">
        <v>140</v>
      </c>
      <c r="L285">
        <v>46</v>
      </c>
      <c r="M285">
        <v>62</v>
      </c>
      <c r="N285">
        <v>12</v>
      </c>
      <c r="O285">
        <v>40</v>
      </c>
      <c r="P285">
        <v>2</v>
      </c>
      <c r="Q285" t="s">
        <v>568</v>
      </c>
      <c r="R285">
        <v>1</v>
      </c>
      <c r="S285">
        <v>100</v>
      </c>
      <c r="T285">
        <v>2</v>
      </c>
      <c r="U285">
        <v>10</v>
      </c>
      <c r="V285">
        <v>580</v>
      </c>
      <c r="W285">
        <v>6</v>
      </c>
      <c r="X285" t="s">
        <v>577</v>
      </c>
      <c r="Y285" s="16">
        <v>140</v>
      </c>
      <c r="Z285">
        <v>88</v>
      </c>
      <c r="AA285" s="16">
        <v>1</v>
      </c>
      <c r="AB285" s="16">
        <v>8</v>
      </c>
    </row>
    <row r="286" spans="1:28" x14ac:dyDescent="0.25">
      <c r="A286" t="s">
        <v>486</v>
      </c>
      <c r="B286" t="s">
        <v>487</v>
      </c>
      <c r="C286">
        <v>116204026</v>
      </c>
      <c r="D286" t="str">
        <f t="shared" si="5"/>
        <v>Urgancı, Hakkı-116204026</v>
      </c>
      <c r="E286" s="16">
        <v>12</v>
      </c>
      <c r="F286" s="16">
        <v>11.8</v>
      </c>
      <c r="G286" s="16">
        <v>11.3</v>
      </c>
      <c r="H286" s="16">
        <v>11.200000000000001</v>
      </c>
      <c r="I286">
        <v>3</v>
      </c>
      <c r="J286">
        <v>200</v>
      </c>
      <c r="K286">
        <v>130</v>
      </c>
      <c r="L286">
        <v>44</v>
      </c>
      <c r="M286">
        <v>62</v>
      </c>
      <c r="N286">
        <v>10</v>
      </c>
      <c r="O286">
        <v>40</v>
      </c>
      <c r="P286">
        <v>2</v>
      </c>
      <c r="Q286" t="s">
        <v>568</v>
      </c>
      <c r="R286">
        <v>2</v>
      </c>
      <c r="S286">
        <v>400</v>
      </c>
      <c r="T286">
        <v>3</v>
      </c>
      <c r="U286">
        <v>15</v>
      </c>
      <c r="V286">
        <v>570</v>
      </c>
      <c r="W286">
        <v>4</v>
      </c>
      <c r="X286" t="s">
        <v>579</v>
      </c>
      <c r="Y286" s="16">
        <v>180</v>
      </c>
      <c r="Z286">
        <v>82</v>
      </c>
      <c r="AA286" s="16">
        <v>1</v>
      </c>
      <c r="AB286" s="16">
        <v>8</v>
      </c>
    </row>
    <row r="287" spans="1:28" x14ac:dyDescent="0.25">
      <c r="A287" t="s">
        <v>488</v>
      </c>
      <c r="B287" t="s">
        <v>112</v>
      </c>
      <c r="C287">
        <v>115206075</v>
      </c>
      <c r="D287" t="str">
        <f t="shared" si="5"/>
        <v>Usta, Dilara-115206075</v>
      </c>
      <c r="E287" s="16">
        <v>12</v>
      </c>
      <c r="F287" s="16">
        <v>11.9</v>
      </c>
      <c r="G287" s="16">
        <v>11.8</v>
      </c>
      <c r="H287" s="16">
        <v>11.3</v>
      </c>
      <c r="I287">
        <v>3</v>
      </c>
      <c r="J287">
        <v>200</v>
      </c>
      <c r="K287">
        <v>120</v>
      </c>
      <c r="L287">
        <v>47</v>
      </c>
      <c r="M287">
        <v>58</v>
      </c>
      <c r="N287">
        <v>11</v>
      </c>
      <c r="O287">
        <v>40</v>
      </c>
      <c r="P287">
        <v>4</v>
      </c>
      <c r="Q287" t="s">
        <v>569</v>
      </c>
      <c r="R287">
        <v>2</v>
      </c>
      <c r="S287">
        <v>100</v>
      </c>
      <c r="T287">
        <v>3</v>
      </c>
      <c r="U287">
        <v>15</v>
      </c>
      <c r="V287">
        <v>420</v>
      </c>
      <c r="W287">
        <v>6</v>
      </c>
      <c r="X287" t="s">
        <v>577</v>
      </c>
      <c r="Y287" s="16">
        <v>110</v>
      </c>
      <c r="Z287">
        <v>62</v>
      </c>
      <c r="AA287" s="16">
        <v>2</v>
      </c>
      <c r="AB287" s="16">
        <v>10</v>
      </c>
    </row>
    <row r="288" spans="1:28" x14ac:dyDescent="0.25">
      <c r="A288" t="s">
        <v>490</v>
      </c>
      <c r="B288" t="s">
        <v>491</v>
      </c>
      <c r="C288">
        <v>114201017</v>
      </c>
      <c r="D288" t="str">
        <f t="shared" si="5"/>
        <v>Uysalcan, Şevval-114201017</v>
      </c>
      <c r="E288" s="16">
        <v>14</v>
      </c>
      <c r="F288" s="16">
        <v>13.8</v>
      </c>
      <c r="G288" s="16">
        <v>13.3</v>
      </c>
      <c r="H288" s="16">
        <v>12.8</v>
      </c>
      <c r="I288">
        <v>4</v>
      </c>
      <c r="J288">
        <v>600</v>
      </c>
      <c r="K288">
        <v>160</v>
      </c>
      <c r="L288">
        <v>47</v>
      </c>
      <c r="M288">
        <v>65</v>
      </c>
      <c r="N288">
        <v>15</v>
      </c>
      <c r="O288">
        <v>30</v>
      </c>
      <c r="P288">
        <v>4</v>
      </c>
      <c r="Q288" t="s">
        <v>569</v>
      </c>
      <c r="R288">
        <v>3</v>
      </c>
      <c r="S288">
        <v>300</v>
      </c>
      <c r="T288">
        <v>1</v>
      </c>
      <c r="U288">
        <v>8</v>
      </c>
      <c r="V288">
        <v>600</v>
      </c>
      <c r="W288">
        <v>5</v>
      </c>
      <c r="X288" t="s">
        <v>576</v>
      </c>
      <c r="Y288" s="16">
        <v>150</v>
      </c>
      <c r="Z288">
        <v>95</v>
      </c>
      <c r="AA288" s="16">
        <v>3</v>
      </c>
      <c r="AB288" s="16">
        <v>15</v>
      </c>
    </row>
    <row r="289" spans="1:28" x14ac:dyDescent="0.25">
      <c r="A289" t="s">
        <v>492</v>
      </c>
      <c r="B289" t="s">
        <v>493</v>
      </c>
      <c r="C289">
        <v>116203023</v>
      </c>
      <c r="D289" t="str">
        <f t="shared" si="5"/>
        <v>Uziyel, Naz Suzan-116203023</v>
      </c>
      <c r="E289" s="16">
        <v>14</v>
      </c>
      <c r="F289" s="16">
        <v>13.7</v>
      </c>
      <c r="G289" s="16">
        <v>13.5</v>
      </c>
      <c r="H289" s="16">
        <v>13.2</v>
      </c>
      <c r="I289">
        <v>2</v>
      </c>
      <c r="J289">
        <v>200</v>
      </c>
      <c r="K289">
        <v>130</v>
      </c>
      <c r="L289">
        <v>48</v>
      </c>
      <c r="M289">
        <v>60</v>
      </c>
      <c r="N289">
        <v>10</v>
      </c>
      <c r="O289">
        <v>20</v>
      </c>
      <c r="P289">
        <v>3</v>
      </c>
      <c r="Q289" t="s">
        <v>570</v>
      </c>
      <c r="R289">
        <v>1</v>
      </c>
      <c r="S289">
        <v>100</v>
      </c>
      <c r="T289">
        <v>3</v>
      </c>
      <c r="U289">
        <v>15</v>
      </c>
      <c r="V289">
        <v>600</v>
      </c>
      <c r="W289">
        <v>3</v>
      </c>
      <c r="X289" t="s">
        <v>578</v>
      </c>
      <c r="Y289" s="16">
        <v>240</v>
      </c>
      <c r="Z289">
        <v>75</v>
      </c>
      <c r="AA289" s="16">
        <v>2</v>
      </c>
      <c r="AB289" s="16">
        <v>10</v>
      </c>
    </row>
    <row r="290" spans="1:28" x14ac:dyDescent="0.25">
      <c r="A290" t="s">
        <v>496</v>
      </c>
      <c r="B290" t="s">
        <v>43</v>
      </c>
      <c r="C290">
        <v>114200034</v>
      </c>
      <c r="D290" t="str">
        <f t="shared" si="5"/>
        <v>Uzun, Furkan-114200034</v>
      </c>
      <c r="E290" s="16">
        <v>11</v>
      </c>
      <c r="F290" s="16">
        <v>10.8</v>
      </c>
      <c r="G290" s="16">
        <v>10.5</v>
      </c>
      <c r="H290" s="16">
        <v>10.1</v>
      </c>
      <c r="I290">
        <v>4</v>
      </c>
      <c r="J290">
        <v>400</v>
      </c>
      <c r="K290">
        <v>120</v>
      </c>
      <c r="L290">
        <v>41</v>
      </c>
      <c r="M290">
        <v>54</v>
      </c>
      <c r="N290">
        <v>13</v>
      </c>
      <c r="O290">
        <v>40</v>
      </c>
      <c r="P290">
        <v>4</v>
      </c>
      <c r="Q290" t="s">
        <v>569</v>
      </c>
      <c r="R290">
        <v>3</v>
      </c>
      <c r="S290">
        <v>400</v>
      </c>
      <c r="T290">
        <v>1</v>
      </c>
      <c r="U290">
        <v>8</v>
      </c>
      <c r="V290">
        <v>540</v>
      </c>
      <c r="W290">
        <v>5</v>
      </c>
      <c r="X290" t="s">
        <v>576</v>
      </c>
      <c r="Y290" s="16">
        <v>160</v>
      </c>
      <c r="Z290">
        <v>49</v>
      </c>
      <c r="AA290" s="16">
        <v>2</v>
      </c>
      <c r="AB290" s="16">
        <v>10</v>
      </c>
    </row>
    <row r="291" spans="1:28" x14ac:dyDescent="0.25">
      <c r="A291" t="s">
        <v>496</v>
      </c>
      <c r="B291" t="s">
        <v>497</v>
      </c>
      <c r="C291">
        <v>113202065</v>
      </c>
      <c r="D291" t="str">
        <f t="shared" si="5"/>
        <v>Uzun, Yiğit-113202065</v>
      </c>
      <c r="E291" s="16">
        <v>12</v>
      </c>
      <c r="F291" s="16">
        <v>11.7</v>
      </c>
      <c r="G291" s="16">
        <v>11.299999999999999</v>
      </c>
      <c r="H291" s="16">
        <v>10.999999999999998</v>
      </c>
      <c r="I291">
        <v>4</v>
      </c>
      <c r="J291">
        <v>200</v>
      </c>
      <c r="K291">
        <v>160</v>
      </c>
      <c r="L291">
        <v>40</v>
      </c>
      <c r="M291">
        <v>54</v>
      </c>
      <c r="N291">
        <v>12</v>
      </c>
      <c r="O291">
        <v>40</v>
      </c>
      <c r="P291">
        <v>2</v>
      </c>
      <c r="Q291" t="s">
        <v>568</v>
      </c>
      <c r="R291">
        <v>3</v>
      </c>
      <c r="S291">
        <v>300</v>
      </c>
      <c r="T291">
        <v>2</v>
      </c>
      <c r="U291">
        <v>10</v>
      </c>
      <c r="V291">
        <v>430</v>
      </c>
      <c r="W291">
        <v>4</v>
      </c>
      <c r="X291" t="s">
        <v>579</v>
      </c>
      <c r="Y291" s="16">
        <v>160</v>
      </c>
      <c r="Z291">
        <v>58</v>
      </c>
      <c r="AA291" s="16">
        <v>3</v>
      </c>
      <c r="AB291" s="16">
        <v>15</v>
      </c>
    </row>
    <row r="292" spans="1:28" x14ac:dyDescent="0.25">
      <c r="A292" t="s">
        <v>498</v>
      </c>
      <c r="B292" t="s">
        <v>499</v>
      </c>
      <c r="C292">
        <v>115204024</v>
      </c>
      <c r="D292" t="str">
        <f t="shared" si="5"/>
        <v>Uzunkaya, Hıdır-115204024</v>
      </c>
      <c r="E292" s="16">
        <v>12</v>
      </c>
      <c r="F292" s="16">
        <v>11.5</v>
      </c>
      <c r="G292" s="16">
        <v>11.3</v>
      </c>
      <c r="H292" s="16">
        <v>11.100000000000001</v>
      </c>
      <c r="I292">
        <v>4</v>
      </c>
      <c r="J292">
        <v>500</v>
      </c>
      <c r="K292">
        <v>170</v>
      </c>
      <c r="L292">
        <v>47</v>
      </c>
      <c r="M292">
        <v>57</v>
      </c>
      <c r="N292">
        <v>13</v>
      </c>
      <c r="O292">
        <v>20</v>
      </c>
      <c r="P292">
        <v>2</v>
      </c>
      <c r="Q292" t="s">
        <v>568</v>
      </c>
      <c r="R292">
        <v>3</v>
      </c>
      <c r="S292">
        <v>300</v>
      </c>
      <c r="T292">
        <v>2</v>
      </c>
      <c r="U292">
        <v>10</v>
      </c>
      <c r="V292">
        <v>430</v>
      </c>
      <c r="W292">
        <v>5</v>
      </c>
      <c r="X292" t="s">
        <v>576</v>
      </c>
      <c r="Y292" s="16">
        <v>130</v>
      </c>
      <c r="Z292">
        <v>63</v>
      </c>
      <c r="AA292" s="16">
        <v>3</v>
      </c>
      <c r="AB292" s="16">
        <v>15</v>
      </c>
    </row>
    <row r="293" spans="1:28" x14ac:dyDescent="0.25">
      <c r="A293" t="s">
        <v>479</v>
      </c>
      <c r="B293" t="s">
        <v>480</v>
      </c>
      <c r="C293">
        <v>114203052</v>
      </c>
      <c r="D293" t="str">
        <f t="shared" si="5"/>
        <v>Ünal, Canberk-114203052</v>
      </c>
      <c r="E293" s="16">
        <v>12</v>
      </c>
      <c r="F293" s="16">
        <v>11.6</v>
      </c>
      <c r="G293" s="16">
        <v>11.1</v>
      </c>
      <c r="H293" s="16">
        <v>10.9</v>
      </c>
      <c r="I293">
        <v>3</v>
      </c>
      <c r="J293">
        <v>700</v>
      </c>
      <c r="K293">
        <v>160</v>
      </c>
      <c r="L293">
        <v>55</v>
      </c>
      <c r="M293">
        <v>66</v>
      </c>
      <c r="N293">
        <v>11</v>
      </c>
      <c r="O293">
        <v>20</v>
      </c>
      <c r="P293">
        <v>3</v>
      </c>
      <c r="Q293" t="s">
        <v>570</v>
      </c>
      <c r="R293">
        <v>2</v>
      </c>
      <c r="S293">
        <v>300</v>
      </c>
      <c r="T293">
        <v>3</v>
      </c>
      <c r="U293">
        <v>15</v>
      </c>
      <c r="V293">
        <v>530</v>
      </c>
      <c r="W293">
        <v>6</v>
      </c>
      <c r="X293" t="s">
        <v>577</v>
      </c>
      <c r="Y293" s="16">
        <v>120</v>
      </c>
      <c r="Z293">
        <v>93</v>
      </c>
      <c r="AA293" s="16">
        <v>1</v>
      </c>
      <c r="AB293" s="16">
        <v>8</v>
      </c>
    </row>
    <row r="294" spans="1:28" x14ac:dyDescent="0.25">
      <c r="A294" t="s">
        <v>479</v>
      </c>
      <c r="B294" t="s">
        <v>481</v>
      </c>
      <c r="C294">
        <v>115204030</v>
      </c>
      <c r="D294" t="str">
        <f t="shared" si="5"/>
        <v>Ünal, Ufuk-115204030</v>
      </c>
      <c r="E294" s="16">
        <v>13</v>
      </c>
      <c r="F294" s="16">
        <v>12.7</v>
      </c>
      <c r="G294" s="16">
        <v>12.2</v>
      </c>
      <c r="H294" s="16">
        <v>12</v>
      </c>
      <c r="I294">
        <v>2</v>
      </c>
      <c r="J294">
        <v>800</v>
      </c>
      <c r="K294">
        <v>80</v>
      </c>
      <c r="L294">
        <v>40</v>
      </c>
      <c r="M294">
        <v>57</v>
      </c>
      <c r="N294">
        <v>15</v>
      </c>
      <c r="O294">
        <v>30</v>
      </c>
      <c r="P294">
        <v>3</v>
      </c>
      <c r="Q294" t="s">
        <v>570</v>
      </c>
      <c r="R294">
        <v>1</v>
      </c>
      <c r="S294">
        <v>200</v>
      </c>
      <c r="T294">
        <v>3</v>
      </c>
      <c r="U294">
        <v>15</v>
      </c>
      <c r="V294">
        <v>460</v>
      </c>
      <c r="W294">
        <v>4</v>
      </c>
      <c r="X294" t="s">
        <v>579</v>
      </c>
      <c r="Y294" s="16">
        <v>160</v>
      </c>
      <c r="Z294">
        <v>51</v>
      </c>
      <c r="AA294" s="16">
        <v>1</v>
      </c>
      <c r="AB294" s="16">
        <v>8</v>
      </c>
    </row>
    <row r="295" spans="1:28" x14ac:dyDescent="0.25">
      <c r="A295" t="s">
        <v>482</v>
      </c>
      <c r="B295" t="s">
        <v>483</v>
      </c>
      <c r="C295">
        <v>114206072</v>
      </c>
      <c r="D295" t="str">
        <f t="shared" si="5"/>
        <v>Ünver, Batuhan-114206072</v>
      </c>
      <c r="E295" s="16">
        <v>13</v>
      </c>
      <c r="F295" s="16">
        <v>12.6</v>
      </c>
      <c r="G295" s="16">
        <v>12.1</v>
      </c>
      <c r="H295" s="16">
        <v>12</v>
      </c>
      <c r="I295">
        <v>3</v>
      </c>
      <c r="J295">
        <v>800</v>
      </c>
      <c r="K295">
        <v>170</v>
      </c>
      <c r="L295">
        <v>55</v>
      </c>
      <c r="M295">
        <v>66</v>
      </c>
      <c r="N295">
        <v>10</v>
      </c>
      <c r="O295">
        <v>30</v>
      </c>
      <c r="P295">
        <v>3</v>
      </c>
      <c r="Q295" t="s">
        <v>570</v>
      </c>
      <c r="R295">
        <v>2</v>
      </c>
      <c r="S295">
        <v>400</v>
      </c>
      <c r="T295">
        <v>1</v>
      </c>
      <c r="U295">
        <v>8</v>
      </c>
      <c r="V295">
        <v>510</v>
      </c>
      <c r="W295">
        <v>3</v>
      </c>
      <c r="X295" t="s">
        <v>578</v>
      </c>
      <c r="Y295" s="16">
        <v>200</v>
      </c>
      <c r="Z295">
        <v>51</v>
      </c>
      <c r="AA295" s="16">
        <v>3</v>
      </c>
      <c r="AB295" s="16">
        <v>15</v>
      </c>
    </row>
    <row r="296" spans="1:28" x14ac:dyDescent="0.25">
      <c r="A296" t="s">
        <v>489</v>
      </c>
      <c r="B296" t="s">
        <v>121</v>
      </c>
      <c r="C296">
        <v>115202120</v>
      </c>
      <c r="D296" t="str">
        <f t="shared" si="5"/>
        <v>Üstün, Onur-115202120</v>
      </c>
      <c r="E296" s="16">
        <v>11</v>
      </c>
      <c r="F296" s="16">
        <v>10.6</v>
      </c>
      <c r="G296" s="16">
        <v>10.4</v>
      </c>
      <c r="H296" s="16">
        <v>10.200000000000001</v>
      </c>
      <c r="I296">
        <v>2</v>
      </c>
      <c r="J296">
        <v>100</v>
      </c>
      <c r="K296">
        <v>150</v>
      </c>
      <c r="L296">
        <v>41</v>
      </c>
      <c r="M296">
        <v>59</v>
      </c>
      <c r="N296">
        <v>10</v>
      </c>
      <c r="O296">
        <v>30</v>
      </c>
      <c r="P296">
        <v>3</v>
      </c>
      <c r="Q296" t="s">
        <v>570</v>
      </c>
      <c r="R296">
        <v>1</v>
      </c>
      <c r="S296">
        <v>200</v>
      </c>
      <c r="T296">
        <v>3</v>
      </c>
      <c r="U296">
        <v>15</v>
      </c>
      <c r="V296">
        <v>480</v>
      </c>
      <c r="W296">
        <v>5</v>
      </c>
      <c r="X296" t="s">
        <v>576</v>
      </c>
      <c r="Y296" s="16">
        <v>140</v>
      </c>
      <c r="Z296">
        <v>83</v>
      </c>
      <c r="AA296" s="16">
        <v>1</v>
      </c>
      <c r="AB296" s="16">
        <v>8</v>
      </c>
    </row>
    <row r="297" spans="1:28" x14ac:dyDescent="0.25">
      <c r="A297" t="s">
        <v>494</v>
      </c>
      <c r="B297" t="s">
        <v>495</v>
      </c>
      <c r="C297">
        <v>114205009</v>
      </c>
      <c r="D297" t="str">
        <f t="shared" si="5"/>
        <v>Üzüm, Muhammet Hakan-114205009</v>
      </c>
      <c r="E297" s="16">
        <v>12</v>
      </c>
      <c r="F297" s="16">
        <v>11.5</v>
      </c>
      <c r="G297" s="16">
        <v>11.3</v>
      </c>
      <c r="H297" s="16">
        <v>11.200000000000001</v>
      </c>
      <c r="I297">
        <v>4</v>
      </c>
      <c r="J297">
        <v>100</v>
      </c>
      <c r="K297">
        <v>100</v>
      </c>
      <c r="L297">
        <v>50</v>
      </c>
      <c r="M297">
        <v>65</v>
      </c>
      <c r="N297">
        <v>13</v>
      </c>
      <c r="O297">
        <v>30</v>
      </c>
      <c r="P297">
        <v>3</v>
      </c>
      <c r="Q297" t="s">
        <v>570</v>
      </c>
      <c r="R297">
        <v>3</v>
      </c>
      <c r="S297">
        <v>200</v>
      </c>
      <c r="T297">
        <v>2</v>
      </c>
      <c r="U297">
        <v>10</v>
      </c>
      <c r="V297">
        <v>550</v>
      </c>
      <c r="W297">
        <v>5</v>
      </c>
      <c r="X297" t="s">
        <v>576</v>
      </c>
      <c r="Y297" s="16">
        <v>140</v>
      </c>
      <c r="Z297">
        <v>65</v>
      </c>
      <c r="AA297" s="16">
        <v>3</v>
      </c>
      <c r="AB297" s="16">
        <v>15</v>
      </c>
    </row>
    <row r="298" spans="1:28" x14ac:dyDescent="0.25">
      <c r="A298" t="s">
        <v>500</v>
      </c>
      <c r="B298" t="s">
        <v>501</v>
      </c>
      <c r="C298">
        <v>114202064</v>
      </c>
      <c r="D298" t="str">
        <f t="shared" si="5"/>
        <v>Vural, Murat-114202064</v>
      </c>
      <c r="E298" s="16">
        <v>13</v>
      </c>
      <c r="F298" s="16">
        <v>12.7</v>
      </c>
      <c r="G298" s="16">
        <v>12.5</v>
      </c>
      <c r="H298" s="16">
        <v>12.1</v>
      </c>
      <c r="I298">
        <v>2</v>
      </c>
      <c r="J298">
        <v>200</v>
      </c>
      <c r="K298">
        <v>110</v>
      </c>
      <c r="L298">
        <v>47</v>
      </c>
      <c r="M298">
        <v>61</v>
      </c>
      <c r="N298">
        <v>11</v>
      </c>
      <c r="O298">
        <v>30</v>
      </c>
      <c r="P298">
        <v>4</v>
      </c>
      <c r="Q298" t="s">
        <v>569</v>
      </c>
      <c r="R298">
        <v>1</v>
      </c>
      <c r="S298">
        <v>300</v>
      </c>
      <c r="T298">
        <v>1</v>
      </c>
      <c r="U298">
        <v>8</v>
      </c>
      <c r="V298">
        <v>570</v>
      </c>
      <c r="W298">
        <v>3</v>
      </c>
      <c r="X298" t="s">
        <v>578</v>
      </c>
      <c r="Y298" s="16">
        <v>220</v>
      </c>
      <c r="Z298">
        <v>52</v>
      </c>
      <c r="AA298" s="16">
        <v>3</v>
      </c>
      <c r="AB298" s="16">
        <v>15</v>
      </c>
    </row>
    <row r="299" spans="1:28" x14ac:dyDescent="0.25">
      <c r="A299" t="s">
        <v>502</v>
      </c>
      <c r="B299" t="s">
        <v>503</v>
      </c>
      <c r="C299">
        <v>115202093</v>
      </c>
      <c r="D299" t="str">
        <f t="shared" si="5"/>
        <v>Yalaz, Barış-115202093</v>
      </c>
      <c r="E299" s="16">
        <v>15</v>
      </c>
      <c r="F299" s="16">
        <v>14.6</v>
      </c>
      <c r="G299" s="16">
        <v>14.2</v>
      </c>
      <c r="H299" s="16">
        <v>13.7</v>
      </c>
      <c r="I299">
        <v>3</v>
      </c>
      <c r="J299">
        <v>700</v>
      </c>
      <c r="K299">
        <v>110</v>
      </c>
      <c r="L299">
        <v>40</v>
      </c>
      <c r="M299">
        <v>55</v>
      </c>
      <c r="N299">
        <v>11</v>
      </c>
      <c r="O299">
        <v>30</v>
      </c>
      <c r="P299">
        <v>2</v>
      </c>
      <c r="Q299" t="s">
        <v>568</v>
      </c>
      <c r="R299">
        <v>2</v>
      </c>
      <c r="S299">
        <v>100</v>
      </c>
      <c r="T299">
        <v>2</v>
      </c>
      <c r="U299">
        <v>10</v>
      </c>
      <c r="V299">
        <v>430</v>
      </c>
      <c r="W299">
        <v>4</v>
      </c>
      <c r="X299" t="s">
        <v>579</v>
      </c>
      <c r="Y299" s="16">
        <v>140</v>
      </c>
      <c r="Z299">
        <v>83</v>
      </c>
      <c r="AA299" s="16">
        <v>2</v>
      </c>
      <c r="AB299" s="16">
        <v>10</v>
      </c>
    </row>
    <row r="300" spans="1:28" x14ac:dyDescent="0.25">
      <c r="A300" t="s">
        <v>504</v>
      </c>
      <c r="B300" t="s">
        <v>505</v>
      </c>
      <c r="C300">
        <v>115204039</v>
      </c>
      <c r="D300" t="str">
        <f t="shared" si="5"/>
        <v>Yalçınkaya, Beste-115204039</v>
      </c>
      <c r="E300" s="16">
        <v>11</v>
      </c>
      <c r="F300" s="16">
        <v>10.6</v>
      </c>
      <c r="G300" s="16">
        <v>10.199999999999999</v>
      </c>
      <c r="H300" s="16">
        <v>9.7999999999999989</v>
      </c>
      <c r="I300">
        <v>2</v>
      </c>
      <c r="J300">
        <v>500</v>
      </c>
      <c r="K300">
        <v>90</v>
      </c>
      <c r="L300">
        <v>44</v>
      </c>
      <c r="M300">
        <v>55</v>
      </c>
      <c r="N300">
        <v>11</v>
      </c>
      <c r="O300">
        <v>40</v>
      </c>
      <c r="P300">
        <v>3</v>
      </c>
      <c r="Q300" t="s">
        <v>570</v>
      </c>
      <c r="R300">
        <v>1</v>
      </c>
      <c r="S300">
        <v>100</v>
      </c>
      <c r="T300">
        <v>1</v>
      </c>
      <c r="U300">
        <v>8</v>
      </c>
      <c r="V300">
        <v>490</v>
      </c>
      <c r="W300">
        <v>3</v>
      </c>
      <c r="X300" t="s">
        <v>578</v>
      </c>
      <c r="Y300" s="16">
        <v>210</v>
      </c>
      <c r="Z300">
        <v>54</v>
      </c>
      <c r="AA300" s="16">
        <v>1</v>
      </c>
      <c r="AB300" s="16">
        <v>8</v>
      </c>
    </row>
    <row r="301" spans="1:28" x14ac:dyDescent="0.25">
      <c r="A301" t="s">
        <v>506</v>
      </c>
      <c r="B301" t="s">
        <v>507</v>
      </c>
      <c r="C301">
        <v>115206087</v>
      </c>
      <c r="D301" t="str">
        <f t="shared" si="5"/>
        <v>Yaman, Yusuf Doruk-115206087</v>
      </c>
      <c r="E301" s="16">
        <v>15</v>
      </c>
      <c r="F301" s="16">
        <v>14.5</v>
      </c>
      <c r="G301" s="16">
        <v>14.4</v>
      </c>
      <c r="H301" s="16">
        <v>14</v>
      </c>
      <c r="I301">
        <v>2</v>
      </c>
      <c r="J301">
        <v>300</v>
      </c>
      <c r="K301">
        <v>90</v>
      </c>
      <c r="L301">
        <v>40</v>
      </c>
      <c r="M301">
        <v>54</v>
      </c>
      <c r="N301">
        <v>15</v>
      </c>
      <c r="O301">
        <v>20</v>
      </c>
      <c r="P301">
        <v>2</v>
      </c>
      <c r="Q301" t="s">
        <v>568</v>
      </c>
      <c r="R301">
        <v>1</v>
      </c>
      <c r="S301">
        <v>300</v>
      </c>
      <c r="T301">
        <v>2</v>
      </c>
      <c r="U301">
        <v>10</v>
      </c>
      <c r="V301">
        <v>400</v>
      </c>
      <c r="W301">
        <v>3</v>
      </c>
      <c r="X301" t="s">
        <v>578</v>
      </c>
      <c r="Y301" s="16">
        <v>160</v>
      </c>
      <c r="Z301">
        <v>35</v>
      </c>
      <c r="AA301" s="16">
        <v>1</v>
      </c>
      <c r="AB301" s="16">
        <v>8</v>
      </c>
    </row>
    <row r="302" spans="1:28" x14ac:dyDescent="0.25">
      <c r="A302" t="s">
        <v>508</v>
      </c>
      <c r="B302" t="s">
        <v>509</v>
      </c>
      <c r="C302">
        <v>115205056</v>
      </c>
      <c r="D302" t="str">
        <f t="shared" si="5"/>
        <v>Yasan, Melih Can-115205056</v>
      </c>
      <c r="E302" s="16">
        <v>14</v>
      </c>
      <c r="F302" s="16">
        <v>13.7</v>
      </c>
      <c r="G302" s="16">
        <v>13.6</v>
      </c>
      <c r="H302" s="16">
        <v>13.4</v>
      </c>
      <c r="I302">
        <v>2</v>
      </c>
      <c r="J302">
        <v>700</v>
      </c>
      <c r="K302">
        <v>180</v>
      </c>
      <c r="L302">
        <v>44</v>
      </c>
      <c r="M302">
        <v>55</v>
      </c>
      <c r="N302">
        <v>11</v>
      </c>
      <c r="O302">
        <v>40</v>
      </c>
      <c r="P302">
        <v>2</v>
      </c>
      <c r="Q302" t="s">
        <v>568</v>
      </c>
      <c r="R302">
        <v>1</v>
      </c>
      <c r="S302">
        <v>200</v>
      </c>
      <c r="T302">
        <v>1</v>
      </c>
      <c r="U302">
        <v>8</v>
      </c>
      <c r="V302">
        <v>450</v>
      </c>
      <c r="W302">
        <v>4</v>
      </c>
      <c r="X302" t="s">
        <v>579</v>
      </c>
      <c r="Y302" s="16">
        <v>140</v>
      </c>
      <c r="Z302">
        <v>75</v>
      </c>
      <c r="AA302" s="16">
        <v>2</v>
      </c>
      <c r="AB302" s="16">
        <v>10</v>
      </c>
    </row>
    <row r="303" spans="1:28" x14ac:dyDescent="0.25">
      <c r="A303" t="s">
        <v>510</v>
      </c>
      <c r="B303" t="s">
        <v>511</v>
      </c>
      <c r="C303">
        <v>114202059</v>
      </c>
      <c r="D303" t="str">
        <f t="shared" si="5"/>
        <v>Yaşar, Nurullah-114202059</v>
      </c>
      <c r="E303" s="16">
        <v>14</v>
      </c>
      <c r="F303" s="16">
        <v>13.9</v>
      </c>
      <c r="G303" s="16">
        <v>13.8</v>
      </c>
      <c r="H303" s="16">
        <v>13.4</v>
      </c>
      <c r="I303">
        <v>3</v>
      </c>
      <c r="J303">
        <v>600</v>
      </c>
      <c r="K303">
        <v>170</v>
      </c>
      <c r="L303">
        <v>51</v>
      </c>
      <c r="M303">
        <v>68</v>
      </c>
      <c r="N303">
        <v>13</v>
      </c>
      <c r="O303">
        <v>30</v>
      </c>
      <c r="P303">
        <v>3</v>
      </c>
      <c r="Q303" t="s">
        <v>570</v>
      </c>
      <c r="R303">
        <v>2</v>
      </c>
      <c r="S303">
        <v>100</v>
      </c>
      <c r="T303">
        <v>3</v>
      </c>
      <c r="U303">
        <v>15</v>
      </c>
      <c r="V303">
        <v>500</v>
      </c>
      <c r="W303">
        <v>4</v>
      </c>
      <c r="X303" t="s">
        <v>579</v>
      </c>
      <c r="Y303" s="16">
        <v>170</v>
      </c>
      <c r="Z303">
        <v>50</v>
      </c>
      <c r="AA303" s="16">
        <v>3</v>
      </c>
      <c r="AB303" s="16">
        <v>15</v>
      </c>
    </row>
    <row r="304" spans="1:28" x14ac:dyDescent="0.25">
      <c r="A304" t="s">
        <v>512</v>
      </c>
      <c r="B304" t="s">
        <v>89</v>
      </c>
      <c r="C304">
        <v>113205034</v>
      </c>
      <c r="D304" t="str">
        <f t="shared" si="5"/>
        <v>Yavuz, Abdullah-113205034</v>
      </c>
      <c r="E304" s="16">
        <v>14</v>
      </c>
      <c r="F304" s="16">
        <v>13.8</v>
      </c>
      <c r="G304" s="16">
        <v>13.700000000000001</v>
      </c>
      <c r="H304" s="16">
        <v>13.4</v>
      </c>
      <c r="I304">
        <v>2</v>
      </c>
      <c r="J304">
        <v>400</v>
      </c>
      <c r="K304">
        <v>170</v>
      </c>
      <c r="L304">
        <v>55</v>
      </c>
      <c r="M304">
        <v>69</v>
      </c>
      <c r="N304">
        <v>13</v>
      </c>
      <c r="O304">
        <v>40</v>
      </c>
      <c r="P304">
        <v>3</v>
      </c>
      <c r="Q304" t="s">
        <v>570</v>
      </c>
      <c r="R304">
        <v>1</v>
      </c>
      <c r="S304">
        <v>100</v>
      </c>
      <c r="T304">
        <v>1</v>
      </c>
      <c r="U304">
        <v>8</v>
      </c>
      <c r="V304">
        <v>540</v>
      </c>
      <c r="W304">
        <v>5</v>
      </c>
      <c r="X304" t="s">
        <v>576</v>
      </c>
      <c r="Y304" s="16">
        <v>150</v>
      </c>
      <c r="Z304">
        <v>44</v>
      </c>
      <c r="AA304" s="16">
        <v>3</v>
      </c>
      <c r="AB304" s="16">
        <v>15</v>
      </c>
    </row>
    <row r="305" spans="1:28" x14ac:dyDescent="0.25">
      <c r="A305" t="s">
        <v>513</v>
      </c>
      <c r="B305" t="s">
        <v>514</v>
      </c>
      <c r="C305">
        <v>113205040</v>
      </c>
      <c r="D305" t="str">
        <f t="shared" si="5"/>
        <v>Yeşerdir, Kaan Mert-113205040</v>
      </c>
      <c r="E305" s="16">
        <v>14</v>
      </c>
      <c r="F305" s="16">
        <v>13.8</v>
      </c>
      <c r="G305" s="16">
        <v>13.5</v>
      </c>
      <c r="H305" s="16">
        <v>13.1</v>
      </c>
      <c r="I305">
        <v>2</v>
      </c>
      <c r="J305">
        <v>600</v>
      </c>
      <c r="K305">
        <v>90</v>
      </c>
      <c r="L305">
        <v>53</v>
      </c>
      <c r="M305">
        <v>64</v>
      </c>
      <c r="N305">
        <v>13</v>
      </c>
      <c r="O305">
        <v>40</v>
      </c>
      <c r="P305">
        <v>3</v>
      </c>
      <c r="Q305" t="s">
        <v>570</v>
      </c>
      <c r="R305">
        <v>1</v>
      </c>
      <c r="S305">
        <v>200</v>
      </c>
      <c r="T305">
        <v>3</v>
      </c>
      <c r="U305">
        <v>15</v>
      </c>
      <c r="V305">
        <v>540</v>
      </c>
      <c r="W305">
        <v>6</v>
      </c>
      <c r="X305" t="s">
        <v>577</v>
      </c>
      <c r="Y305" s="16">
        <v>140</v>
      </c>
      <c r="Z305">
        <v>94</v>
      </c>
      <c r="AA305" s="16">
        <v>3</v>
      </c>
      <c r="AB305" s="16">
        <v>15</v>
      </c>
    </row>
    <row r="306" spans="1:28" x14ac:dyDescent="0.25">
      <c r="A306" t="s">
        <v>515</v>
      </c>
      <c r="B306" t="s">
        <v>516</v>
      </c>
      <c r="C306">
        <v>114205043</v>
      </c>
      <c r="D306" t="str">
        <f t="shared" si="5"/>
        <v>Yeşilbaş, Ali Can-114205043</v>
      </c>
      <c r="E306" s="16">
        <v>15</v>
      </c>
      <c r="F306" s="16">
        <v>14.8</v>
      </c>
      <c r="G306" s="16">
        <v>14.5</v>
      </c>
      <c r="H306" s="16">
        <v>14.1</v>
      </c>
      <c r="I306">
        <v>2</v>
      </c>
      <c r="J306">
        <v>500</v>
      </c>
      <c r="K306">
        <v>80</v>
      </c>
      <c r="L306">
        <v>46</v>
      </c>
      <c r="M306">
        <v>56</v>
      </c>
      <c r="N306">
        <v>14</v>
      </c>
      <c r="O306">
        <v>20</v>
      </c>
      <c r="P306">
        <v>2</v>
      </c>
      <c r="Q306" t="s">
        <v>568</v>
      </c>
      <c r="R306">
        <v>1</v>
      </c>
      <c r="S306">
        <v>200</v>
      </c>
      <c r="T306">
        <v>3</v>
      </c>
      <c r="U306">
        <v>15</v>
      </c>
      <c r="V306">
        <v>570</v>
      </c>
      <c r="W306">
        <v>6</v>
      </c>
      <c r="X306" t="s">
        <v>577</v>
      </c>
      <c r="Y306" s="16">
        <v>140</v>
      </c>
      <c r="Z306">
        <v>87</v>
      </c>
      <c r="AA306" s="16">
        <v>2</v>
      </c>
      <c r="AB306" s="16">
        <v>10</v>
      </c>
    </row>
    <row r="307" spans="1:28" x14ac:dyDescent="0.25">
      <c r="A307" t="s">
        <v>517</v>
      </c>
      <c r="B307" t="s">
        <v>518</v>
      </c>
      <c r="C307">
        <v>116201159</v>
      </c>
      <c r="D307" t="str">
        <f t="shared" si="5"/>
        <v>Yıldırım, Özlem Nur-116201159</v>
      </c>
      <c r="E307" s="16">
        <v>13</v>
      </c>
      <c r="F307" s="16">
        <v>12.5</v>
      </c>
      <c r="G307" s="16">
        <v>12.2</v>
      </c>
      <c r="H307" s="16">
        <v>12.1</v>
      </c>
      <c r="I307">
        <v>4</v>
      </c>
      <c r="J307">
        <v>300</v>
      </c>
      <c r="K307">
        <v>170</v>
      </c>
      <c r="L307">
        <v>51</v>
      </c>
      <c r="M307">
        <v>70</v>
      </c>
      <c r="N307">
        <v>13</v>
      </c>
      <c r="O307">
        <v>20</v>
      </c>
      <c r="P307">
        <v>2</v>
      </c>
      <c r="Q307" t="s">
        <v>568</v>
      </c>
      <c r="R307">
        <v>3</v>
      </c>
      <c r="S307">
        <v>200</v>
      </c>
      <c r="T307">
        <v>2</v>
      </c>
      <c r="U307">
        <v>10</v>
      </c>
      <c r="V307">
        <v>480</v>
      </c>
      <c r="W307">
        <v>4</v>
      </c>
      <c r="X307" t="s">
        <v>579</v>
      </c>
      <c r="Y307" s="16">
        <v>150</v>
      </c>
      <c r="Z307">
        <v>38</v>
      </c>
      <c r="AA307" s="16">
        <v>1</v>
      </c>
      <c r="AB307" s="16">
        <v>8</v>
      </c>
    </row>
    <row r="308" spans="1:28" x14ac:dyDescent="0.25">
      <c r="A308" t="s">
        <v>519</v>
      </c>
      <c r="B308" t="s">
        <v>520</v>
      </c>
      <c r="C308">
        <v>114203010</v>
      </c>
      <c r="D308" t="str">
        <f t="shared" si="5"/>
        <v>Yıldız, Mustafa Gökhan-114203010</v>
      </c>
      <c r="E308" s="16">
        <v>14</v>
      </c>
      <c r="F308" s="16">
        <v>13.7</v>
      </c>
      <c r="G308" s="16">
        <v>13.5</v>
      </c>
      <c r="H308" s="16">
        <v>13.4</v>
      </c>
      <c r="I308">
        <v>2</v>
      </c>
      <c r="J308">
        <v>800</v>
      </c>
      <c r="K308">
        <v>80</v>
      </c>
      <c r="L308">
        <v>51</v>
      </c>
      <c r="M308">
        <v>70</v>
      </c>
      <c r="N308">
        <v>11</v>
      </c>
      <c r="O308">
        <v>30</v>
      </c>
      <c r="P308">
        <v>4</v>
      </c>
      <c r="Q308" t="s">
        <v>569</v>
      </c>
      <c r="R308">
        <v>1</v>
      </c>
      <c r="S308">
        <v>100</v>
      </c>
      <c r="T308">
        <v>1</v>
      </c>
      <c r="U308">
        <v>8</v>
      </c>
      <c r="V308">
        <v>420</v>
      </c>
      <c r="W308">
        <v>3</v>
      </c>
      <c r="X308" t="s">
        <v>578</v>
      </c>
      <c r="Y308" s="16">
        <v>170</v>
      </c>
      <c r="Z308">
        <v>37</v>
      </c>
      <c r="AA308" s="16">
        <v>2</v>
      </c>
      <c r="AB308" s="16">
        <v>10</v>
      </c>
    </row>
    <row r="309" spans="1:28" x14ac:dyDescent="0.25">
      <c r="A309" t="s">
        <v>284</v>
      </c>
      <c r="B309" t="s">
        <v>215</v>
      </c>
      <c r="C309">
        <v>114205036</v>
      </c>
      <c r="D309" t="str">
        <f t="shared" si="5"/>
        <v>Yılmaz, Burak-114205036</v>
      </c>
      <c r="E309" s="16">
        <v>12</v>
      </c>
      <c r="F309" s="16">
        <v>11.5</v>
      </c>
      <c r="G309" s="16">
        <v>11</v>
      </c>
      <c r="H309" s="16">
        <v>10.6</v>
      </c>
      <c r="I309">
        <v>3</v>
      </c>
      <c r="J309">
        <v>500</v>
      </c>
      <c r="K309">
        <v>80</v>
      </c>
      <c r="L309">
        <v>45</v>
      </c>
      <c r="M309">
        <v>59</v>
      </c>
      <c r="N309">
        <v>15</v>
      </c>
      <c r="O309">
        <v>30</v>
      </c>
      <c r="P309">
        <v>3</v>
      </c>
      <c r="Q309" t="s">
        <v>570</v>
      </c>
      <c r="R309">
        <v>2</v>
      </c>
      <c r="S309">
        <v>100</v>
      </c>
      <c r="T309">
        <v>1</v>
      </c>
      <c r="U309">
        <v>8</v>
      </c>
      <c r="V309">
        <v>540</v>
      </c>
      <c r="W309">
        <v>6</v>
      </c>
      <c r="X309" t="s">
        <v>577</v>
      </c>
      <c r="Y309" s="16">
        <v>140</v>
      </c>
      <c r="Z309">
        <v>49</v>
      </c>
      <c r="AA309" s="16">
        <v>3</v>
      </c>
      <c r="AB309" s="16">
        <v>15</v>
      </c>
    </row>
    <row r="310" spans="1:28" x14ac:dyDescent="0.25">
      <c r="A310" t="s">
        <v>284</v>
      </c>
      <c r="B310" t="s">
        <v>215</v>
      </c>
      <c r="C310">
        <v>114204034</v>
      </c>
      <c r="D310" t="str">
        <f t="shared" si="5"/>
        <v>Yılmaz, Burak-114204034</v>
      </c>
      <c r="E310" s="16">
        <v>14</v>
      </c>
      <c r="F310" s="16">
        <v>13.8</v>
      </c>
      <c r="G310" s="16">
        <v>13.3</v>
      </c>
      <c r="H310" s="16">
        <v>13.200000000000001</v>
      </c>
      <c r="I310">
        <v>3</v>
      </c>
      <c r="J310">
        <v>100</v>
      </c>
      <c r="K310">
        <v>90</v>
      </c>
      <c r="L310">
        <v>41</v>
      </c>
      <c r="M310">
        <v>53</v>
      </c>
      <c r="N310">
        <v>10</v>
      </c>
      <c r="O310">
        <v>30</v>
      </c>
      <c r="P310">
        <v>2</v>
      </c>
      <c r="Q310" t="s">
        <v>568</v>
      </c>
      <c r="R310">
        <v>2</v>
      </c>
      <c r="S310">
        <v>200</v>
      </c>
      <c r="T310">
        <v>2</v>
      </c>
      <c r="U310">
        <v>10</v>
      </c>
      <c r="V310">
        <v>570</v>
      </c>
      <c r="W310">
        <v>3</v>
      </c>
      <c r="X310" t="s">
        <v>578</v>
      </c>
      <c r="Y310" s="16">
        <v>240</v>
      </c>
      <c r="Z310">
        <v>72</v>
      </c>
      <c r="AA310" s="16">
        <v>1</v>
      </c>
      <c r="AB310" s="16">
        <v>8</v>
      </c>
    </row>
    <row r="311" spans="1:28" x14ac:dyDescent="0.25">
      <c r="A311" t="s">
        <v>284</v>
      </c>
      <c r="B311" t="s">
        <v>300</v>
      </c>
      <c r="C311">
        <v>115206047</v>
      </c>
      <c r="D311" t="str">
        <f t="shared" si="5"/>
        <v>Yılmaz, Enes-115206047</v>
      </c>
      <c r="E311" s="16">
        <v>11</v>
      </c>
      <c r="F311" s="16">
        <v>10.8</v>
      </c>
      <c r="G311" s="16">
        <v>10.5</v>
      </c>
      <c r="H311" s="16">
        <v>10.199999999999999</v>
      </c>
      <c r="I311">
        <v>2</v>
      </c>
      <c r="J311">
        <v>300</v>
      </c>
      <c r="K311">
        <v>170</v>
      </c>
      <c r="L311">
        <v>55</v>
      </c>
      <c r="M311">
        <v>74</v>
      </c>
      <c r="N311">
        <v>11</v>
      </c>
      <c r="O311">
        <v>40</v>
      </c>
      <c r="P311">
        <v>4</v>
      </c>
      <c r="Q311" t="s">
        <v>569</v>
      </c>
      <c r="R311">
        <v>1</v>
      </c>
      <c r="S311">
        <v>400</v>
      </c>
      <c r="T311">
        <v>2</v>
      </c>
      <c r="U311">
        <v>10</v>
      </c>
      <c r="V311">
        <v>520</v>
      </c>
      <c r="W311">
        <v>3</v>
      </c>
      <c r="X311" t="s">
        <v>578</v>
      </c>
      <c r="Y311" s="16">
        <v>220</v>
      </c>
      <c r="Z311">
        <v>92</v>
      </c>
      <c r="AA311" s="16">
        <v>3</v>
      </c>
      <c r="AB311" s="16">
        <v>15</v>
      </c>
    </row>
    <row r="312" spans="1:28" x14ac:dyDescent="0.25">
      <c r="A312" t="s">
        <v>284</v>
      </c>
      <c r="B312" t="s">
        <v>521</v>
      </c>
      <c r="C312">
        <v>113204012</v>
      </c>
      <c r="D312" t="str">
        <f t="shared" si="5"/>
        <v>Yılmaz, Yavuz Sinan-113204012</v>
      </c>
      <c r="E312" s="16">
        <v>11</v>
      </c>
      <c r="F312" s="16">
        <v>10.7</v>
      </c>
      <c r="G312" s="16">
        <v>10.6</v>
      </c>
      <c r="H312" s="16">
        <v>10.4</v>
      </c>
      <c r="I312">
        <v>2</v>
      </c>
      <c r="J312">
        <v>900</v>
      </c>
      <c r="K312">
        <v>110</v>
      </c>
      <c r="L312">
        <v>43</v>
      </c>
      <c r="M312">
        <v>59</v>
      </c>
      <c r="N312">
        <v>12</v>
      </c>
      <c r="O312">
        <v>40</v>
      </c>
      <c r="P312">
        <v>3</v>
      </c>
      <c r="Q312" t="s">
        <v>570</v>
      </c>
      <c r="R312">
        <v>1</v>
      </c>
      <c r="S312">
        <v>300</v>
      </c>
      <c r="T312">
        <v>3</v>
      </c>
      <c r="U312">
        <v>15</v>
      </c>
      <c r="V312">
        <v>520</v>
      </c>
      <c r="W312">
        <v>5</v>
      </c>
      <c r="X312" t="s">
        <v>576</v>
      </c>
      <c r="Y312" s="16">
        <v>150</v>
      </c>
      <c r="Z312">
        <v>42</v>
      </c>
      <c r="AA312" s="16">
        <v>3</v>
      </c>
      <c r="AB312" s="16">
        <v>15</v>
      </c>
    </row>
    <row r="313" spans="1:28" x14ac:dyDescent="0.25">
      <c r="A313" t="s">
        <v>522</v>
      </c>
      <c r="B313" t="s">
        <v>523</v>
      </c>
      <c r="C313">
        <v>115205006</v>
      </c>
      <c r="D313" t="str">
        <f t="shared" si="5"/>
        <v>Youssef, Majed-115205006</v>
      </c>
      <c r="E313" s="16">
        <v>14</v>
      </c>
      <c r="F313" s="16">
        <v>13.8</v>
      </c>
      <c r="G313" s="16">
        <v>13.3</v>
      </c>
      <c r="H313" s="16">
        <v>13</v>
      </c>
      <c r="I313">
        <v>3</v>
      </c>
      <c r="J313">
        <v>400</v>
      </c>
      <c r="K313">
        <v>170</v>
      </c>
      <c r="L313">
        <v>54</v>
      </c>
      <c r="M313">
        <v>72</v>
      </c>
      <c r="N313">
        <v>11</v>
      </c>
      <c r="O313">
        <v>20</v>
      </c>
      <c r="P313">
        <v>4</v>
      </c>
      <c r="Q313" t="s">
        <v>569</v>
      </c>
      <c r="R313">
        <v>2</v>
      </c>
      <c r="S313">
        <v>200</v>
      </c>
      <c r="T313">
        <v>1</v>
      </c>
      <c r="U313">
        <v>8</v>
      </c>
      <c r="V313">
        <v>530</v>
      </c>
      <c r="W313">
        <v>6</v>
      </c>
      <c r="X313" t="s">
        <v>577</v>
      </c>
      <c r="Y313" s="16">
        <v>120</v>
      </c>
      <c r="Z313">
        <v>53</v>
      </c>
      <c r="AA313" s="16">
        <v>2</v>
      </c>
      <c r="AB313" s="16">
        <v>10</v>
      </c>
    </row>
    <row r="314" spans="1:28" x14ac:dyDescent="0.25">
      <c r="A314" t="s">
        <v>530</v>
      </c>
      <c r="B314" t="s">
        <v>264</v>
      </c>
      <c r="C314">
        <v>114202010</v>
      </c>
      <c r="D314" t="str">
        <f t="shared" si="5"/>
        <v>Yukarıkozan, Mert-114202010</v>
      </c>
      <c r="E314" s="16">
        <v>11</v>
      </c>
      <c r="F314" s="16">
        <v>10.9</v>
      </c>
      <c r="G314" s="16">
        <v>10.6</v>
      </c>
      <c r="H314" s="16">
        <v>10.299999999999999</v>
      </c>
      <c r="I314">
        <v>3</v>
      </c>
      <c r="J314">
        <v>900</v>
      </c>
      <c r="K314">
        <v>180</v>
      </c>
      <c r="L314">
        <v>42</v>
      </c>
      <c r="M314">
        <v>56</v>
      </c>
      <c r="N314">
        <v>13</v>
      </c>
      <c r="O314">
        <v>20</v>
      </c>
      <c r="P314">
        <v>4</v>
      </c>
      <c r="Q314" t="s">
        <v>569</v>
      </c>
      <c r="R314">
        <v>2</v>
      </c>
      <c r="S314">
        <v>400</v>
      </c>
      <c r="T314">
        <v>2</v>
      </c>
      <c r="U314">
        <v>10</v>
      </c>
      <c r="V314">
        <v>430</v>
      </c>
      <c r="W314">
        <v>6</v>
      </c>
      <c r="X314" t="s">
        <v>577</v>
      </c>
      <c r="Y314" s="16">
        <v>100</v>
      </c>
      <c r="Z314">
        <v>83</v>
      </c>
      <c r="AA314" s="16">
        <v>3</v>
      </c>
      <c r="AB314" s="16">
        <v>15</v>
      </c>
    </row>
    <row r="315" spans="1:28" x14ac:dyDescent="0.25">
      <c r="A315" t="s">
        <v>533</v>
      </c>
      <c r="B315" t="s">
        <v>534</v>
      </c>
      <c r="C315">
        <v>112200073</v>
      </c>
      <c r="D315" t="str">
        <f t="shared" si="5"/>
        <v>Yuvacı, Talha-112200073</v>
      </c>
      <c r="E315" s="16">
        <v>13</v>
      </c>
      <c r="F315" s="16">
        <v>12.7</v>
      </c>
      <c r="G315" s="16">
        <v>12.6</v>
      </c>
      <c r="H315" s="16">
        <v>12.1</v>
      </c>
      <c r="I315">
        <v>2</v>
      </c>
      <c r="J315">
        <v>300</v>
      </c>
      <c r="K315">
        <v>160</v>
      </c>
      <c r="L315">
        <v>41</v>
      </c>
      <c r="M315">
        <v>53</v>
      </c>
      <c r="N315">
        <v>13</v>
      </c>
      <c r="O315">
        <v>40</v>
      </c>
      <c r="P315">
        <v>3</v>
      </c>
      <c r="Q315" t="s">
        <v>570</v>
      </c>
      <c r="R315">
        <v>1</v>
      </c>
      <c r="S315">
        <v>300</v>
      </c>
      <c r="T315">
        <v>3</v>
      </c>
      <c r="U315">
        <v>15</v>
      </c>
      <c r="V315">
        <v>530</v>
      </c>
      <c r="W315">
        <v>5</v>
      </c>
      <c r="X315" t="s">
        <v>576</v>
      </c>
      <c r="Y315" s="16">
        <v>140</v>
      </c>
      <c r="Z315">
        <v>48</v>
      </c>
      <c r="AA315" s="16">
        <v>1</v>
      </c>
      <c r="AB315" s="16">
        <v>8</v>
      </c>
    </row>
    <row r="316" spans="1:28" x14ac:dyDescent="0.25">
      <c r="A316" t="s">
        <v>524</v>
      </c>
      <c r="B316" t="s">
        <v>525</v>
      </c>
      <c r="C316">
        <v>111201016</v>
      </c>
      <c r="D316" t="str">
        <f t="shared" si="5"/>
        <v>Yüce, Süvelde Tuğçe-111201016</v>
      </c>
      <c r="E316" s="16">
        <v>13</v>
      </c>
      <c r="F316" s="16">
        <v>12.8</v>
      </c>
      <c r="G316" s="16">
        <v>12.4</v>
      </c>
      <c r="H316" s="16">
        <v>12.200000000000001</v>
      </c>
      <c r="I316">
        <v>4</v>
      </c>
      <c r="J316">
        <v>300</v>
      </c>
      <c r="K316">
        <v>180</v>
      </c>
      <c r="L316">
        <v>51</v>
      </c>
      <c r="M316">
        <v>66</v>
      </c>
      <c r="N316">
        <v>10</v>
      </c>
      <c r="O316">
        <v>20</v>
      </c>
      <c r="P316">
        <v>2</v>
      </c>
      <c r="Q316" t="s">
        <v>568</v>
      </c>
      <c r="R316">
        <v>3</v>
      </c>
      <c r="S316">
        <v>400</v>
      </c>
      <c r="T316">
        <v>2</v>
      </c>
      <c r="U316">
        <v>10</v>
      </c>
      <c r="V316">
        <v>500</v>
      </c>
      <c r="W316">
        <v>4</v>
      </c>
      <c r="X316" t="s">
        <v>579</v>
      </c>
      <c r="Y316" s="16">
        <v>170</v>
      </c>
      <c r="Z316">
        <v>70</v>
      </c>
      <c r="AA316" s="16">
        <v>3</v>
      </c>
      <c r="AB316" s="16">
        <v>15</v>
      </c>
    </row>
    <row r="317" spans="1:28" x14ac:dyDescent="0.25">
      <c r="A317" t="s">
        <v>526</v>
      </c>
      <c r="B317" t="s">
        <v>527</v>
      </c>
      <c r="C317">
        <v>114203048</v>
      </c>
      <c r="D317" t="str">
        <f t="shared" si="5"/>
        <v>Yücebağ, Deniz-114203048</v>
      </c>
      <c r="E317" s="16">
        <v>12</v>
      </c>
      <c r="F317" s="16">
        <v>11.9</v>
      </c>
      <c r="G317" s="16">
        <v>11.4</v>
      </c>
      <c r="H317" s="16">
        <v>10.9</v>
      </c>
      <c r="I317">
        <v>3</v>
      </c>
      <c r="J317">
        <v>400</v>
      </c>
      <c r="K317">
        <v>130</v>
      </c>
      <c r="L317">
        <v>53</v>
      </c>
      <c r="M317">
        <v>63</v>
      </c>
      <c r="N317">
        <v>14</v>
      </c>
      <c r="O317">
        <v>40</v>
      </c>
      <c r="P317">
        <v>3</v>
      </c>
      <c r="Q317" t="s">
        <v>570</v>
      </c>
      <c r="R317">
        <v>2</v>
      </c>
      <c r="S317">
        <v>300</v>
      </c>
      <c r="T317">
        <v>1</v>
      </c>
      <c r="U317">
        <v>8</v>
      </c>
      <c r="V317">
        <v>500</v>
      </c>
      <c r="W317">
        <v>6</v>
      </c>
      <c r="X317" t="s">
        <v>577</v>
      </c>
      <c r="Y317" s="16">
        <v>120</v>
      </c>
      <c r="Z317">
        <v>80</v>
      </c>
      <c r="AA317" s="16">
        <v>1</v>
      </c>
      <c r="AB317" s="16">
        <v>8</v>
      </c>
    </row>
    <row r="318" spans="1:28" x14ac:dyDescent="0.25">
      <c r="A318" t="s">
        <v>528</v>
      </c>
      <c r="B318" t="s">
        <v>529</v>
      </c>
      <c r="C318">
        <v>116201132</v>
      </c>
      <c r="D318" t="str">
        <f t="shared" si="5"/>
        <v>Yücel, Necla-116201132</v>
      </c>
      <c r="E318" s="16">
        <v>12</v>
      </c>
      <c r="F318" s="16">
        <v>11.7</v>
      </c>
      <c r="G318" s="16">
        <v>11.6</v>
      </c>
      <c r="H318" s="16">
        <v>11.2</v>
      </c>
      <c r="I318">
        <v>2</v>
      </c>
      <c r="J318">
        <v>700</v>
      </c>
      <c r="K318">
        <v>160</v>
      </c>
      <c r="L318">
        <v>48</v>
      </c>
      <c r="M318">
        <v>61</v>
      </c>
      <c r="N318">
        <v>10</v>
      </c>
      <c r="O318">
        <v>30</v>
      </c>
      <c r="P318">
        <v>2</v>
      </c>
      <c r="Q318" t="s">
        <v>568</v>
      </c>
      <c r="R318">
        <v>1</v>
      </c>
      <c r="S318">
        <v>200</v>
      </c>
      <c r="T318">
        <v>2</v>
      </c>
      <c r="U318">
        <v>10</v>
      </c>
      <c r="V318">
        <v>490</v>
      </c>
      <c r="W318">
        <v>3</v>
      </c>
      <c r="X318" t="s">
        <v>578</v>
      </c>
      <c r="Y318" s="16">
        <v>190</v>
      </c>
      <c r="Z318">
        <v>84</v>
      </c>
      <c r="AA318" s="16">
        <v>2</v>
      </c>
      <c r="AB318" s="16">
        <v>10</v>
      </c>
    </row>
    <row r="319" spans="1:28" x14ac:dyDescent="0.25">
      <c r="A319" t="s">
        <v>531</v>
      </c>
      <c r="B319" t="s">
        <v>532</v>
      </c>
      <c r="C319">
        <v>114204038</v>
      </c>
      <c r="D319" t="str">
        <f t="shared" si="5"/>
        <v>Yüksektepe, Veysel-114204038</v>
      </c>
      <c r="E319" s="16">
        <v>15</v>
      </c>
      <c r="F319" s="16">
        <v>14.9</v>
      </c>
      <c r="G319" s="16">
        <v>14.4</v>
      </c>
      <c r="H319" s="16">
        <v>14</v>
      </c>
      <c r="I319">
        <v>3</v>
      </c>
      <c r="J319">
        <v>300</v>
      </c>
      <c r="K319">
        <v>170</v>
      </c>
      <c r="L319">
        <v>53</v>
      </c>
      <c r="M319">
        <v>65</v>
      </c>
      <c r="N319">
        <v>10</v>
      </c>
      <c r="O319">
        <v>30</v>
      </c>
      <c r="P319">
        <v>3</v>
      </c>
      <c r="Q319" t="s">
        <v>570</v>
      </c>
      <c r="R319">
        <v>2</v>
      </c>
      <c r="S319">
        <v>200</v>
      </c>
      <c r="T319">
        <v>2</v>
      </c>
      <c r="U319">
        <v>10</v>
      </c>
      <c r="V319">
        <v>450</v>
      </c>
      <c r="W319">
        <v>3</v>
      </c>
      <c r="X319" t="s">
        <v>578</v>
      </c>
      <c r="Y319" s="16">
        <v>190</v>
      </c>
      <c r="Z319">
        <v>65</v>
      </c>
      <c r="AA319" s="16">
        <v>3</v>
      </c>
      <c r="AB319" s="16">
        <v>15</v>
      </c>
    </row>
    <row r="320" spans="1:28" x14ac:dyDescent="0.25">
      <c r="A320" t="s">
        <v>535</v>
      </c>
      <c r="B320" t="s">
        <v>397</v>
      </c>
      <c r="C320">
        <v>11495088</v>
      </c>
      <c r="D320" t="str">
        <f t="shared" si="5"/>
        <v>Zengi, Kaan-11495088</v>
      </c>
      <c r="E320" s="16">
        <v>13</v>
      </c>
      <c r="F320" s="16">
        <v>12.5</v>
      </c>
      <c r="G320" s="16">
        <v>12.1</v>
      </c>
      <c r="H320" s="16">
        <v>11.9</v>
      </c>
      <c r="I320">
        <v>2</v>
      </c>
      <c r="J320">
        <v>300</v>
      </c>
      <c r="K320">
        <v>120</v>
      </c>
      <c r="L320">
        <v>49</v>
      </c>
      <c r="M320">
        <v>63</v>
      </c>
      <c r="N320">
        <v>13</v>
      </c>
      <c r="O320">
        <v>40</v>
      </c>
      <c r="P320">
        <v>4</v>
      </c>
      <c r="Q320" t="s">
        <v>569</v>
      </c>
      <c r="R320">
        <v>1</v>
      </c>
      <c r="S320">
        <v>400</v>
      </c>
      <c r="T320">
        <v>1</v>
      </c>
      <c r="U320">
        <v>8</v>
      </c>
      <c r="V320">
        <v>560</v>
      </c>
      <c r="W320">
        <v>3</v>
      </c>
      <c r="X320" t="s">
        <v>578</v>
      </c>
      <c r="Y320" s="16">
        <v>220</v>
      </c>
      <c r="Z320">
        <v>91</v>
      </c>
      <c r="AA320" s="16">
        <v>1</v>
      </c>
      <c r="AB320" s="16">
        <v>8</v>
      </c>
    </row>
    <row r="321" spans="1:28" x14ac:dyDescent="0.25">
      <c r="A321" t="s">
        <v>536</v>
      </c>
      <c r="B321" t="s">
        <v>537</v>
      </c>
      <c r="C321">
        <v>113204034</v>
      </c>
      <c r="D321" t="str">
        <f t="shared" si="5"/>
        <v>Zeper, Seyfi Tunç-113204034</v>
      </c>
      <c r="E321" s="16">
        <v>13</v>
      </c>
      <c r="F321" s="16">
        <v>12.9</v>
      </c>
      <c r="G321" s="16">
        <v>12.700000000000001</v>
      </c>
      <c r="H321" s="16">
        <v>12.4</v>
      </c>
      <c r="I321">
        <v>2</v>
      </c>
      <c r="J321">
        <v>800</v>
      </c>
      <c r="K321">
        <v>80</v>
      </c>
      <c r="L321">
        <v>41</v>
      </c>
      <c r="M321">
        <v>51</v>
      </c>
      <c r="N321">
        <v>15</v>
      </c>
      <c r="O321">
        <v>30</v>
      </c>
      <c r="P321">
        <v>3</v>
      </c>
      <c r="Q321" t="s">
        <v>570</v>
      </c>
      <c r="R321">
        <v>1</v>
      </c>
      <c r="S321">
        <v>100</v>
      </c>
      <c r="T321">
        <v>1</v>
      </c>
      <c r="U321">
        <v>8</v>
      </c>
      <c r="V321">
        <v>400</v>
      </c>
      <c r="W321">
        <v>5</v>
      </c>
      <c r="X321" t="s">
        <v>576</v>
      </c>
      <c r="Y321" s="16">
        <v>110</v>
      </c>
      <c r="Z321">
        <v>70</v>
      </c>
      <c r="AA321" s="16">
        <v>3</v>
      </c>
      <c r="AB321" s="16">
        <v>15</v>
      </c>
    </row>
    <row r="322" spans="1:28" x14ac:dyDescent="0.25">
      <c r="A322" t="s">
        <v>538</v>
      </c>
      <c r="B322" t="s">
        <v>228</v>
      </c>
      <c r="C322">
        <v>114203021</v>
      </c>
      <c r="D322" t="str">
        <f t="shared" si="5"/>
        <v>Ziylan, Sena-114203021</v>
      </c>
      <c r="E322" s="16">
        <v>13</v>
      </c>
      <c r="F322" s="16">
        <v>12.9</v>
      </c>
      <c r="G322" s="16">
        <v>12.5</v>
      </c>
      <c r="H322" s="16">
        <v>12.3</v>
      </c>
      <c r="I322">
        <v>3</v>
      </c>
      <c r="J322">
        <v>900</v>
      </c>
      <c r="K322">
        <v>150</v>
      </c>
      <c r="L322">
        <v>42</v>
      </c>
      <c r="M322">
        <v>58</v>
      </c>
      <c r="N322">
        <v>11</v>
      </c>
      <c r="O322">
        <v>30</v>
      </c>
      <c r="P322">
        <v>4</v>
      </c>
      <c r="Q322" t="s">
        <v>569</v>
      </c>
      <c r="R322">
        <v>2</v>
      </c>
      <c r="S322">
        <v>400</v>
      </c>
      <c r="T322">
        <v>2</v>
      </c>
      <c r="U322">
        <v>10</v>
      </c>
      <c r="V322">
        <v>470</v>
      </c>
      <c r="W322">
        <v>5</v>
      </c>
      <c r="X322" t="s">
        <v>576</v>
      </c>
      <c r="Y322" s="16">
        <v>120</v>
      </c>
      <c r="Z322">
        <v>62</v>
      </c>
      <c r="AA322" s="16">
        <v>1</v>
      </c>
      <c r="AB322" s="16">
        <v>8</v>
      </c>
    </row>
  </sheetData>
  <sheetProtection algorithmName="SHA-512" hashValue="/vKyoKZuLFLuiFBjM6/m/HgLvDXg3uykXxedr+ygfA8ycPACKzOPN4ofWJ6FM7PAhiECwWuGUS9ewQbjWk+Mog==" saltValue="XaYt+iTxcd0v8YrGjaDzfg==" spinCount="100000" sheet="1" objects="1" scenarios="1"/>
  <mergeCells count="1">
    <mergeCell ref="E1:H1"/>
  </mergeCells>
  <pageMargins left="0.70866141732283472" right="0.70866141732283472" top="0.74803149606299213" bottom="0.74803149606299213" header="0.31496062992125984" footer="0.31496062992125984"/>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vt:i4>
      </vt:variant>
      <vt:variant>
        <vt:lpstr>Adlandırılmış Aralıklar</vt:lpstr>
      </vt:variant>
      <vt:variant>
        <vt:i4>1</vt:i4>
      </vt:variant>
    </vt:vector>
  </HeadingPairs>
  <TitlesOfParts>
    <vt:vector size="2" baseType="lpstr">
      <vt:lpstr>Question</vt:lpstr>
      <vt:lpstr>Question!Yazdırma_Alanı</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ummanmahir</dc:creator>
  <cp:lastModifiedBy>user</cp:lastModifiedBy>
  <cp:lastPrinted>2017-11-07T16:12:48Z</cp:lastPrinted>
  <dcterms:created xsi:type="dcterms:W3CDTF">2016-10-14T13:49:02Z</dcterms:created>
  <dcterms:modified xsi:type="dcterms:W3CDTF">2017-11-15T21:04:36Z</dcterms:modified>
</cp:coreProperties>
</file>