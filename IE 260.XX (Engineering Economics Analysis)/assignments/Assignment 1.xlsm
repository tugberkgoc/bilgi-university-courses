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hir.yildirim\Dropbox\Dersler\2017-2018-1\IE260 - Engineering Economics Analysis\Assignments\"/>
    </mc:Choice>
  </mc:AlternateContent>
  <workbookProtection workbookAlgorithmName="SHA-512" workbookHashValue="5PeXNai39fewRS5UrWh9RHUhBcg9ldKni7YvC7kpHzfs/1yS3ifiTywnQ71WXXHQExUE0pHrLfnky1uY5sC9Ag==" workbookSaltValue="5I/h97jt1jnaVVSMhDzORQ==" workbookSpinCount="100000" lockStructure="1"/>
  <bookViews>
    <workbookView xWindow="0" yWindow="0" windowWidth="28800" windowHeight="12435"/>
  </bookViews>
  <sheets>
    <sheet name="Question" sheetId="2" r:id="rId1"/>
    <sheet name="Data" sheetId="7" state="veryHidden" r:id="rId2"/>
  </sheets>
  <definedNames>
    <definedName name="_xlnm.Print_Area" localSheetId="0">Question!$A$1:$AF$34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6" i="2" l="1"/>
  <c r="Y32" i="2"/>
  <c r="M29" i="2"/>
  <c r="D318" i="7"/>
  <c r="D319" i="7"/>
  <c r="D320" i="7"/>
  <c r="D321" i="7"/>
  <c r="B16" i="2"/>
  <c r="AD320" i="7" l="1"/>
  <c r="AE320" i="7" s="1"/>
  <c r="AD319" i="7"/>
  <c r="AE319" i="7" s="1"/>
  <c r="AD321" i="7"/>
  <c r="AE321" i="7" s="1"/>
  <c r="Y320" i="7"/>
  <c r="Z320" i="7" s="1"/>
  <c r="Y319" i="7"/>
  <c r="Z319" i="7" s="1"/>
  <c r="Y321" i="7"/>
  <c r="Z321" i="7" s="1"/>
  <c r="AD318" i="7"/>
  <c r="AE318" i="7" s="1"/>
  <c r="Y318" i="7"/>
  <c r="Z318" i="7" s="1"/>
  <c r="I321" i="7"/>
  <c r="J321" i="7" s="1"/>
  <c r="I319" i="7"/>
  <c r="J319" i="7" s="1"/>
  <c r="I320" i="7"/>
  <c r="J320" i="7" s="1"/>
  <c r="I318" i="7"/>
  <c r="J318" i="7" s="1"/>
  <c r="AA2" i="7"/>
  <c r="AB2" i="7"/>
  <c r="AC2" i="7"/>
  <c r="Y3" i="7"/>
  <c r="I3" i="7"/>
  <c r="AD3" i="7"/>
  <c r="AD316" i="7" l="1"/>
  <c r="AD312" i="7"/>
  <c r="AD308" i="7"/>
  <c r="AD304" i="7"/>
  <c r="AD300" i="7"/>
  <c r="AD296" i="7"/>
  <c r="AD292" i="7"/>
  <c r="AD288" i="7"/>
  <c r="AD284" i="7"/>
  <c r="AD280" i="7"/>
  <c r="AD276" i="7"/>
  <c r="AD272" i="7"/>
  <c r="AD268" i="7"/>
  <c r="AD264" i="7"/>
  <c r="AD260" i="7"/>
  <c r="AD256" i="7"/>
  <c r="AD252" i="7"/>
  <c r="AD248" i="7"/>
  <c r="AD244" i="7"/>
  <c r="AD240" i="7"/>
  <c r="AD236" i="7"/>
  <c r="AD232" i="7"/>
  <c r="AD228" i="7"/>
  <c r="AD224" i="7"/>
  <c r="AD220" i="7"/>
  <c r="AD216" i="7"/>
  <c r="AD212" i="7"/>
  <c r="AD208" i="7"/>
  <c r="AD204" i="7"/>
  <c r="AD200" i="7"/>
  <c r="AD196" i="7"/>
  <c r="AD192" i="7"/>
  <c r="AD188" i="7"/>
  <c r="AD184" i="7"/>
  <c r="AD180" i="7"/>
  <c r="AD176" i="7"/>
  <c r="AD172" i="7"/>
  <c r="AD168" i="7"/>
  <c r="AD164" i="7"/>
  <c r="AD160" i="7"/>
  <c r="AD156" i="7"/>
  <c r="AD152" i="7"/>
  <c r="AD148" i="7"/>
  <c r="AD144" i="7"/>
  <c r="AD140" i="7"/>
  <c r="AD136" i="7"/>
  <c r="AD132" i="7"/>
  <c r="AD128" i="7"/>
  <c r="AD124" i="7"/>
  <c r="AD120" i="7"/>
  <c r="AD116" i="7"/>
  <c r="AD112" i="7"/>
  <c r="AD108" i="7"/>
  <c r="AD104" i="7"/>
  <c r="AD100" i="7"/>
  <c r="AD96" i="7"/>
  <c r="AD92" i="7"/>
  <c r="AD88" i="7"/>
  <c r="AD84" i="7"/>
  <c r="AD80" i="7"/>
  <c r="AD76" i="7"/>
  <c r="AD72" i="7"/>
  <c r="AD68" i="7"/>
  <c r="AD64" i="7"/>
  <c r="AD60" i="7"/>
  <c r="AD56" i="7"/>
  <c r="AD52" i="7"/>
  <c r="AD48" i="7"/>
  <c r="AD44" i="7"/>
  <c r="AD40" i="7"/>
  <c r="AD36" i="7"/>
  <c r="AD32" i="7"/>
  <c r="AD28" i="7"/>
  <c r="AD24" i="7"/>
  <c r="AD20" i="7"/>
  <c r="AD16" i="7"/>
  <c r="AD12" i="7"/>
  <c r="AD8" i="7"/>
  <c r="AD315" i="7"/>
  <c r="AD311" i="7"/>
  <c r="AD307" i="7"/>
  <c r="AD303" i="7"/>
  <c r="AD299" i="7"/>
  <c r="AD295" i="7"/>
  <c r="AD291" i="7"/>
  <c r="AD287" i="7"/>
  <c r="AD283" i="7"/>
  <c r="AD279" i="7"/>
  <c r="AD275" i="7"/>
  <c r="AD271" i="7"/>
  <c r="AD267" i="7"/>
  <c r="AD263" i="7"/>
  <c r="AD259" i="7"/>
  <c r="AD255" i="7"/>
  <c r="AD251" i="7"/>
  <c r="AD247" i="7"/>
  <c r="AD243" i="7"/>
  <c r="AD239" i="7"/>
  <c r="AD235" i="7"/>
  <c r="AD231" i="7"/>
  <c r="AD227" i="7"/>
  <c r="AD223" i="7"/>
  <c r="AD219" i="7"/>
  <c r="AD215" i="7"/>
  <c r="AD211" i="7"/>
  <c r="AD207" i="7"/>
  <c r="AD203" i="7"/>
  <c r="AD199" i="7"/>
  <c r="AD195" i="7"/>
  <c r="AD191" i="7"/>
  <c r="AD187" i="7"/>
  <c r="AD183" i="7"/>
  <c r="AD179" i="7"/>
  <c r="AD175" i="7"/>
  <c r="AD171" i="7"/>
  <c r="AD167" i="7"/>
  <c r="AD163" i="7"/>
  <c r="AD159" i="7"/>
  <c r="AD155" i="7"/>
  <c r="AD151" i="7"/>
  <c r="AD147" i="7"/>
  <c r="AD143" i="7"/>
  <c r="AD139" i="7"/>
  <c r="AD135" i="7"/>
  <c r="AD131" i="7"/>
  <c r="AD127" i="7"/>
  <c r="AD123" i="7"/>
  <c r="AD119" i="7"/>
  <c r="AD115" i="7"/>
  <c r="AD111" i="7"/>
  <c r="AD107" i="7"/>
  <c r="AD103" i="7"/>
  <c r="AD99" i="7"/>
  <c r="AD95" i="7"/>
  <c r="AD91" i="7"/>
  <c r="AD87" i="7"/>
  <c r="AD83" i="7"/>
  <c r="AD79" i="7"/>
  <c r="AD75" i="7"/>
  <c r="AD71" i="7"/>
  <c r="AD67" i="7"/>
  <c r="AD63" i="7"/>
  <c r="AD59" i="7"/>
  <c r="AD55" i="7"/>
  <c r="AD51" i="7"/>
  <c r="AD47" i="7"/>
  <c r="AD43" i="7"/>
  <c r="AD39" i="7"/>
  <c r="AD35" i="7"/>
  <c r="AD31" i="7"/>
  <c r="AD27" i="7"/>
  <c r="AD23" i="7"/>
  <c r="AD19" i="7"/>
  <c r="AD15" i="7"/>
  <c r="AD11" i="7"/>
  <c r="AD7" i="7"/>
  <c r="AD314" i="7"/>
  <c r="AD310" i="7"/>
  <c r="AD306" i="7"/>
  <c r="AD302" i="7"/>
  <c r="AD298" i="7"/>
  <c r="AD294" i="7"/>
  <c r="AD290" i="7"/>
  <c r="AD286" i="7"/>
  <c r="AD282" i="7"/>
  <c r="AD278" i="7"/>
  <c r="AD274" i="7"/>
  <c r="AD270" i="7"/>
  <c r="AD266" i="7"/>
  <c r="AD262" i="7"/>
  <c r="AD258" i="7"/>
  <c r="AD254" i="7"/>
  <c r="AD250" i="7"/>
  <c r="AD246" i="7"/>
  <c r="AD242" i="7"/>
  <c r="AD238" i="7"/>
  <c r="AD234" i="7"/>
  <c r="AD230" i="7"/>
  <c r="AD226" i="7"/>
  <c r="AD222" i="7"/>
  <c r="AD218" i="7"/>
  <c r="AD214" i="7"/>
  <c r="AD210" i="7"/>
  <c r="AD206" i="7"/>
  <c r="AD202" i="7"/>
  <c r="AD198" i="7"/>
  <c r="AD194" i="7"/>
  <c r="AD190" i="7"/>
  <c r="AD186" i="7"/>
  <c r="AD182" i="7"/>
  <c r="AD178" i="7"/>
  <c r="AD174" i="7"/>
  <c r="AD170" i="7"/>
  <c r="AD166" i="7"/>
  <c r="AD162" i="7"/>
  <c r="AD158" i="7"/>
  <c r="AD154" i="7"/>
  <c r="AD150" i="7"/>
  <c r="AD146" i="7"/>
  <c r="AD142" i="7"/>
  <c r="AD138" i="7"/>
  <c r="AD134" i="7"/>
  <c r="AD130" i="7"/>
  <c r="AD126" i="7"/>
  <c r="AD122" i="7"/>
  <c r="AD118" i="7"/>
  <c r="AD114" i="7"/>
  <c r="AD110" i="7"/>
  <c r="AD106" i="7"/>
  <c r="AD102" i="7"/>
  <c r="AD98" i="7"/>
  <c r="AD94" i="7"/>
  <c r="AD90" i="7"/>
  <c r="AD86" i="7"/>
  <c r="AD82" i="7"/>
  <c r="AD78" i="7"/>
  <c r="AD74" i="7"/>
  <c r="AD70" i="7"/>
  <c r="AD66" i="7"/>
  <c r="AD62" i="7"/>
  <c r="AD58" i="7"/>
  <c r="AD54" i="7"/>
  <c r="AD50" i="7"/>
  <c r="AD46" i="7"/>
  <c r="AD42" i="7"/>
  <c r="AD38" i="7"/>
  <c r="AD34" i="7"/>
  <c r="AD30" i="7"/>
  <c r="AD26" i="7"/>
  <c r="AD22" i="7"/>
  <c r="AD18" i="7"/>
  <c r="AD14" i="7"/>
  <c r="AD10" i="7"/>
  <c r="AD6" i="7"/>
  <c r="AD317" i="7"/>
  <c r="AD313" i="7"/>
  <c r="AD309" i="7"/>
  <c r="AD305" i="7"/>
  <c r="AD301" i="7"/>
  <c r="AD297" i="7"/>
  <c r="AD293" i="7"/>
  <c r="AD289" i="7"/>
  <c r="AD285" i="7"/>
  <c r="AD281" i="7"/>
  <c r="AD277" i="7"/>
  <c r="AD273" i="7"/>
  <c r="AD269" i="7"/>
  <c r="AD265" i="7"/>
  <c r="AD261" i="7"/>
  <c r="AD257" i="7"/>
  <c r="AD253" i="7"/>
  <c r="AD249" i="7"/>
  <c r="AD245" i="7"/>
  <c r="AD241" i="7"/>
  <c r="AD237" i="7"/>
  <c r="AD233" i="7"/>
  <c r="AD229" i="7"/>
  <c r="AD225" i="7"/>
  <c r="AD221" i="7"/>
  <c r="AD217" i="7"/>
  <c r="AD213" i="7"/>
  <c r="AD209" i="7"/>
  <c r="AD205" i="7"/>
  <c r="AD201" i="7"/>
  <c r="AD197" i="7"/>
  <c r="AD193" i="7"/>
  <c r="AD189" i="7"/>
  <c r="AD185" i="7"/>
  <c r="AD181" i="7"/>
  <c r="AD177" i="7"/>
  <c r="AD173" i="7"/>
  <c r="AD169" i="7"/>
  <c r="AD165" i="7"/>
  <c r="AD161" i="7"/>
  <c r="AD157" i="7"/>
  <c r="AD153" i="7"/>
  <c r="AD149" i="7"/>
  <c r="AD145" i="7"/>
  <c r="AD141" i="7"/>
  <c r="AD137" i="7"/>
  <c r="AD133" i="7"/>
  <c r="AD129" i="7"/>
  <c r="AD125" i="7"/>
  <c r="AD121" i="7"/>
  <c r="AD117" i="7"/>
  <c r="AD113" i="7"/>
  <c r="AD109" i="7"/>
  <c r="AD105" i="7"/>
  <c r="AD101" i="7"/>
  <c r="AD97" i="7"/>
  <c r="AD93" i="7"/>
  <c r="AD89" i="7"/>
  <c r="AD85" i="7"/>
  <c r="AD81" i="7"/>
  <c r="AD77" i="7"/>
  <c r="AD73" i="7"/>
  <c r="AD69" i="7"/>
  <c r="AD65" i="7"/>
  <c r="AD61" i="7"/>
  <c r="AD57" i="7"/>
  <c r="AD53" i="7"/>
  <c r="AD49" i="7"/>
  <c r="AD45" i="7"/>
  <c r="AD41" i="7"/>
  <c r="AD37" i="7"/>
  <c r="AD33" i="7"/>
  <c r="AD29" i="7"/>
  <c r="AD25" i="7"/>
  <c r="AD21" i="7"/>
  <c r="AD17" i="7"/>
  <c r="AD13" i="7"/>
  <c r="AD9" i="7"/>
  <c r="AD5" i="7"/>
  <c r="AD4" i="7"/>
  <c r="A38" i="2"/>
  <c r="A4" i="2"/>
  <c r="A16" i="2"/>
  <c r="K36" i="2"/>
  <c r="Q31" i="2"/>
  <c r="H31" i="2"/>
  <c r="B29" i="2"/>
  <c r="B32" i="2"/>
  <c r="B21" i="2"/>
  <c r="B34" i="2"/>
  <c r="B33" i="2"/>
  <c r="W2" i="7"/>
  <c r="X2" i="7" s="1"/>
  <c r="L2" i="7"/>
  <c r="U2" i="7" s="1"/>
  <c r="V2" i="7"/>
  <c r="T2" i="7"/>
  <c r="M2" i="7"/>
  <c r="K2" i="7"/>
  <c r="R2" i="7"/>
  <c r="S2" i="7"/>
  <c r="Q2" i="7"/>
  <c r="O2" i="7"/>
  <c r="P2" i="7"/>
  <c r="N2" i="7"/>
  <c r="Z19" i="2"/>
  <c r="U19" i="2"/>
  <c r="P19" i="2"/>
  <c r="B23" i="2"/>
  <c r="B22" i="2"/>
  <c r="J19" i="2"/>
  <c r="B19" i="2"/>
  <c r="AE24" i="7" l="1"/>
  <c r="AE49" i="7"/>
  <c r="AE156" i="7"/>
  <c r="AE252" i="7"/>
  <c r="AE181" i="7"/>
  <c r="AE264" i="7"/>
  <c r="AE280" i="7"/>
  <c r="AE296" i="7"/>
  <c r="AE312" i="7"/>
  <c r="AE14" i="7"/>
  <c r="AE154" i="7"/>
  <c r="AE123" i="7"/>
  <c r="AE263" i="7"/>
  <c r="AE16" i="7"/>
  <c r="AE151" i="7"/>
  <c r="AE191" i="7"/>
  <c r="AE218" i="7"/>
  <c r="AE234" i="7"/>
  <c r="AE250" i="7"/>
  <c r="AE266" i="7"/>
  <c r="AE282" i="7"/>
  <c r="AE298" i="7"/>
  <c r="AE20" i="7"/>
  <c r="AE121" i="7"/>
  <c r="AE185" i="7"/>
  <c r="AE216" i="7"/>
  <c r="AE17" i="7"/>
  <c r="AE98" i="7"/>
  <c r="AE177" i="7"/>
  <c r="AE217" i="7"/>
  <c r="AE227" i="7"/>
  <c r="AE113" i="7"/>
  <c r="AE215" i="7"/>
  <c r="AE268" i="7"/>
  <c r="AE231" i="7"/>
  <c r="AE47" i="7"/>
  <c r="AE111" i="7"/>
  <c r="AE175" i="7"/>
  <c r="AE39" i="7"/>
  <c r="AE61" i="7"/>
  <c r="AE93" i="7"/>
  <c r="AE112" i="7"/>
  <c r="AE141" i="7"/>
  <c r="AE173" i="7"/>
  <c r="AE28" i="7"/>
  <c r="AE51" i="7"/>
  <c r="AE73" i="7"/>
  <c r="AE222" i="7"/>
  <c r="AE246" i="7"/>
  <c r="AE278" i="7"/>
  <c r="AE7" i="7"/>
  <c r="AE59" i="7"/>
  <c r="AE198" i="7"/>
  <c r="AE122" i="7"/>
  <c r="AE194" i="7"/>
  <c r="AE56" i="7"/>
  <c r="AE92" i="7"/>
  <c r="AE219" i="7"/>
  <c r="AE68" i="7"/>
  <c r="AE106" i="7"/>
  <c r="AE187" i="7"/>
  <c r="AE236" i="7"/>
  <c r="AE65" i="7"/>
  <c r="AE248" i="7"/>
  <c r="AE36" i="7"/>
  <c r="AE228" i="7"/>
  <c r="AE212" i="7"/>
  <c r="AE275" i="7"/>
  <c r="AE146" i="7"/>
  <c r="AE90" i="7"/>
  <c r="AE203" i="7"/>
  <c r="AE186" i="7"/>
  <c r="AE124" i="7"/>
  <c r="AE99" i="7"/>
  <c r="AE82" i="7"/>
  <c r="AE38" i="7"/>
  <c r="AE314" i="7"/>
  <c r="AE147" i="7"/>
  <c r="AE114" i="7"/>
  <c r="AE208" i="7"/>
  <c r="AE50" i="7"/>
  <c r="AE184" i="7"/>
  <c r="AE300" i="7"/>
  <c r="AE211" i="7"/>
  <c r="AE188" i="7"/>
  <c r="AE172" i="7"/>
  <c r="AE150" i="7"/>
  <c r="AE118" i="7"/>
  <c r="AE94" i="7"/>
  <c r="AE207" i="7"/>
  <c r="AE89" i="7"/>
  <c r="AE10" i="7"/>
  <c r="AE220" i="7"/>
  <c r="AE136" i="7"/>
  <c r="AE72" i="7"/>
  <c r="AE202" i="7"/>
  <c r="AE120" i="7"/>
  <c r="AE81" i="7"/>
  <c r="AE307" i="7"/>
  <c r="AE140" i="7"/>
  <c r="AE107" i="7"/>
  <c r="AE271" i="7"/>
  <c r="AE166" i="7"/>
  <c r="AE126" i="7"/>
  <c r="AE313" i="7"/>
  <c r="AE145" i="7"/>
  <c r="AE299" i="7"/>
  <c r="AE204" i="7"/>
  <c r="AE179" i="7"/>
  <c r="AE168" i="7"/>
  <c r="AE134" i="7"/>
  <c r="AE108" i="7"/>
  <c r="AE87" i="7"/>
  <c r="AE40" i="7"/>
  <c r="AE183" i="7"/>
  <c r="AE54" i="7"/>
  <c r="AE315" i="7"/>
  <c r="AE200" i="7"/>
  <c r="AE115" i="7"/>
  <c r="AE58" i="7"/>
  <c r="AE110" i="7"/>
  <c r="AE75" i="7"/>
  <c r="AE287" i="7"/>
  <c r="AE62" i="7"/>
  <c r="AE239" i="7"/>
  <c r="AE163" i="7"/>
  <c r="AE102" i="7"/>
  <c r="AE255" i="7"/>
  <c r="AE18" i="7"/>
  <c r="AE279" i="7"/>
  <c r="AE195" i="7"/>
  <c r="AE178" i="7"/>
  <c r="AE131" i="7"/>
  <c r="AE104" i="7"/>
  <c r="AE199" i="7"/>
  <c r="AE30" i="7"/>
  <c r="AE26" i="7"/>
  <c r="AE79" i="7"/>
  <c r="AE143" i="7"/>
  <c r="AE148" i="7"/>
  <c r="AE19" i="7"/>
  <c r="AE53" i="7"/>
  <c r="AE85" i="7"/>
  <c r="AE117" i="7"/>
  <c r="AE149" i="7"/>
  <c r="AE100" i="7"/>
  <c r="AE164" i="7"/>
  <c r="AE45" i="7"/>
  <c r="AE167" i="7"/>
  <c r="AE77" i="7"/>
  <c r="AE142" i="7"/>
  <c r="AE174" i="7"/>
  <c r="AE70" i="7"/>
  <c r="AE155" i="7"/>
  <c r="AE247" i="7"/>
  <c r="AE292" i="7"/>
  <c r="AE311" i="7"/>
  <c r="AE43" i="7"/>
  <c r="AE6" i="7"/>
  <c r="AE86" i="7"/>
  <c r="AE158" i="7"/>
  <c r="AE306" i="7"/>
  <c r="AE96" i="7"/>
  <c r="AE35" i="7"/>
  <c r="AE225" i="7"/>
  <c r="AE5" i="7"/>
  <c r="AE269" i="7"/>
  <c r="AE135" i="7"/>
  <c r="AE33" i="7"/>
  <c r="AE139" i="7"/>
  <c r="AE193" i="7"/>
  <c r="AE232" i="7"/>
  <c r="AE97" i="7"/>
  <c r="AE152" i="7"/>
  <c r="AE182" i="7"/>
  <c r="AE223" i="7"/>
  <c r="AE243" i="7"/>
  <c r="AE259" i="7"/>
  <c r="AE276" i="7"/>
  <c r="AE105" i="7"/>
  <c r="AE189" i="7"/>
  <c r="AE233" i="7"/>
  <c r="AE249" i="7"/>
  <c r="AE265" i="7"/>
  <c r="AE281" i="7"/>
  <c r="AE297" i="7"/>
  <c r="AE9" i="7"/>
  <c r="AE84" i="7"/>
  <c r="AE74" i="7"/>
  <c r="AE303" i="7"/>
  <c r="AE317" i="7"/>
  <c r="AE27" i="7"/>
  <c r="AE91" i="7"/>
  <c r="AE170" i="7"/>
  <c r="AE196" i="7"/>
  <c r="AE283" i="7"/>
  <c r="AE64" i="7"/>
  <c r="AE144" i="7"/>
  <c r="AE57" i="7"/>
  <c r="AE254" i="7"/>
  <c r="AE15" i="7"/>
  <c r="AE237" i="7"/>
  <c r="AE285" i="7"/>
  <c r="AE31" i="7"/>
  <c r="AE63" i="7"/>
  <c r="AE95" i="7"/>
  <c r="AE127" i="7"/>
  <c r="AE159" i="7"/>
  <c r="AE116" i="7"/>
  <c r="AE29" i="7"/>
  <c r="AE48" i="7"/>
  <c r="AE71" i="7"/>
  <c r="AE103" i="7"/>
  <c r="AE125" i="7"/>
  <c r="AE157" i="7"/>
  <c r="AE192" i="7"/>
  <c r="AE41" i="7"/>
  <c r="AE60" i="7"/>
  <c r="AE83" i="7"/>
  <c r="AE230" i="7"/>
  <c r="AE262" i="7"/>
  <c r="AE294" i="7"/>
  <c r="AE23" i="7"/>
  <c r="AE13" i="7"/>
  <c r="AE210" i="7"/>
  <c r="AE226" i="7"/>
  <c r="AE242" i="7"/>
  <c r="AE258" i="7"/>
  <c r="AE274" i="7"/>
  <c r="AE290" i="7"/>
  <c r="AE11" i="7"/>
  <c r="AE34" i="7"/>
  <c r="AE153" i="7"/>
  <c r="AE201" i="7"/>
  <c r="AE308" i="7"/>
  <c r="AE129" i="7"/>
  <c r="AE161" i="7"/>
  <c r="AE206" i="7"/>
  <c r="AE224" i="7"/>
  <c r="AE244" i="7"/>
  <c r="AE260" i="7"/>
  <c r="AE46" i="7"/>
  <c r="AE137" i="7"/>
  <c r="AE197" i="7"/>
  <c r="AE240" i="7"/>
  <c r="AE256" i="7"/>
  <c r="AE272" i="7"/>
  <c r="AE288" i="7"/>
  <c r="AE304" i="7"/>
  <c r="AE78" i="7"/>
  <c r="AE309" i="7"/>
  <c r="AE8" i="7"/>
  <c r="AE180" i="7"/>
  <c r="AE284" i="7"/>
  <c r="AE119" i="7"/>
  <c r="AE176" i="7"/>
  <c r="AE76" i="7"/>
  <c r="AE286" i="7"/>
  <c r="AE221" i="7"/>
  <c r="AE253" i="7"/>
  <c r="AE301" i="7"/>
  <c r="AE37" i="7"/>
  <c r="AE69" i="7"/>
  <c r="AE101" i="7"/>
  <c r="AE133" i="7"/>
  <c r="AE165" i="7"/>
  <c r="AE132" i="7"/>
  <c r="AE32" i="7"/>
  <c r="AE55" i="7"/>
  <c r="AE80" i="7"/>
  <c r="AE109" i="7"/>
  <c r="AE128" i="7"/>
  <c r="AE160" i="7"/>
  <c r="AE25" i="7"/>
  <c r="AE44" i="7"/>
  <c r="AE67" i="7"/>
  <c r="AE214" i="7"/>
  <c r="AE238" i="7"/>
  <c r="AE270" i="7"/>
  <c r="AE302" i="7"/>
  <c r="AE21" i="7"/>
  <c r="AE213" i="7"/>
  <c r="AE229" i="7"/>
  <c r="AE245" i="7"/>
  <c r="AE261" i="7"/>
  <c r="AE277" i="7"/>
  <c r="AE293" i="7"/>
  <c r="AE12" i="7"/>
  <c r="AE42" i="7"/>
  <c r="AE171" i="7"/>
  <c r="AE209" i="7"/>
  <c r="AE316" i="7"/>
  <c r="AE130" i="7"/>
  <c r="AE162" i="7"/>
  <c r="AE190" i="7"/>
  <c r="AE235" i="7"/>
  <c r="AE251" i="7"/>
  <c r="AE267" i="7"/>
  <c r="AE52" i="7"/>
  <c r="AE169" i="7"/>
  <c r="AE205" i="7"/>
  <c r="AE241" i="7"/>
  <c r="AE257" i="7"/>
  <c r="AE273" i="7"/>
  <c r="AE289" i="7"/>
  <c r="AE305" i="7"/>
  <c r="AE66" i="7"/>
  <c r="AE88" i="7"/>
  <c r="AE138" i="7"/>
  <c r="AE291" i="7"/>
  <c r="AE310" i="7"/>
  <c r="AE22" i="7"/>
  <c r="AE295" i="7"/>
  <c r="AE4" i="7"/>
  <c r="Y315" i="7"/>
  <c r="Y311" i="7"/>
  <c r="Y307" i="7"/>
  <c r="Y303" i="7"/>
  <c r="Y299" i="7"/>
  <c r="Y295" i="7"/>
  <c r="Y291" i="7"/>
  <c r="Y287" i="7"/>
  <c r="Y283" i="7"/>
  <c r="Y279" i="7"/>
  <c r="Y275" i="7"/>
  <c r="Y271" i="7"/>
  <c r="Y267" i="7"/>
  <c r="Y263" i="7"/>
  <c r="Y259" i="7"/>
  <c r="Y255" i="7"/>
  <c r="Y251" i="7"/>
  <c r="Y247" i="7"/>
  <c r="Y243" i="7"/>
  <c r="Y239" i="7"/>
  <c r="Y235" i="7"/>
  <c r="Y231" i="7"/>
  <c r="Y227" i="7"/>
  <c r="Y223" i="7"/>
  <c r="Y219" i="7"/>
  <c r="Y215" i="7"/>
  <c r="Y211" i="7"/>
  <c r="Y207" i="7"/>
  <c r="Y203" i="7"/>
  <c r="Y199" i="7"/>
  <c r="Y195" i="7"/>
  <c r="Y191" i="7"/>
  <c r="Y187" i="7"/>
  <c r="Y183" i="7"/>
  <c r="Y179" i="7"/>
  <c r="Y175" i="7"/>
  <c r="Y171" i="7"/>
  <c r="Y167" i="7"/>
  <c r="Y163" i="7"/>
  <c r="Y159" i="7"/>
  <c r="Y155" i="7"/>
  <c r="Y151" i="7"/>
  <c r="Y147" i="7"/>
  <c r="Y143" i="7"/>
  <c r="Y139" i="7"/>
  <c r="Y135" i="7"/>
  <c r="Y131" i="7"/>
  <c r="Y127" i="7"/>
  <c r="Y123" i="7"/>
  <c r="Y119" i="7"/>
  <c r="Y115" i="7"/>
  <c r="Y111" i="7"/>
  <c r="Y107" i="7"/>
  <c r="Y103" i="7"/>
  <c r="Y99" i="7"/>
  <c r="Y95" i="7"/>
  <c r="Y91" i="7"/>
  <c r="Y87" i="7"/>
  <c r="Y83" i="7"/>
  <c r="Y79" i="7"/>
  <c r="Y75" i="7"/>
  <c r="Y71" i="7"/>
  <c r="Y67" i="7"/>
  <c r="Y63" i="7"/>
  <c r="Y59" i="7"/>
  <c r="Y55" i="7"/>
  <c r="Y51" i="7"/>
  <c r="Y47" i="7"/>
  <c r="Y43" i="7"/>
  <c r="Y39" i="7"/>
  <c r="Y35" i="7"/>
  <c r="Y31" i="7"/>
  <c r="Y27" i="7"/>
  <c r="Y23" i="7"/>
  <c r="Y7" i="7"/>
  <c r="Y314" i="7"/>
  <c r="Y310" i="7"/>
  <c r="Y306" i="7"/>
  <c r="Y302" i="7"/>
  <c r="Y298" i="7"/>
  <c r="Y294" i="7"/>
  <c r="Y290" i="7"/>
  <c r="Y286" i="7"/>
  <c r="Y282" i="7"/>
  <c r="Y278" i="7"/>
  <c r="Y274" i="7"/>
  <c r="Y270" i="7"/>
  <c r="Y266" i="7"/>
  <c r="Y262" i="7"/>
  <c r="Y258" i="7"/>
  <c r="Y254" i="7"/>
  <c r="Y250" i="7"/>
  <c r="Y246" i="7"/>
  <c r="Y242" i="7"/>
  <c r="Y238" i="7"/>
  <c r="Y234" i="7"/>
  <c r="Y230" i="7"/>
  <c r="Y226" i="7"/>
  <c r="Y222" i="7"/>
  <c r="Y218" i="7"/>
  <c r="Y214" i="7"/>
  <c r="Y210" i="7"/>
  <c r="Y206" i="7"/>
  <c r="Y202" i="7"/>
  <c r="Y198" i="7"/>
  <c r="Y194" i="7"/>
  <c r="Y190" i="7"/>
  <c r="Y186" i="7"/>
  <c r="Y182" i="7"/>
  <c r="Y178" i="7"/>
  <c r="Y174" i="7"/>
  <c r="Y170" i="7"/>
  <c r="Y166" i="7"/>
  <c r="Y162" i="7"/>
  <c r="Y158" i="7"/>
  <c r="Y154" i="7"/>
  <c r="Y150" i="7"/>
  <c r="Y146" i="7"/>
  <c r="Y142" i="7"/>
  <c r="Y138" i="7"/>
  <c r="Y134" i="7"/>
  <c r="Y130" i="7"/>
  <c r="Y126" i="7"/>
  <c r="Y122" i="7"/>
  <c r="Y118" i="7"/>
  <c r="Y114" i="7"/>
  <c r="Y110" i="7"/>
  <c r="Y106" i="7"/>
  <c r="Y102" i="7"/>
  <c r="Y98" i="7"/>
  <c r="Y94" i="7"/>
  <c r="Y90" i="7"/>
  <c r="Y86" i="7"/>
  <c r="Y82" i="7"/>
  <c r="Y78" i="7"/>
  <c r="Y74" i="7"/>
  <c r="Y70" i="7"/>
  <c r="Y66" i="7"/>
  <c r="Y62" i="7"/>
  <c r="Y58" i="7"/>
  <c r="Y54" i="7"/>
  <c r="Y50" i="7"/>
  <c r="Y46" i="7"/>
  <c r="Y42" i="7"/>
  <c r="Y38" i="7"/>
  <c r="Y34" i="7"/>
  <c r="Y30" i="7"/>
  <c r="Y26" i="7"/>
  <c r="Y22" i="7"/>
  <c r="Y18" i="7"/>
  <c r="Y14" i="7"/>
  <c r="Y10" i="7"/>
  <c r="Y6" i="7"/>
  <c r="Y317" i="7"/>
  <c r="Y313" i="7"/>
  <c r="Y309" i="7"/>
  <c r="Y305" i="7"/>
  <c r="Y301" i="7"/>
  <c r="Y297" i="7"/>
  <c r="Y293" i="7"/>
  <c r="Y289" i="7"/>
  <c r="Y285" i="7"/>
  <c r="Y281" i="7"/>
  <c r="Y277" i="7"/>
  <c r="Y273" i="7"/>
  <c r="Y269" i="7"/>
  <c r="Y265" i="7"/>
  <c r="Y261" i="7"/>
  <c r="Y257" i="7"/>
  <c r="Y253" i="7"/>
  <c r="Y249" i="7"/>
  <c r="Y245" i="7"/>
  <c r="Y241" i="7"/>
  <c r="Y237" i="7"/>
  <c r="Y233" i="7"/>
  <c r="Y229" i="7"/>
  <c r="Y225" i="7"/>
  <c r="Y221" i="7"/>
  <c r="Y217" i="7"/>
  <c r="Y213" i="7"/>
  <c r="Y209" i="7"/>
  <c r="Y205" i="7"/>
  <c r="Y201" i="7"/>
  <c r="Y197" i="7"/>
  <c r="Y193" i="7"/>
  <c r="Y189" i="7"/>
  <c r="Y185" i="7"/>
  <c r="Y181" i="7"/>
  <c r="Y177" i="7"/>
  <c r="Y173" i="7"/>
  <c r="Y169" i="7"/>
  <c r="Y165" i="7"/>
  <c r="Y161" i="7"/>
  <c r="Y157" i="7"/>
  <c r="Y153" i="7"/>
  <c r="Y149" i="7"/>
  <c r="Y145" i="7"/>
  <c r="Y141" i="7"/>
  <c r="Y137" i="7"/>
  <c r="Y133" i="7"/>
  <c r="Y129" i="7"/>
  <c r="Y125" i="7"/>
  <c r="Y121" i="7"/>
  <c r="Y117" i="7"/>
  <c r="Y113" i="7"/>
  <c r="Y109" i="7"/>
  <c r="Y105" i="7"/>
  <c r="Y101" i="7"/>
  <c r="Y97" i="7"/>
  <c r="Y93" i="7"/>
  <c r="Y89" i="7"/>
  <c r="Y85" i="7"/>
  <c r="Y81" i="7"/>
  <c r="Y77" i="7"/>
  <c r="Y73" i="7"/>
  <c r="Y69" i="7"/>
  <c r="Y65" i="7"/>
  <c r="Y61" i="7"/>
  <c r="Y57" i="7"/>
  <c r="Y53" i="7"/>
  <c r="Y49" i="7"/>
  <c r="Y45" i="7"/>
  <c r="Y41" i="7"/>
  <c r="Y37" i="7"/>
  <c r="Y33" i="7"/>
  <c r="Y29" i="7"/>
  <c r="Y25" i="7"/>
  <c r="Y21" i="7"/>
  <c r="Y17" i="7"/>
  <c r="Y13" i="7"/>
  <c r="Y9" i="7"/>
  <c r="Y5" i="7"/>
  <c r="Y316" i="7"/>
  <c r="Y312" i="7"/>
  <c r="Y308" i="7"/>
  <c r="Y304" i="7"/>
  <c r="Y300" i="7"/>
  <c r="Y296" i="7"/>
  <c r="Y292" i="7"/>
  <c r="Y288" i="7"/>
  <c r="Y284" i="7"/>
  <c r="Y280" i="7"/>
  <c r="Y276" i="7"/>
  <c r="Y272" i="7"/>
  <c r="Y268" i="7"/>
  <c r="Y264" i="7"/>
  <c r="Y260" i="7"/>
  <c r="Y256" i="7"/>
  <c r="Y252" i="7"/>
  <c r="Y248" i="7"/>
  <c r="Y244" i="7"/>
  <c r="Y240" i="7"/>
  <c r="Y236" i="7"/>
  <c r="Y232" i="7"/>
  <c r="Y228" i="7"/>
  <c r="Y224" i="7"/>
  <c r="Y220" i="7"/>
  <c r="Y216" i="7"/>
  <c r="Y212" i="7"/>
  <c r="Y208" i="7"/>
  <c r="Y204" i="7"/>
  <c r="Y200" i="7"/>
  <c r="Y196" i="7"/>
  <c r="Y192" i="7"/>
  <c r="Y188" i="7"/>
  <c r="Y184" i="7"/>
  <c r="Y180" i="7"/>
  <c r="Y176" i="7"/>
  <c r="Y172" i="7"/>
  <c r="Y168" i="7"/>
  <c r="Y164" i="7"/>
  <c r="Y160" i="7"/>
  <c r="Y156" i="7"/>
  <c r="Y152" i="7"/>
  <c r="Y148" i="7"/>
  <c r="Y144" i="7"/>
  <c r="Y140" i="7"/>
  <c r="Y136" i="7"/>
  <c r="Y132" i="7"/>
  <c r="Y128" i="7"/>
  <c r="Y124" i="7"/>
  <c r="Y120" i="7"/>
  <c r="Y116" i="7"/>
  <c r="Y112" i="7"/>
  <c r="Y108" i="7"/>
  <c r="Y104" i="7"/>
  <c r="Y100" i="7"/>
  <c r="Y96" i="7"/>
  <c r="Y92" i="7"/>
  <c r="Y88" i="7"/>
  <c r="Y84" i="7"/>
  <c r="Y80" i="7"/>
  <c r="Y76" i="7"/>
  <c r="Y72" i="7"/>
  <c r="Y68" i="7"/>
  <c r="Y64" i="7"/>
  <c r="Y60" i="7"/>
  <c r="Y56" i="7"/>
  <c r="Y52" i="7"/>
  <c r="Y48" i="7"/>
  <c r="Y44" i="7"/>
  <c r="Y40" i="7"/>
  <c r="Y36" i="7"/>
  <c r="Y32" i="7"/>
  <c r="Y28" i="7"/>
  <c r="Y24" i="7"/>
  <c r="Y20" i="7"/>
  <c r="Y16" i="7"/>
  <c r="Y12" i="7"/>
  <c r="Y8" i="7"/>
  <c r="Y19" i="7"/>
  <c r="Y15" i="7"/>
  <c r="Y11" i="7"/>
  <c r="Y4" i="7"/>
  <c r="I7" i="7"/>
  <c r="I8" i="7"/>
  <c r="I11" i="7"/>
  <c r="I12" i="7"/>
  <c r="I15" i="7"/>
  <c r="I16" i="7"/>
  <c r="I19" i="7"/>
  <c r="I20" i="7"/>
  <c r="I23" i="7"/>
  <c r="I24" i="7"/>
  <c r="I27" i="7"/>
  <c r="I28" i="7"/>
  <c r="I31" i="7"/>
  <c r="I32" i="7"/>
  <c r="I35" i="7"/>
  <c r="I36" i="7"/>
  <c r="I39" i="7"/>
  <c r="I40" i="7"/>
  <c r="I43" i="7"/>
  <c r="I44" i="7"/>
  <c r="I47" i="7"/>
  <c r="I48" i="7"/>
  <c r="I51" i="7"/>
  <c r="I52" i="7"/>
  <c r="I55" i="7"/>
  <c r="I56" i="7"/>
  <c r="I59" i="7"/>
  <c r="I60" i="7"/>
  <c r="I64" i="7"/>
  <c r="I67" i="7"/>
  <c r="I68" i="7"/>
  <c r="I71" i="7"/>
  <c r="I72" i="7"/>
  <c r="I75" i="7"/>
  <c r="I76" i="7"/>
  <c r="I79" i="7"/>
  <c r="I80" i="7"/>
  <c r="I83" i="7"/>
  <c r="I84" i="7"/>
  <c r="I87" i="7"/>
  <c r="I88" i="7"/>
  <c r="I91" i="7"/>
  <c r="I92" i="7"/>
  <c r="I96" i="7"/>
  <c r="I99" i="7"/>
  <c r="I100" i="7"/>
  <c r="I103" i="7"/>
  <c r="I104" i="7"/>
  <c r="I107" i="7"/>
  <c r="I108" i="7"/>
  <c r="I111" i="7"/>
  <c r="I112" i="7"/>
  <c r="I115" i="7"/>
  <c r="I116" i="7"/>
  <c r="I119" i="7"/>
  <c r="I120" i="7"/>
  <c r="I123" i="7"/>
  <c r="I124" i="7"/>
  <c r="I127" i="7"/>
  <c r="I128" i="7"/>
  <c r="I131" i="7"/>
  <c r="I132" i="7"/>
  <c r="I135" i="7"/>
  <c r="I136" i="7"/>
  <c r="I139" i="7"/>
  <c r="I140" i="7"/>
  <c r="I143" i="7"/>
  <c r="I144" i="7"/>
  <c r="I147" i="7"/>
  <c r="I148" i="7"/>
  <c r="I152" i="7"/>
  <c r="I155" i="7"/>
  <c r="I156" i="7"/>
  <c r="I159" i="7"/>
  <c r="I160" i="7"/>
  <c r="I163" i="7"/>
  <c r="I164" i="7"/>
  <c r="I167" i="7"/>
  <c r="I168" i="7"/>
  <c r="I171" i="7"/>
  <c r="I172" i="7"/>
  <c r="I175" i="7"/>
  <c r="I176" i="7"/>
  <c r="I179" i="7"/>
  <c r="I180" i="7"/>
  <c r="I183" i="7"/>
  <c r="I184" i="7"/>
  <c r="I187" i="7"/>
  <c r="I188" i="7"/>
  <c r="I191" i="7"/>
  <c r="I192" i="7"/>
  <c r="I195" i="7"/>
  <c r="I196" i="7"/>
  <c r="I199" i="7"/>
  <c r="I200" i="7"/>
  <c r="I203" i="7"/>
  <c r="I204" i="7"/>
  <c r="I207" i="7"/>
  <c r="I208" i="7"/>
  <c r="I211" i="7"/>
  <c r="I212" i="7"/>
  <c r="I216" i="7"/>
  <c r="I219" i="7"/>
  <c r="I220" i="7"/>
  <c r="I223" i="7"/>
  <c r="I224" i="7"/>
  <c r="I227" i="7"/>
  <c r="I228" i="7"/>
  <c r="I231" i="7"/>
  <c r="I232" i="7"/>
  <c r="I235" i="7"/>
  <c r="I236" i="7"/>
  <c r="I239" i="7"/>
  <c r="I240" i="7"/>
  <c r="I243" i="7"/>
  <c r="I244" i="7"/>
  <c r="I247" i="7"/>
  <c r="I248" i="7"/>
  <c r="I251" i="7"/>
  <c r="I252" i="7"/>
  <c r="I255" i="7"/>
  <c r="I256" i="7"/>
  <c r="I259" i="7"/>
  <c r="I260" i="7"/>
  <c r="I263" i="7"/>
  <c r="I264" i="7"/>
  <c r="I267" i="7"/>
  <c r="I268" i="7"/>
  <c r="I271" i="7"/>
  <c r="I272" i="7"/>
  <c r="I275" i="7"/>
  <c r="I276" i="7"/>
  <c r="I280" i="7"/>
  <c r="I283" i="7"/>
  <c r="I284" i="7"/>
  <c r="I287" i="7"/>
  <c r="I288" i="7"/>
  <c r="I291" i="7"/>
  <c r="I292" i="7"/>
  <c r="I295" i="7"/>
  <c r="I296" i="7"/>
  <c r="I299" i="7"/>
  <c r="I300" i="7"/>
  <c r="I303" i="7"/>
  <c r="I304" i="7"/>
  <c r="I307" i="7"/>
  <c r="I308" i="7"/>
  <c r="I311" i="7"/>
  <c r="I312" i="7"/>
  <c r="I315" i="7"/>
  <c r="I316" i="7"/>
  <c r="I4" i="7"/>
  <c r="I63" i="7"/>
  <c r="I95" i="7"/>
  <c r="I151" i="7"/>
  <c r="I215" i="7"/>
  <c r="I279" i="7"/>
  <c r="Z15" i="7" l="1"/>
  <c r="Z282" i="7"/>
  <c r="Z32" i="7"/>
  <c r="Z96" i="7"/>
  <c r="Z144" i="7"/>
  <c r="Z192" i="7"/>
  <c r="Z240" i="7"/>
  <c r="Z288" i="7"/>
  <c r="Z21" i="7"/>
  <c r="Z69" i="7"/>
  <c r="Z117" i="7"/>
  <c r="Z165" i="7"/>
  <c r="Z213" i="7"/>
  <c r="Z261" i="7"/>
  <c r="Z309" i="7"/>
  <c r="Z42" i="7"/>
  <c r="Z90" i="7"/>
  <c r="Z138" i="7"/>
  <c r="Z154" i="7"/>
  <c r="Z170" i="7"/>
  <c r="Z186" i="7"/>
  <c r="Z202" i="7"/>
  <c r="Z218" i="7"/>
  <c r="Z234" i="7"/>
  <c r="Z250" i="7"/>
  <c r="Z266" i="7"/>
  <c r="Z48" i="7"/>
  <c r="Z80" i="7"/>
  <c r="Z128" i="7"/>
  <c r="Z176" i="7"/>
  <c r="Z224" i="7"/>
  <c r="Z272" i="7"/>
  <c r="Z304" i="7"/>
  <c r="Z37" i="7"/>
  <c r="Z101" i="7"/>
  <c r="Z149" i="7"/>
  <c r="Z197" i="7"/>
  <c r="Z229" i="7"/>
  <c r="Z293" i="7"/>
  <c r="Z10" i="7"/>
  <c r="Z58" i="7"/>
  <c r="Z122" i="7"/>
  <c r="Z298" i="7"/>
  <c r="Z16" i="7"/>
  <c r="Z64" i="7"/>
  <c r="Z112" i="7"/>
  <c r="Z160" i="7"/>
  <c r="Z208" i="7"/>
  <c r="Z256" i="7"/>
  <c r="Z5" i="7"/>
  <c r="Z53" i="7"/>
  <c r="Z85" i="7"/>
  <c r="Z133" i="7"/>
  <c r="Z181" i="7"/>
  <c r="Z245" i="7"/>
  <c r="Z277" i="7"/>
  <c r="Z26" i="7"/>
  <c r="Z74" i="7"/>
  <c r="Z106" i="7"/>
  <c r="Z314" i="7"/>
  <c r="Z31" i="7"/>
  <c r="Z79" i="7"/>
  <c r="Z127" i="7"/>
  <c r="Z175" i="7"/>
  <c r="Z223" i="7"/>
  <c r="Z239" i="7"/>
  <c r="Z287" i="7"/>
  <c r="Z303" i="7"/>
  <c r="Z19" i="7"/>
  <c r="Z20" i="7"/>
  <c r="Z36" i="7"/>
  <c r="Z52" i="7"/>
  <c r="Z68" i="7"/>
  <c r="Z84" i="7"/>
  <c r="Z100" i="7"/>
  <c r="Z116" i="7"/>
  <c r="Z132" i="7"/>
  <c r="Z148" i="7"/>
  <c r="Z164" i="7"/>
  <c r="Z180" i="7"/>
  <c r="Z196" i="7"/>
  <c r="Z212" i="7"/>
  <c r="Z228" i="7"/>
  <c r="Z244" i="7"/>
  <c r="Z260" i="7"/>
  <c r="Z276" i="7"/>
  <c r="Z292" i="7"/>
  <c r="Z308" i="7"/>
  <c r="Z9" i="7"/>
  <c r="Z25" i="7"/>
  <c r="Z41" i="7"/>
  <c r="Z57" i="7"/>
  <c r="Z73" i="7"/>
  <c r="Z89" i="7"/>
  <c r="Z105" i="7"/>
  <c r="Z121" i="7"/>
  <c r="Z137" i="7"/>
  <c r="Z153" i="7"/>
  <c r="Z169" i="7"/>
  <c r="Z185" i="7"/>
  <c r="Z201" i="7"/>
  <c r="Z217" i="7"/>
  <c r="Z233" i="7"/>
  <c r="Z249" i="7"/>
  <c r="Z265" i="7"/>
  <c r="Z281" i="7"/>
  <c r="Z297" i="7"/>
  <c r="Z313" i="7"/>
  <c r="Z14" i="7"/>
  <c r="Z30" i="7"/>
  <c r="Z46" i="7"/>
  <c r="Z62" i="7"/>
  <c r="Z78" i="7"/>
  <c r="Z94" i="7"/>
  <c r="Z110" i="7"/>
  <c r="Z126" i="7"/>
  <c r="Z142" i="7"/>
  <c r="Z158" i="7"/>
  <c r="Z174" i="7"/>
  <c r="Z190" i="7"/>
  <c r="Z206" i="7"/>
  <c r="Z222" i="7"/>
  <c r="Z238" i="7"/>
  <c r="Z254" i="7"/>
  <c r="Z270" i="7"/>
  <c r="Z286" i="7"/>
  <c r="Z302" i="7"/>
  <c r="Z7" i="7"/>
  <c r="Z35" i="7"/>
  <c r="Z51" i="7"/>
  <c r="Z67" i="7"/>
  <c r="Z83" i="7"/>
  <c r="Z99" i="7"/>
  <c r="Z115" i="7"/>
  <c r="Z131" i="7"/>
  <c r="Z147" i="7"/>
  <c r="Z163" i="7"/>
  <c r="Z179" i="7"/>
  <c r="Z195" i="7"/>
  <c r="Z211" i="7"/>
  <c r="Z227" i="7"/>
  <c r="Z243" i="7"/>
  <c r="Z259" i="7"/>
  <c r="Z275" i="7"/>
  <c r="Z291" i="7"/>
  <c r="Z307" i="7"/>
  <c r="Z47" i="7"/>
  <c r="Z95" i="7"/>
  <c r="Z143" i="7"/>
  <c r="Z207" i="7"/>
  <c r="Z255" i="7"/>
  <c r="Z8" i="7"/>
  <c r="Z24" i="7"/>
  <c r="Z40" i="7"/>
  <c r="Z56" i="7"/>
  <c r="Z72" i="7"/>
  <c r="Z88" i="7"/>
  <c r="Z104" i="7"/>
  <c r="Z120" i="7"/>
  <c r="Z136" i="7"/>
  <c r="Z152" i="7"/>
  <c r="Z168" i="7"/>
  <c r="Z184" i="7"/>
  <c r="Z200" i="7"/>
  <c r="Z216" i="7"/>
  <c r="Z232" i="7"/>
  <c r="Z248" i="7"/>
  <c r="Z264" i="7"/>
  <c r="Z280" i="7"/>
  <c r="Z296" i="7"/>
  <c r="Z312" i="7"/>
  <c r="Z13" i="7"/>
  <c r="Z29" i="7"/>
  <c r="Z45" i="7"/>
  <c r="Z61" i="7"/>
  <c r="Z77" i="7"/>
  <c r="Z93" i="7"/>
  <c r="Z109" i="7"/>
  <c r="Z125" i="7"/>
  <c r="Z141" i="7"/>
  <c r="Z157" i="7"/>
  <c r="Z173" i="7"/>
  <c r="Z189" i="7"/>
  <c r="Z205" i="7"/>
  <c r="Z221" i="7"/>
  <c r="Z237" i="7"/>
  <c r="Z253" i="7"/>
  <c r="Z269" i="7"/>
  <c r="Z285" i="7"/>
  <c r="Z301" i="7"/>
  <c r="Z317" i="7"/>
  <c r="Z18" i="7"/>
  <c r="Z34" i="7"/>
  <c r="Z50" i="7"/>
  <c r="Z66" i="7"/>
  <c r="Z82" i="7"/>
  <c r="Z98" i="7"/>
  <c r="Z114" i="7"/>
  <c r="Z130" i="7"/>
  <c r="Z146" i="7"/>
  <c r="Z162" i="7"/>
  <c r="Z178" i="7"/>
  <c r="Z194" i="7"/>
  <c r="Z210" i="7"/>
  <c r="Z226" i="7"/>
  <c r="Z242" i="7"/>
  <c r="Z258" i="7"/>
  <c r="Z274" i="7"/>
  <c r="Z290" i="7"/>
  <c r="Z306" i="7"/>
  <c r="Z23" i="7"/>
  <c r="Z39" i="7"/>
  <c r="Z55" i="7"/>
  <c r="Z71" i="7"/>
  <c r="Z87" i="7"/>
  <c r="Z103" i="7"/>
  <c r="Z119" i="7"/>
  <c r="Z135" i="7"/>
  <c r="Z151" i="7"/>
  <c r="Z167" i="7"/>
  <c r="Z183" i="7"/>
  <c r="Z199" i="7"/>
  <c r="Z215" i="7"/>
  <c r="Z231" i="7"/>
  <c r="Z247" i="7"/>
  <c r="Z263" i="7"/>
  <c r="Z279" i="7"/>
  <c r="Z295" i="7"/>
  <c r="Z311" i="7"/>
  <c r="Z63" i="7"/>
  <c r="Z111" i="7"/>
  <c r="Z159" i="7"/>
  <c r="Z191" i="7"/>
  <c r="Z271" i="7"/>
  <c r="Z4" i="7"/>
  <c r="Z11" i="7"/>
  <c r="Z12" i="7"/>
  <c r="Z28" i="7"/>
  <c r="Z44" i="7"/>
  <c r="Z60" i="7"/>
  <c r="Z76" i="7"/>
  <c r="Z92" i="7"/>
  <c r="Z108" i="7"/>
  <c r="Z124" i="7"/>
  <c r="Z140" i="7"/>
  <c r="Z156" i="7"/>
  <c r="Z172" i="7"/>
  <c r="Z188" i="7"/>
  <c r="Z204" i="7"/>
  <c r="Z220" i="7"/>
  <c r="Z236" i="7"/>
  <c r="Z252" i="7"/>
  <c r="Z268" i="7"/>
  <c r="Z284" i="7"/>
  <c r="Z300" i="7"/>
  <c r="Z316" i="7"/>
  <c r="Z17" i="7"/>
  <c r="Z33" i="7"/>
  <c r="Z49" i="7"/>
  <c r="Z65" i="7"/>
  <c r="Z81" i="7"/>
  <c r="Z97" i="7"/>
  <c r="Z113" i="7"/>
  <c r="Z129" i="7"/>
  <c r="Z145" i="7"/>
  <c r="Z161" i="7"/>
  <c r="Z177" i="7"/>
  <c r="Z193" i="7"/>
  <c r="Z209" i="7"/>
  <c r="Z225" i="7"/>
  <c r="Z241" i="7"/>
  <c r="Z257" i="7"/>
  <c r="Z273" i="7"/>
  <c r="Z289" i="7"/>
  <c r="Z305" i="7"/>
  <c r="Z6" i="7"/>
  <c r="Z22" i="7"/>
  <c r="Z38" i="7"/>
  <c r="Z54" i="7"/>
  <c r="Z70" i="7"/>
  <c r="Z86" i="7"/>
  <c r="Z102" i="7"/>
  <c r="Z118" i="7"/>
  <c r="Z134" i="7"/>
  <c r="Z150" i="7"/>
  <c r="Z166" i="7"/>
  <c r="Z182" i="7"/>
  <c r="Z198" i="7"/>
  <c r="Z214" i="7"/>
  <c r="Z230" i="7"/>
  <c r="Z246" i="7"/>
  <c r="Z262" i="7"/>
  <c r="Z278" i="7"/>
  <c r="Z294" i="7"/>
  <c r="Z310" i="7"/>
  <c r="Z27" i="7"/>
  <c r="Z43" i="7"/>
  <c r="Z59" i="7"/>
  <c r="Z75" i="7"/>
  <c r="Z91" i="7"/>
  <c r="Z107" i="7"/>
  <c r="Z123" i="7"/>
  <c r="Z139" i="7"/>
  <c r="Z155" i="7"/>
  <c r="Z171" i="7"/>
  <c r="Z187" i="7"/>
  <c r="Z203" i="7"/>
  <c r="Z219" i="7"/>
  <c r="Z235" i="7"/>
  <c r="Z251" i="7"/>
  <c r="Z267" i="7"/>
  <c r="Z283" i="7"/>
  <c r="Z299" i="7"/>
  <c r="Z315" i="7"/>
  <c r="I314" i="7"/>
  <c r="I309" i="7"/>
  <c r="I306" i="7"/>
  <c r="I301" i="7"/>
  <c r="I294" i="7"/>
  <c r="I289" i="7"/>
  <c r="I282" i="7"/>
  <c r="I277" i="7"/>
  <c r="I270" i="7"/>
  <c r="I265" i="7"/>
  <c r="I258" i="7"/>
  <c r="I253" i="7"/>
  <c r="I246" i="7"/>
  <c r="I241" i="7"/>
  <c r="I234" i="7"/>
  <c r="I229" i="7"/>
  <c r="I222" i="7"/>
  <c r="I217" i="7"/>
  <c r="I210" i="7"/>
  <c r="I202" i="7"/>
  <c r="I197" i="7"/>
  <c r="I190" i="7"/>
  <c r="I185" i="7"/>
  <c r="I178" i="7"/>
  <c r="I173" i="7"/>
  <c r="I166" i="7"/>
  <c r="I161" i="7"/>
  <c r="I154" i="7"/>
  <c r="I149" i="7"/>
  <c r="I142" i="7"/>
  <c r="I137" i="7"/>
  <c r="I130" i="7"/>
  <c r="I125" i="7"/>
  <c r="I118" i="7"/>
  <c r="I113" i="7"/>
  <c r="I102" i="7"/>
  <c r="I97" i="7"/>
  <c r="I90" i="7"/>
  <c r="I85" i="7"/>
  <c r="I78" i="7"/>
  <c r="I73" i="7"/>
  <c r="I66" i="7"/>
  <c r="I61" i="7"/>
  <c r="I58" i="7"/>
  <c r="I57" i="7"/>
  <c r="I54" i="7"/>
  <c r="I53" i="7"/>
  <c r="I50" i="7"/>
  <c r="I49" i="7"/>
  <c r="I46" i="7"/>
  <c r="I45" i="7"/>
  <c r="I42" i="7"/>
  <c r="I41" i="7"/>
  <c r="I38" i="7"/>
  <c r="I37" i="7"/>
  <c r="I34" i="7"/>
  <c r="I33" i="7"/>
  <c r="I30" i="7"/>
  <c r="I29" i="7"/>
  <c r="I26" i="7"/>
  <c r="I25" i="7"/>
  <c r="I22" i="7"/>
  <c r="I21" i="7"/>
  <c r="I18" i="7"/>
  <c r="I17" i="7"/>
  <c r="I14" i="7"/>
  <c r="I13" i="7"/>
  <c r="I10" i="7"/>
  <c r="I9" i="7"/>
  <c r="I6" i="7"/>
  <c r="I5" i="7"/>
  <c r="I317" i="7"/>
  <c r="I310" i="7"/>
  <c r="I305" i="7"/>
  <c r="I297" i="7"/>
  <c r="I293" i="7"/>
  <c r="I286" i="7"/>
  <c r="I281" i="7"/>
  <c r="I273" i="7"/>
  <c r="I269" i="7"/>
  <c r="I262" i="7"/>
  <c r="I257" i="7"/>
  <c r="I245" i="7"/>
  <c r="I238" i="7"/>
  <c r="I233" i="7"/>
  <c r="I226" i="7"/>
  <c r="I221" i="7"/>
  <c r="I214" i="7"/>
  <c r="I209" i="7"/>
  <c r="I205" i="7"/>
  <c r="I198" i="7"/>
  <c r="I193" i="7"/>
  <c r="I186" i="7"/>
  <c r="I181" i="7"/>
  <c r="I174" i="7"/>
  <c r="I169" i="7"/>
  <c r="I162" i="7"/>
  <c r="I157" i="7"/>
  <c r="I150" i="7"/>
  <c r="I145" i="7"/>
  <c r="I138" i="7"/>
  <c r="I134" i="7"/>
  <c r="I129" i="7"/>
  <c r="I122" i="7"/>
  <c r="I114" i="7"/>
  <c r="I109" i="7"/>
  <c r="I105" i="7"/>
  <c r="I98" i="7"/>
  <c r="I94" i="7"/>
  <c r="I89" i="7"/>
  <c r="I82" i="7"/>
  <c r="I77" i="7"/>
  <c r="I70" i="7"/>
  <c r="I62" i="7"/>
  <c r="I313" i="7"/>
  <c r="I302" i="7"/>
  <c r="I298" i="7"/>
  <c r="I290" i="7"/>
  <c r="I285" i="7"/>
  <c r="I278" i="7"/>
  <c r="I274" i="7"/>
  <c r="I266" i="7"/>
  <c r="I261" i="7"/>
  <c r="I254" i="7"/>
  <c r="I250" i="7"/>
  <c r="I249" i="7"/>
  <c r="I242" i="7"/>
  <c r="I237" i="7"/>
  <c r="I230" i="7"/>
  <c r="I225" i="7"/>
  <c r="I218" i="7"/>
  <c r="I213" i="7"/>
  <c r="I206" i="7"/>
  <c r="I201" i="7"/>
  <c r="I194" i="7"/>
  <c r="I189" i="7"/>
  <c r="I182" i="7"/>
  <c r="I177" i="7"/>
  <c r="I170" i="7"/>
  <c r="I165" i="7"/>
  <c r="I158" i="7"/>
  <c r="I153" i="7"/>
  <c r="I146" i="7"/>
  <c r="I141" i="7"/>
  <c r="I133" i="7"/>
  <c r="I126" i="7"/>
  <c r="I121" i="7"/>
  <c r="I117" i="7"/>
  <c r="I110" i="7"/>
  <c r="I106" i="7"/>
  <c r="I101" i="7"/>
  <c r="I93" i="7"/>
  <c r="I86" i="7"/>
  <c r="I81" i="7"/>
  <c r="I74" i="7"/>
  <c r="I69" i="7"/>
  <c r="J69" i="7" s="1"/>
  <c r="I65" i="7"/>
  <c r="J208" i="7" l="1"/>
  <c r="J34" i="7"/>
  <c r="J120" i="7"/>
  <c r="J214" i="7"/>
  <c r="J178" i="7"/>
  <c r="J84" i="7"/>
  <c r="J135" i="7"/>
  <c r="J98" i="7"/>
  <c r="J130" i="7"/>
  <c r="J162" i="7"/>
  <c r="J298" i="7"/>
  <c r="J316" i="7"/>
  <c r="J49" i="7"/>
  <c r="J213" i="7"/>
  <c r="J23" i="7"/>
  <c r="J152" i="7"/>
  <c r="J131" i="7"/>
  <c r="J180" i="7"/>
  <c r="J99" i="7"/>
  <c r="J251" i="7"/>
  <c r="J116" i="7"/>
  <c r="J43" i="7"/>
  <c r="J240" i="7"/>
  <c r="J14" i="7"/>
  <c r="J269" i="7"/>
  <c r="J113" i="7"/>
  <c r="J267" i="7"/>
  <c r="J243" i="7"/>
  <c r="J245" i="7"/>
  <c r="J117" i="7"/>
  <c r="J165" i="7"/>
  <c r="J237" i="7"/>
  <c r="J278" i="7"/>
  <c r="J77" i="7"/>
  <c r="J145" i="7"/>
  <c r="J193" i="7"/>
  <c r="J293" i="7"/>
  <c r="J304" i="7"/>
  <c r="J18" i="7"/>
  <c r="J42" i="7"/>
  <c r="J58" i="7"/>
  <c r="J102" i="7"/>
  <c r="J229" i="7"/>
  <c r="J277" i="7"/>
  <c r="J301" i="7"/>
  <c r="J148" i="7"/>
  <c r="J75" i="7"/>
  <c r="J176" i="7"/>
  <c r="J265" i="7"/>
  <c r="J103" i="7"/>
  <c r="J87" i="7"/>
  <c r="J195" i="7"/>
  <c r="J295" i="7"/>
  <c r="J5" i="7"/>
  <c r="J137" i="7"/>
  <c r="J212" i="7"/>
  <c r="J287" i="7"/>
  <c r="J223" i="7"/>
  <c r="J294" i="7"/>
  <c r="J268" i="7"/>
  <c r="J315" i="7"/>
  <c r="J234" i="7"/>
  <c r="J246" i="7"/>
  <c r="J81" i="7"/>
  <c r="J244" i="7"/>
  <c r="J211" i="7"/>
  <c r="J66" i="7"/>
  <c r="J24" i="7"/>
  <c r="J157" i="7"/>
  <c r="J101" i="7"/>
  <c r="J55" i="7"/>
  <c r="J179" i="7"/>
  <c r="J202" i="7"/>
  <c r="J196" i="7"/>
  <c r="J166" i="7"/>
  <c r="J270" i="7"/>
  <c r="J93" i="7"/>
  <c r="J141" i="7"/>
  <c r="J189" i="7"/>
  <c r="J254" i="7"/>
  <c r="J302" i="7"/>
  <c r="J122" i="7"/>
  <c r="J169" i="7"/>
  <c r="J238" i="7"/>
  <c r="J317" i="7"/>
  <c r="J26" i="7"/>
  <c r="J50" i="7"/>
  <c r="J78" i="7"/>
  <c r="J154" i="7"/>
  <c r="J253" i="7"/>
  <c r="J20" i="7"/>
  <c r="J56" i="7"/>
  <c r="J52" i="7"/>
  <c r="J7" i="7"/>
  <c r="J88" i="7"/>
  <c r="J107" i="7"/>
  <c r="J192" i="7"/>
  <c r="J291" i="7"/>
  <c r="J37" i="7"/>
  <c r="J119" i="7"/>
  <c r="J35" i="7"/>
  <c r="J159" i="7"/>
  <c r="J228" i="7"/>
  <c r="J311" i="7"/>
  <c r="J242" i="7"/>
  <c r="J276" i="7"/>
  <c r="J272" i="7"/>
  <c r="J4" i="7"/>
  <c r="J28" i="7"/>
  <c r="J60" i="7"/>
  <c r="J92" i="7"/>
  <c r="J124" i="7"/>
  <c r="J156" i="7"/>
  <c r="J10" i="7"/>
  <c r="J74" i="7"/>
  <c r="J106" i="7"/>
  <c r="J138" i="7"/>
  <c r="J170" i="7"/>
  <c r="J32" i="7"/>
  <c r="J64" i="7"/>
  <c r="J96" i="7"/>
  <c r="J11" i="7"/>
  <c r="J47" i="7"/>
  <c r="J79" i="7"/>
  <c r="J111" i="7"/>
  <c r="J161" i="7"/>
  <c r="J181" i="7"/>
  <c r="J197" i="7"/>
  <c r="J216" i="7"/>
  <c r="J248" i="7"/>
  <c r="J271" i="7"/>
  <c r="J297" i="7"/>
  <c r="J125" i="7"/>
  <c r="J61" i="7"/>
  <c r="J29" i="7"/>
  <c r="J15" i="7"/>
  <c r="J39" i="7"/>
  <c r="J128" i="7"/>
  <c r="J191" i="7"/>
  <c r="J30" i="7"/>
  <c r="J62" i="7"/>
  <c r="J94" i="7"/>
  <c r="J126" i="7"/>
  <c r="J158" i="7"/>
  <c r="J182" i="7"/>
  <c r="J198" i="7"/>
  <c r="J222" i="7"/>
  <c r="J275" i="7"/>
  <c r="J57" i="7"/>
  <c r="J144" i="7"/>
  <c r="J218" i="7"/>
  <c r="J27" i="7"/>
  <c r="J59" i="7"/>
  <c r="J91" i="7"/>
  <c r="J123" i="7"/>
  <c r="J143" i="7"/>
  <c r="J185" i="7"/>
  <c r="J201" i="7"/>
  <c r="J217" i="7"/>
  <c r="J233" i="7"/>
  <c r="J249" i="7"/>
  <c r="J273" i="7"/>
  <c r="J121" i="7"/>
  <c r="J183" i="7"/>
  <c r="J239" i="7"/>
  <c r="J139" i="7"/>
  <c r="J219" i="7"/>
  <c r="J250" i="7"/>
  <c r="J306" i="7"/>
  <c r="J288" i="7"/>
  <c r="J258" i="7"/>
  <c r="J274" i="7"/>
  <c r="J284" i="7"/>
  <c r="J221" i="7"/>
  <c r="J19" i="7"/>
  <c r="J280" i="7"/>
  <c r="J255" i="7"/>
  <c r="J36" i="7"/>
  <c r="J100" i="7"/>
  <c r="J132" i="7"/>
  <c r="J164" i="7"/>
  <c r="J82" i="7"/>
  <c r="J114" i="7"/>
  <c r="J146" i="7"/>
  <c r="J8" i="7"/>
  <c r="J40" i="7"/>
  <c r="J72" i="7"/>
  <c r="J104" i="7"/>
  <c r="J22" i="7"/>
  <c r="J54" i="7"/>
  <c r="J86" i="7"/>
  <c r="J118" i="7"/>
  <c r="J167" i="7"/>
  <c r="J184" i="7"/>
  <c r="J200" i="7"/>
  <c r="J224" i="7"/>
  <c r="J256" i="7"/>
  <c r="J279" i="7"/>
  <c r="J303" i="7"/>
  <c r="J85" i="7"/>
  <c r="J53" i="7"/>
  <c r="J21" i="7"/>
  <c r="J25" i="7"/>
  <c r="J67" i="7"/>
  <c r="J147" i="7"/>
  <c r="J199" i="7"/>
  <c r="J41" i="7"/>
  <c r="J73" i="7"/>
  <c r="J105" i="7"/>
  <c r="J136" i="7"/>
  <c r="J168" i="7"/>
  <c r="J187" i="7"/>
  <c r="J203" i="7"/>
  <c r="J230" i="7"/>
  <c r="J257" i="7"/>
  <c r="J281" i="7"/>
  <c r="J307" i="7"/>
  <c r="J89" i="7"/>
  <c r="J175" i="7"/>
  <c r="J231" i="7"/>
  <c r="J31" i="7"/>
  <c r="J63" i="7"/>
  <c r="J95" i="7"/>
  <c r="J127" i="7"/>
  <c r="J149" i="7"/>
  <c r="J188" i="7"/>
  <c r="J204" i="7"/>
  <c r="J220" i="7"/>
  <c r="J236" i="7"/>
  <c r="J252" i="7"/>
  <c r="J299" i="7"/>
  <c r="J46" i="7"/>
  <c r="J134" i="7"/>
  <c r="J194" i="7"/>
  <c r="J210" i="7"/>
  <c r="J155" i="7"/>
  <c r="J227" i="7"/>
  <c r="J282" i="7"/>
  <c r="J314" i="7"/>
  <c r="J300" i="7"/>
  <c r="J262" i="7"/>
  <c r="J310" i="7"/>
  <c r="J296" i="7"/>
  <c r="J163" i="7"/>
  <c r="J292" i="7"/>
  <c r="J247" i="7"/>
  <c r="J9" i="7"/>
  <c r="J68" i="7"/>
  <c r="J12" i="7"/>
  <c r="J44" i="7"/>
  <c r="J76" i="7"/>
  <c r="J108" i="7"/>
  <c r="J140" i="7"/>
  <c r="J172" i="7"/>
  <c r="J90" i="7"/>
  <c r="J16" i="7"/>
  <c r="J48" i="7"/>
  <c r="J80" i="7"/>
  <c r="J112" i="7"/>
  <c r="J33" i="7"/>
  <c r="J65" i="7"/>
  <c r="J97" i="7"/>
  <c r="J129" i="7"/>
  <c r="J151" i="7"/>
  <c r="J173" i="7"/>
  <c r="J205" i="7"/>
  <c r="J232" i="7"/>
  <c r="J259" i="7"/>
  <c r="J285" i="7"/>
  <c r="J309" i="7"/>
  <c r="J109" i="7"/>
  <c r="J45" i="7"/>
  <c r="J13" i="7"/>
  <c r="J17" i="7"/>
  <c r="J160" i="7"/>
  <c r="J215" i="7"/>
  <c r="J51" i="7"/>
  <c r="J83" i="7"/>
  <c r="J115" i="7"/>
  <c r="J142" i="7"/>
  <c r="J174" i="7"/>
  <c r="J190" i="7"/>
  <c r="J206" i="7"/>
  <c r="J263" i="7"/>
  <c r="J289" i="7"/>
  <c r="J313" i="7"/>
  <c r="J110" i="7"/>
  <c r="J186" i="7"/>
  <c r="J6" i="7"/>
  <c r="J38" i="7"/>
  <c r="J70" i="7"/>
  <c r="J133" i="7"/>
  <c r="J153" i="7"/>
  <c r="J177" i="7"/>
  <c r="J209" i="7"/>
  <c r="J225" i="7"/>
  <c r="J241" i="7"/>
  <c r="J261" i="7"/>
  <c r="J283" i="7"/>
  <c r="J305" i="7"/>
  <c r="J71" i="7"/>
  <c r="J150" i="7"/>
  <c r="J207" i="7"/>
  <c r="J226" i="7"/>
  <c r="J171" i="7"/>
  <c r="J235" i="7"/>
  <c r="J290" i="7"/>
  <c r="J264" i="7"/>
  <c r="J312" i="7"/>
  <c r="J266" i="7"/>
  <c r="J286" i="7"/>
  <c r="J260" i="7"/>
  <c r="J308" i="7"/>
  <c r="H2" i="7" l="1"/>
  <c r="G2" i="7"/>
  <c r="F2" i="7" l="1"/>
  <c r="E2" i="7"/>
  <c r="A1" i="7"/>
  <c r="A2" i="2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4" i="7"/>
  <c r="B25" i="2" l="1"/>
  <c r="DD5" i="2"/>
  <c r="DD15" i="2"/>
  <c r="DC15" i="2" s="1"/>
  <c r="DD7" i="2"/>
  <c r="B38" i="2"/>
  <c r="C13" i="2"/>
  <c r="C11" i="2"/>
  <c r="Z23" i="2"/>
  <c r="Z22" i="2"/>
  <c r="U22" i="2"/>
  <c r="U21" i="2"/>
  <c r="J22" i="2"/>
  <c r="U23" i="2"/>
  <c r="J23" i="2"/>
  <c r="P23" i="2"/>
  <c r="Z21" i="2"/>
  <c r="J21" i="2"/>
  <c r="P22" i="2"/>
  <c r="P21" i="2"/>
  <c r="B4" i="2"/>
  <c r="B13" i="2"/>
  <c r="B11" i="2"/>
  <c r="DD8" i="2" l="1"/>
  <c r="DC7" i="2"/>
  <c r="DD10" i="2"/>
  <c r="DD9" i="2"/>
  <c r="DD6" i="2"/>
  <c r="DC6" i="2" s="1"/>
  <c r="DC5" i="2"/>
  <c r="DD12" i="2" l="1"/>
  <c r="DC12" i="2" s="1"/>
  <c r="DC9" i="2"/>
  <c r="DC10" i="2"/>
  <c r="DD13" i="2"/>
  <c r="DC13" i="2" s="1"/>
  <c r="DC8" i="2"/>
  <c r="DD11" i="2"/>
  <c r="DC11" i="2" l="1"/>
  <c r="DD14" i="2"/>
  <c r="DC14" i="2" s="1"/>
  <c r="DA3" i="2" l="1"/>
</calcChain>
</file>

<file path=xl/sharedStrings.xml><?xml version="1.0" encoding="utf-8"?>
<sst xmlns="http://schemas.openxmlformats.org/spreadsheetml/2006/main" count="1639" uniqueCount="581">
  <si>
    <t>Q1</t>
  </si>
  <si>
    <t xml:space="preserve">Student ID: </t>
  </si>
  <si>
    <t>Fixed Cost</t>
  </si>
  <si>
    <t>RANDOM</t>
  </si>
  <si>
    <t>Variable Cost</t>
  </si>
  <si>
    <t>StudentID</t>
  </si>
  <si>
    <t>First Name</t>
  </si>
  <si>
    <t>Last Name</t>
  </si>
  <si>
    <t>Nida Nur</t>
  </si>
  <si>
    <t>Ablak</t>
  </si>
  <si>
    <t>Oğuzcan</t>
  </si>
  <si>
    <t>Acar</t>
  </si>
  <si>
    <t>Ali Şamil</t>
  </si>
  <si>
    <t>Adıgüzel</t>
  </si>
  <si>
    <t>Ömer Gökalp</t>
  </si>
  <si>
    <t>Akcan</t>
  </si>
  <si>
    <t>Emre</t>
  </si>
  <si>
    <t>Akçöl</t>
  </si>
  <si>
    <t>Bora</t>
  </si>
  <si>
    <t>Akdemir</t>
  </si>
  <si>
    <t>Berk</t>
  </si>
  <si>
    <t>Akgül</t>
  </si>
  <si>
    <t>Yılmaz Can</t>
  </si>
  <si>
    <t>Aktaş</t>
  </si>
  <si>
    <t>İrem</t>
  </si>
  <si>
    <t>Akülkü</t>
  </si>
  <si>
    <t>Arınç</t>
  </si>
  <si>
    <t>Alçın</t>
  </si>
  <si>
    <t>Ekin Deren</t>
  </si>
  <si>
    <t>Altuncu</t>
  </si>
  <si>
    <t>Duygu</t>
  </si>
  <si>
    <t>Aras</t>
  </si>
  <si>
    <t>Koray</t>
  </si>
  <si>
    <t>Arık</t>
  </si>
  <si>
    <t>Dara Deniz</t>
  </si>
  <si>
    <t>Arslan</t>
  </si>
  <si>
    <t>Pelin</t>
  </si>
  <si>
    <t>Berkay</t>
  </si>
  <si>
    <t>Atalık</t>
  </si>
  <si>
    <t>Pamir</t>
  </si>
  <si>
    <t>Atasoy</t>
  </si>
  <si>
    <t>Eren</t>
  </si>
  <si>
    <t>Avunç</t>
  </si>
  <si>
    <t>Doğancan</t>
  </si>
  <si>
    <t>Aydın</t>
  </si>
  <si>
    <t>Tolga</t>
  </si>
  <si>
    <t>Aydoğdu</t>
  </si>
  <si>
    <t>Anıl Aydın</t>
  </si>
  <si>
    <t>Aytekin</t>
  </si>
  <si>
    <t>Abdullah</t>
  </si>
  <si>
    <t>Badr</t>
  </si>
  <si>
    <t>Hakan</t>
  </si>
  <si>
    <t>Balay</t>
  </si>
  <si>
    <t>Erdem</t>
  </si>
  <si>
    <t>Balcı</t>
  </si>
  <si>
    <t>Uğurcan</t>
  </si>
  <si>
    <t>Barut</t>
  </si>
  <si>
    <t>Elif</t>
  </si>
  <si>
    <t>Bayezid</t>
  </si>
  <si>
    <t>Ahmet Faruk</t>
  </si>
  <si>
    <t>Bayraktar</t>
  </si>
  <si>
    <t>Bayram</t>
  </si>
  <si>
    <t>Oğuzhan</t>
  </si>
  <si>
    <t>Dilara</t>
  </si>
  <si>
    <t>Bennani Ziatni</t>
  </si>
  <si>
    <t>Onur</t>
  </si>
  <si>
    <t>Bozkaya</t>
  </si>
  <si>
    <t>Selin</t>
  </si>
  <si>
    <t>Bozkurt</t>
  </si>
  <si>
    <t>Mehmet</t>
  </si>
  <si>
    <t>Budak</t>
  </si>
  <si>
    <t>Semi</t>
  </si>
  <si>
    <t>Cevizci</t>
  </si>
  <si>
    <t>Coşkun</t>
  </si>
  <si>
    <t>Özgür</t>
  </si>
  <si>
    <t>Utku Özer</t>
  </si>
  <si>
    <t>Şelale Yaren</t>
  </si>
  <si>
    <t>Cürgül</t>
  </si>
  <si>
    <t>Mehmet Fatih</t>
  </si>
  <si>
    <t>Çağlar</t>
  </si>
  <si>
    <t>Eymen</t>
  </si>
  <si>
    <t>Çalışır</t>
  </si>
  <si>
    <t>Berke</t>
  </si>
  <si>
    <t>Çamlıbel</t>
  </si>
  <si>
    <t>Banu Zeynep</t>
  </si>
  <si>
    <t>Çatana</t>
  </si>
  <si>
    <t>Ahmet Cansın</t>
  </si>
  <si>
    <t>Çelik</t>
  </si>
  <si>
    <t>Ferhat Görkem</t>
  </si>
  <si>
    <t>Çınar</t>
  </si>
  <si>
    <t>Çıtır</t>
  </si>
  <si>
    <t>Şebnem</t>
  </si>
  <si>
    <t>Çilek</t>
  </si>
  <si>
    <t>Cihan</t>
  </si>
  <si>
    <t>Çukurova</t>
  </si>
  <si>
    <t>Kağıltay</t>
  </si>
  <si>
    <t>Çullas</t>
  </si>
  <si>
    <t>Arda</t>
  </si>
  <si>
    <t>Dağlı</t>
  </si>
  <si>
    <t>Cem</t>
  </si>
  <si>
    <t>Anas</t>
  </si>
  <si>
    <t>Darkal</t>
  </si>
  <si>
    <t>Kerem Ozan</t>
  </si>
  <si>
    <t>Değer</t>
  </si>
  <si>
    <t>Demir</t>
  </si>
  <si>
    <t>Ege</t>
  </si>
  <si>
    <t>Demirbaş</t>
  </si>
  <si>
    <t>Rasim</t>
  </si>
  <si>
    <t>Demirbay</t>
  </si>
  <si>
    <t>Fırat</t>
  </si>
  <si>
    <t>Diken</t>
  </si>
  <si>
    <t>Adem</t>
  </si>
  <si>
    <t>Duymaz</t>
  </si>
  <si>
    <t>Halit Ege</t>
  </si>
  <si>
    <t>Ebiller</t>
  </si>
  <si>
    <t>Zeynep</t>
  </si>
  <si>
    <t>Ecesoy</t>
  </si>
  <si>
    <t>Berkan</t>
  </si>
  <si>
    <t>Enderer</t>
  </si>
  <si>
    <t>Eda</t>
  </si>
  <si>
    <t>Ercan</t>
  </si>
  <si>
    <t>Burak</t>
  </si>
  <si>
    <t>Erdoğan</t>
  </si>
  <si>
    <t>Güney</t>
  </si>
  <si>
    <t>Ali Gökhan</t>
  </si>
  <si>
    <t>Erhan</t>
  </si>
  <si>
    <t>Murat Deniz</t>
  </si>
  <si>
    <t>Eriman</t>
  </si>
  <si>
    <t>Dilan</t>
  </si>
  <si>
    <t>Gedik</t>
  </si>
  <si>
    <t>Gelgeç</t>
  </si>
  <si>
    <t>Şafak</t>
  </si>
  <si>
    <t>Göçer</t>
  </si>
  <si>
    <t>Gökbaşı</t>
  </si>
  <si>
    <t>Helin</t>
  </si>
  <si>
    <t>Göncü</t>
  </si>
  <si>
    <t>Yavuz Osman</t>
  </si>
  <si>
    <t>Gül</t>
  </si>
  <si>
    <t>Tuğman Turgut</t>
  </si>
  <si>
    <t>Güldoğan</t>
  </si>
  <si>
    <t>Gülen</t>
  </si>
  <si>
    <t>Haya</t>
  </si>
  <si>
    <t>Hajjar</t>
  </si>
  <si>
    <t>Bedirhan</t>
  </si>
  <si>
    <t>Hoşduran</t>
  </si>
  <si>
    <t>Mert</t>
  </si>
  <si>
    <t>Irk</t>
  </si>
  <si>
    <t>Tuğba Nur</t>
  </si>
  <si>
    <t>Işık</t>
  </si>
  <si>
    <t>Bartu</t>
  </si>
  <si>
    <t>Işıklar</t>
  </si>
  <si>
    <t>Selim</t>
  </si>
  <si>
    <t>İskender</t>
  </si>
  <si>
    <t>Rama</t>
  </si>
  <si>
    <t>Kakaa</t>
  </si>
  <si>
    <t>Yılmaz</t>
  </si>
  <si>
    <t>Karadaş</t>
  </si>
  <si>
    <t>Karanfiloğlu</t>
  </si>
  <si>
    <t>Lamia</t>
  </si>
  <si>
    <t>Kartal</t>
  </si>
  <si>
    <t>Fikret Gizem</t>
  </si>
  <si>
    <t>Keçeli</t>
  </si>
  <si>
    <t>Jiyan</t>
  </si>
  <si>
    <t>Kılıçkap</t>
  </si>
  <si>
    <t>Baran</t>
  </si>
  <si>
    <t>Kınalıdır</t>
  </si>
  <si>
    <t>Kılıç Kıray</t>
  </si>
  <si>
    <t>Kırmacı</t>
  </si>
  <si>
    <t>Büşra</t>
  </si>
  <si>
    <t>Kırmızıay</t>
  </si>
  <si>
    <t>Yusuf</t>
  </si>
  <si>
    <t>Koçak</t>
  </si>
  <si>
    <t>Esin</t>
  </si>
  <si>
    <t>Kundak</t>
  </si>
  <si>
    <t>Ferdi</t>
  </si>
  <si>
    <t>Kurt</t>
  </si>
  <si>
    <t>Necmettin Barış</t>
  </si>
  <si>
    <t>Metin</t>
  </si>
  <si>
    <t>Kutluer</t>
  </si>
  <si>
    <t>Hüseyin Ardan</t>
  </si>
  <si>
    <t>Küçük</t>
  </si>
  <si>
    <t>Canakan</t>
  </si>
  <si>
    <t>Küçükyılmaz</t>
  </si>
  <si>
    <t>Banu Ezgi</t>
  </si>
  <si>
    <t>Mecit</t>
  </si>
  <si>
    <t>Siraj Mohammed Alsaedi</t>
  </si>
  <si>
    <t>Mohammed</t>
  </si>
  <si>
    <t>Berke Can</t>
  </si>
  <si>
    <t>Nerezoğlu</t>
  </si>
  <si>
    <t>İkbal Ömer</t>
  </si>
  <si>
    <t>Okutan</t>
  </si>
  <si>
    <t>Oran</t>
  </si>
  <si>
    <t>Esra</t>
  </si>
  <si>
    <t>Öz</t>
  </si>
  <si>
    <t>Özer</t>
  </si>
  <si>
    <t>Özler</t>
  </si>
  <si>
    <t>Emirhan</t>
  </si>
  <si>
    <t>Öztürk</t>
  </si>
  <si>
    <t>İlknur Senem</t>
  </si>
  <si>
    <t>Sami</t>
  </si>
  <si>
    <t>Palombo</t>
  </si>
  <si>
    <t>Eren Can</t>
  </si>
  <si>
    <t>Pınar</t>
  </si>
  <si>
    <t>Ahmet</t>
  </si>
  <si>
    <t>Renklioğlu</t>
  </si>
  <si>
    <t>Iliya</t>
  </si>
  <si>
    <t>Rud</t>
  </si>
  <si>
    <t>Selahattin Alp</t>
  </si>
  <si>
    <t>Samancı</t>
  </si>
  <si>
    <t>Ceren</t>
  </si>
  <si>
    <t>Sanisoğlu</t>
  </si>
  <si>
    <t>Alexander</t>
  </si>
  <si>
    <t>Sayek</t>
  </si>
  <si>
    <t>Ahmet Mert</t>
  </si>
  <si>
    <t>Selçuk</t>
  </si>
  <si>
    <t>Ali Emre</t>
  </si>
  <si>
    <t>Serin</t>
  </si>
  <si>
    <t>Onat Çağıl</t>
  </si>
  <si>
    <t>Sev</t>
  </si>
  <si>
    <t>Mehmet Emin</t>
  </si>
  <si>
    <t>Sevim</t>
  </si>
  <si>
    <t>Gülşah</t>
  </si>
  <si>
    <t>Sevimli</t>
  </si>
  <si>
    <t>İbrahim Yuşah</t>
  </si>
  <si>
    <t>Sevinçhan</t>
  </si>
  <si>
    <t>Erkmen</t>
  </si>
  <si>
    <t>Sezer</t>
  </si>
  <si>
    <t>Mohamad Rushdi</t>
  </si>
  <si>
    <t>Sweid</t>
  </si>
  <si>
    <t>Hazal Su</t>
  </si>
  <si>
    <t>Şahin</t>
  </si>
  <si>
    <t>Kaan</t>
  </si>
  <si>
    <t>Şaşıoğlu</t>
  </si>
  <si>
    <t>Emin Alper</t>
  </si>
  <si>
    <t>Şensoy</t>
  </si>
  <si>
    <t>Onurcan</t>
  </si>
  <si>
    <t>Şimşek</t>
  </si>
  <si>
    <t>Sedat</t>
  </si>
  <si>
    <t>Mısra</t>
  </si>
  <si>
    <t>Şimşir</t>
  </si>
  <si>
    <t>Serra</t>
  </si>
  <si>
    <t>Bahar</t>
  </si>
  <si>
    <t>Şişli</t>
  </si>
  <si>
    <t>Ecem Naz</t>
  </si>
  <si>
    <t>Tahmaz</t>
  </si>
  <si>
    <t>Ömer</t>
  </si>
  <si>
    <t>Tarakçı</t>
  </si>
  <si>
    <t>Tamay Seda</t>
  </si>
  <si>
    <t>Taşçı</t>
  </si>
  <si>
    <t>Taşkıran</t>
  </si>
  <si>
    <t>Hüma</t>
  </si>
  <si>
    <t>Tekgül</t>
  </si>
  <si>
    <t>Engincan</t>
  </si>
  <si>
    <t>Tekin</t>
  </si>
  <si>
    <t>Furkan Salih</t>
  </si>
  <si>
    <t>Toker</t>
  </si>
  <si>
    <t>Bersu İrem</t>
  </si>
  <si>
    <t>Toz</t>
  </si>
  <si>
    <t>Can</t>
  </si>
  <si>
    <t>Turan</t>
  </si>
  <si>
    <t>Anıl Emek</t>
  </si>
  <si>
    <t>Türkeli</t>
  </si>
  <si>
    <t>Sabedin Berat</t>
  </si>
  <si>
    <t>Türker</t>
  </si>
  <si>
    <t>Uçar</t>
  </si>
  <si>
    <t>Furkan</t>
  </si>
  <si>
    <t>Ulu</t>
  </si>
  <si>
    <t>Eylül</t>
  </si>
  <si>
    <t>Ulusoy</t>
  </si>
  <si>
    <t>Usta</t>
  </si>
  <si>
    <t>Şevval</t>
  </si>
  <si>
    <t>Uysalcan</t>
  </si>
  <si>
    <t>Naz Suzan</t>
  </si>
  <si>
    <t>Uziyel</t>
  </si>
  <si>
    <t>Batuhan</t>
  </si>
  <si>
    <t>Ünver</t>
  </si>
  <si>
    <t>Üstün</t>
  </si>
  <si>
    <t>Muhammet Hakan</t>
  </si>
  <si>
    <t>Üzüm</t>
  </si>
  <si>
    <t>Murat</t>
  </si>
  <si>
    <t>Vural</t>
  </si>
  <si>
    <t>Barış</t>
  </si>
  <si>
    <t>Yalaz</t>
  </si>
  <si>
    <t>Beste</t>
  </si>
  <si>
    <t>Yalçınkaya</t>
  </si>
  <si>
    <t>Yusuf Doruk</t>
  </si>
  <si>
    <t>Yaman</t>
  </si>
  <si>
    <t>Melih Can</t>
  </si>
  <si>
    <t>Yasan</t>
  </si>
  <si>
    <t>Mustafa Gökhan</t>
  </si>
  <si>
    <t>Yıldız</t>
  </si>
  <si>
    <t>Yavuz Sinan</t>
  </si>
  <si>
    <t>Majed</t>
  </si>
  <si>
    <t>Youssef</t>
  </si>
  <si>
    <t>Yukarıkozan</t>
  </si>
  <si>
    <t>Zengi</t>
  </si>
  <si>
    <t>Seyfi Tunç</t>
  </si>
  <si>
    <t>Zeper</t>
  </si>
  <si>
    <t>Yahya Berkay</t>
  </si>
  <si>
    <t>Açar</t>
  </si>
  <si>
    <t>Elifsu Yüksel</t>
  </si>
  <si>
    <t>Aka</t>
  </si>
  <si>
    <t>Kerem</t>
  </si>
  <si>
    <t>Hayriye</t>
  </si>
  <si>
    <t>Akın</t>
  </si>
  <si>
    <t>Akol</t>
  </si>
  <si>
    <t>Şevket Mert</t>
  </si>
  <si>
    <t>Aksüt</t>
  </si>
  <si>
    <t>Aktürk</t>
  </si>
  <si>
    <t>Uğur Barış</t>
  </si>
  <si>
    <t>Akyüz</t>
  </si>
  <si>
    <t>Sulaiman</t>
  </si>
  <si>
    <t>Alazem</t>
  </si>
  <si>
    <t>Alaa Essam</t>
  </si>
  <si>
    <t>AlHariri</t>
  </si>
  <si>
    <t>Mohammad</t>
  </si>
  <si>
    <t>Altahan</t>
  </si>
  <si>
    <t>Rohama</t>
  </si>
  <si>
    <t>Amir</t>
  </si>
  <si>
    <t>Barış Doruk</t>
  </si>
  <si>
    <t>Aren</t>
  </si>
  <si>
    <t>Beyza</t>
  </si>
  <si>
    <t>Metin Can</t>
  </si>
  <si>
    <t>Ayar</t>
  </si>
  <si>
    <t>Hamza</t>
  </si>
  <si>
    <t>Munzur Onur</t>
  </si>
  <si>
    <t>Bakanoğlu</t>
  </si>
  <si>
    <t>Balasar</t>
  </si>
  <si>
    <t>Balcan</t>
  </si>
  <si>
    <t>Diyar</t>
  </si>
  <si>
    <t>Yasin</t>
  </si>
  <si>
    <t>Kemal</t>
  </si>
  <si>
    <t>Baykal</t>
  </si>
  <si>
    <t>Şeyda Nur</t>
  </si>
  <si>
    <t>Bici</t>
  </si>
  <si>
    <t>Senanur</t>
  </si>
  <si>
    <t>Biçer</t>
  </si>
  <si>
    <t>Barış Can</t>
  </si>
  <si>
    <t>Birkalan</t>
  </si>
  <si>
    <t>Bozbaş</t>
  </si>
  <si>
    <t>Merihcan</t>
  </si>
  <si>
    <t>Buğdaycı</t>
  </si>
  <si>
    <t>Alp</t>
  </si>
  <si>
    <t>Büyüközkan</t>
  </si>
  <si>
    <t>Efeaydın</t>
  </si>
  <si>
    <t>Ceyhan</t>
  </si>
  <si>
    <t>Abdullah Berhan</t>
  </si>
  <si>
    <t>Didem</t>
  </si>
  <si>
    <t>Çakırsoy</t>
  </si>
  <si>
    <t>Damla</t>
  </si>
  <si>
    <t>Çalışkan</t>
  </si>
  <si>
    <t>Jülide Müşerref</t>
  </si>
  <si>
    <t>Çelebi</t>
  </si>
  <si>
    <t>Ezgi</t>
  </si>
  <si>
    <t>Tutku</t>
  </si>
  <si>
    <t>Çoban</t>
  </si>
  <si>
    <t>Mehmet Onur</t>
  </si>
  <si>
    <t>Çuhadar</t>
  </si>
  <si>
    <t>Mustafa</t>
  </si>
  <si>
    <t>Dağ</t>
  </si>
  <si>
    <t>Kaan İsmail</t>
  </si>
  <si>
    <t>Dayı</t>
  </si>
  <si>
    <t>Beril</t>
  </si>
  <si>
    <t>Demer</t>
  </si>
  <si>
    <t>Sarp Berk</t>
  </si>
  <si>
    <t>Demircioğlu</t>
  </si>
  <si>
    <t>Nihal</t>
  </si>
  <si>
    <t>Demirkol</t>
  </si>
  <si>
    <t>Çağla</t>
  </si>
  <si>
    <t>Diriker</t>
  </si>
  <si>
    <t>Ekim</t>
  </si>
  <si>
    <t>Doğan</t>
  </si>
  <si>
    <t>Doğmuş</t>
  </si>
  <si>
    <t>Dondurmacı</t>
  </si>
  <si>
    <t>Eldem</t>
  </si>
  <si>
    <t>Utku</t>
  </si>
  <si>
    <t>Emecen</t>
  </si>
  <si>
    <t>Kaya</t>
  </si>
  <si>
    <t>Ergen</t>
  </si>
  <si>
    <t>Aslıhan</t>
  </si>
  <si>
    <t>Erkal</t>
  </si>
  <si>
    <t>Ökkeş</t>
  </si>
  <si>
    <t>Eruçan</t>
  </si>
  <si>
    <t>Sena</t>
  </si>
  <si>
    <t>Nasiem A. Ragab</t>
  </si>
  <si>
    <t>Gargoum</t>
  </si>
  <si>
    <t>Ahmad</t>
  </si>
  <si>
    <t>Ghanem</t>
  </si>
  <si>
    <t>Halis</t>
  </si>
  <si>
    <t>Gölcü</t>
  </si>
  <si>
    <t>Gözen</t>
  </si>
  <si>
    <t>Abdulrahman Baba</t>
  </si>
  <si>
    <t>Gujbawu</t>
  </si>
  <si>
    <t>Hanifi Enes</t>
  </si>
  <si>
    <t>Yiğit Aliosman</t>
  </si>
  <si>
    <t>Gülcan</t>
  </si>
  <si>
    <t>Alaeddin Selçuk</t>
  </si>
  <si>
    <t>Gürel</t>
  </si>
  <si>
    <t>Demirhan Şerif</t>
  </si>
  <si>
    <t>Güven</t>
  </si>
  <si>
    <t>Nesli</t>
  </si>
  <si>
    <t>Hacılar</t>
  </si>
  <si>
    <t>İnan</t>
  </si>
  <si>
    <t>Mohamed Mansour O.</t>
  </si>
  <si>
    <t>Jubran</t>
  </si>
  <si>
    <t>Gizem</t>
  </si>
  <si>
    <t>Kalaycı</t>
  </si>
  <si>
    <t>Serkan</t>
  </si>
  <si>
    <t>Kaplan</t>
  </si>
  <si>
    <t>Fatma Seray</t>
  </si>
  <si>
    <t>Karabudak</t>
  </si>
  <si>
    <t>Karabulut</t>
  </si>
  <si>
    <t>Nikol</t>
  </si>
  <si>
    <t>Karakaya</t>
  </si>
  <si>
    <t>Tarık Buğra</t>
  </si>
  <si>
    <t>Karaman</t>
  </si>
  <si>
    <t>Eyüp Yarkın</t>
  </si>
  <si>
    <t>Karataş</t>
  </si>
  <si>
    <t>Karğın</t>
  </si>
  <si>
    <t>Sinan Kevin</t>
  </si>
  <si>
    <t>Kerimoğlu</t>
  </si>
  <si>
    <t>Khalifah</t>
  </si>
  <si>
    <t>Enes</t>
  </si>
  <si>
    <t>Kılıç</t>
  </si>
  <si>
    <t>Kılıçaslan</t>
  </si>
  <si>
    <t>Kıran</t>
  </si>
  <si>
    <t>Onur Çağrı</t>
  </si>
  <si>
    <t>Kızılpınar</t>
  </si>
  <si>
    <t>Murtaza</t>
  </si>
  <si>
    <t>Kişi</t>
  </si>
  <si>
    <t>İlker</t>
  </si>
  <si>
    <t>Kontürk</t>
  </si>
  <si>
    <t>Raşit</t>
  </si>
  <si>
    <t>Koyutürk</t>
  </si>
  <si>
    <t>Kadir Burak</t>
  </si>
  <si>
    <t>Köksal</t>
  </si>
  <si>
    <t>Köroğlu</t>
  </si>
  <si>
    <t>Kumruluoğlu</t>
  </si>
  <si>
    <t>Kuşoğlu</t>
  </si>
  <si>
    <t>Sezen</t>
  </si>
  <si>
    <t>Murkoyunlu</t>
  </si>
  <si>
    <t>Fahri</t>
  </si>
  <si>
    <t>Namal</t>
  </si>
  <si>
    <t>Nazif Mert</t>
  </si>
  <si>
    <t>Oturaklıoğlu</t>
  </si>
  <si>
    <t>Tunç</t>
  </si>
  <si>
    <t>Ozan</t>
  </si>
  <si>
    <t>Özdemir</t>
  </si>
  <si>
    <t>Necmi Can</t>
  </si>
  <si>
    <t>Özkan</t>
  </si>
  <si>
    <t>Oktay</t>
  </si>
  <si>
    <t>Özkırış</t>
  </si>
  <si>
    <t>Yağmur Burcu</t>
  </si>
  <si>
    <t>Özşahin</t>
  </si>
  <si>
    <t>Özcan</t>
  </si>
  <si>
    <t>Anıl</t>
  </si>
  <si>
    <t>Özübek</t>
  </si>
  <si>
    <t>Yunus Emre</t>
  </si>
  <si>
    <t>Özyurt</t>
  </si>
  <si>
    <t>Ayça Büşra</t>
  </si>
  <si>
    <t>Özzade</t>
  </si>
  <si>
    <t>Palalı</t>
  </si>
  <si>
    <t>Salva</t>
  </si>
  <si>
    <t>Sadrimajd</t>
  </si>
  <si>
    <t>Muhammad Farhan</t>
  </si>
  <si>
    <t>Saleem</t>
  </si>
  <si>
    <t>Oğulcan</t>
  </si>
  <si>
    <t>Sandıkçı</t>
  </si>
  <si>
    <t>Satış</t>
  </si>
  <si>
    <t>Yağız</t>
  </si>
  <si>
    <t>Hüdanur</t>
  </si>
  <si>
    <t>Serdaroğlu</t>
  </si>
  <si>
    <t>Ertuğrul</t>
  </si>
  <si>
    <t>Su</t>
  </si>
  <si>
    <t>Volkan</t>
  </si>
  <si>
    <t>Sunay</t>
  </si>
  <si>
    <t>Mehmet Cahit</t>
  </si>
  <si>
    <t>Sürmeli</t>
  </si>
  <si>
    <t>Ebru</t>
  </si>
  <si>
    <t>Şabablı</t>
  </si>
  <si>
    <t>İlayda</t>
  </si>
  <si>
    <t>Şenel</t>
  </si>
  <si>
    <t>Şengül</t>
  </si>
  <si>
    <t>Buse</t>
  </si>
  <si>
    <t>Takıl</t>
  </si>
  <si>
    <t>Münür Uğur</t>
  </si>
  <si>
    <t>Temel</t>
  </si>
  <si>
    <t>Temizer</t>
  </si>
  <si>
    <t>Tesbihci</t>
  </si>
  <si>
    <t>Tevrüz</t>
  </si>
  <si>
    <t>Rıfat</t>
  </si>
  <si>
    <t>Toledo</t>
  </si>
  <si>
    <t>Topal</t>
  </si>
  <si>
    <t>Topaloğlu</t>
  </si>
  <si>
    <t>Yekcan</t>
  </si>
  <si>
    <t>Şehadet</t>
  </si>
  <si>
    <t>Türkay</t>
  </si>
  <si>
    <t>Uçarer</t>
  </si>
  <si>
    <t>Özden Kübra</t>
  </si>
  <si>
    <t>Uğurlu</t>
  </si>
  <si>
    <t>Orkun</t>
  </si>
  <si>
    <t>Uluhansın</t>
  </si>
  <si>
    <t>Ege Salih</t>
  </si>
  <si>
    <t>Uras</t>
  </si>
  <si>
    <t>Hakkı</t>
  </si>
  <si>
    <t>Urgancı</t>
  </si>
  <si>
    <t>Uzun</t>
  </si>
  <si>
    <t>Yiğit</t>
  </si>
  <si>
    <t>Hıdır</t>
  </si>
  <si>
    <t>Uzunkaya</t>
  </si>
  <si>
    <t>Canberk</t>
  </si>
  <si>
    <t>Ünal</t>
  </si>
  <si>
    <t>Ufuk</t>
  </si>
  <si>
    <t>Nurullah</t>
  </si>
  <si>
    <t>Yaşar</t>
  </si>
  <si>
    <t>Yavuz</t>
  </si>
  <si>
    <t>Kaan Mert</t>
  </si>
  <si>
    <t>Yeşerdir</t>
  </si>
  <si>
    <t>Ali Can</t>
  </si>
  <si>
    <t>Yeşilbaş</t>
  </si>
  <si>
    <t>Özlem Nur</t>
  </si>
  <si>
    <t>Yıldırım</t>
  </si>
  <si>
    <t>Talha</t>
  </si>
  <si>
    <t>Yuvacı</t>
  </si>
  <si>
    <t>Deniz</t>
  </si>
  <si>
    <t>Yücebağ</t>
  </si>
  <si>
    <t>Necla</t>
  </si>
  <si>
    <t>Yücel</t>
  </si>
  <si>
    <t>Veysel</t>
  </si>
  <si>
    <t>Yüksektepe</t>
  </si>
  <si>
    <t>Ziylan</t>
  </si>
  <si>
    <t>Combined</t>
  </si>
  <si>
    <t>price_a</t>
  </si>
  <si>
    <t>price_b</t>
  </si>
  <si>
    <t>SOLUTION KEY</t>
  </si>
  <si>
    <t>Gap</t>
  </si>
  <si>
    <t>Points</t>
  </si>
  <si>
    <t>Correct?</t>
  </si>
  <si>
    <t>Uniqeness Check</t>
  </si>
  <si>
    <t>Ref Size 1</t>
  </si>
  <si>
    <t>Ref Size 2</t>
  </si>
  <si>
    <t>Ref Size 3</t>
  </si>
  <si>
    <t>Cost 1</t>
  </si>
  <si>
    <t>Cost 2</t>
  </si>
  <si>
    <t>Cost 3</t>
  </si>
  <si>
    <t>Factor 1</t>
  </si>
  <si>
    <t>Factor 2</t>
  </si>
  <si>
    <t>Factor 3</t>
  </si>
  <si>
    <t>Design 1</t>
  </si>
  <si>
    <t>Design 2</t>
  </si>
  <si>
    <t>Design 3</t>
  </si>
  <si>
    <t>i</t>
  </si>
  <si>
    <t>rand for i</t>
  </si>
  <si>
    <t>500,000</t>
  </si>
  <si>
    <t>800,000</t>
  </si>
  <si>
    <t>700,000</t>
  </si>
  <si>
    <t>900,000</t>
  </si>
  <si>
    <t>600,000</t>
  </si>
  <si>
    <t>Q2</t>
  </si>
  <si>
    <t>total</t>
  </si>
  <si>
    <t>year</t>
  </si>
  <si>
    <t>Q1-a</t>
  </si>
  <si>
    <t>Q1-b</t>
  </si>
  <si>
    <t>Q2-index</t>
  </si>
  <si>
    <t>Q2-ref-1</t>
  </si>
  <si>
    <t>Q2-ref-2</t>
  </si>
  <si>
    <t>Q2-ref-3</t>
  </si>
  <si>
    <t>Q2-new-1</t>
  </si>
  <si>
    <t>Q2-new-2</t>
  </si>
  <si>
    <t>Q2-new-3</t>
  </si>
  <si>
    <t>Q2-total</t>
  </si>
  <si>
    <t>Q3</t>
  </si>
  <si>
    <t>Answer</t>
  </si>
  <si>
    <r>
      <t xml:space="preserve">
IE 260 - Fall 2017
Assignment 1
Due date: 31/10/2017, 17:00
</t>
    </r>
    <r>
      <rPr>
        <sz val="8"/>
        <color theme="1"/>
        <rFont val="Calibri"/>
        <family val="1"/>
        <charset val="162"/>
        <scheme val="minor"/>
      </rPr>
      <t xml:space="preserve"> </t>
    </r>
  </si>
  <si>
    <t>Abo Sway</t>
  </si>
  <si>
    <t>Hilal Mohammad</t>
  </si>
  <si>
    <t>Aloush</t>
  </si>
  <si>
    <t>Bashar</t>
  </si>
  <si>
    <t>Coşgun</t>
  </si>
  <si>
    <t>Yüce</t>
  </si>
  <si>
    <t>Süvelde Tuğçe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</si>
</sst>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[$$-409]#,##0.00"/>
    <numFmt numFmtId="165" formatCode="[$$-409]#,##0"/>
    <numFmt numFmtId="166" formatCode="#,##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Times New Roman"/>
      <family val="1"/>
    </font>
    <font>
      <sz val="12"/>
      <color theme="0"/>
      <name val="Times New Roman"/>
      <family val="1"/>
    </font>
    <font>
      <sz val="16"/>
      <color theme="1"/>
      <name val="Times New Roman"/>
      <family val="1"/>
    </font>
    <font>
      <sz val="8"/>
      <color theme="1"/>
      <name val="Calibri"/>
      <family val="1"/>
      <charset val="162"/>
      <scheme val="minor"/>
    </font>
    <font>
      <sz val="12"/>
      <color rgb="FF000000"/>
      <name val="Times New Roman"/>
      <family val="1"/>
      <charset val="162"/>
    </font>
    <font>
      <sz val="12"/>
      <color theme="1"/>
      <name val="Times New Roman"/>
      <family val="1"/>
      <charset val="162"/>
    </font>
    <font>
      <b/>
      <sz val="12"/>
      <color theme="1"/>
      <name val="Times New Roman"/>
      <family val="1"/>
      <charset val="162"/>
    </font>
    <font>
      <sz val="10"/>
      <color rgb="FFFF0000"/>
      <name val="Times New Roman"/>
      <family val="1"/>
    </font>
    <font>
      <sz val="12"/>
      <color theme="0"/>
      <name val="Times New Roman"/>
      <family val="1"/>
      <charset val="162"/>
    </font>
    <font>
      <b/>
      <sz val="18"/>
      <color theme="0"/>
      <name val="Times New Roman"/>
      <family val="1"/>
      <charset val="162"/>
    </font>
    <font>
      <sz val="26"/>
      <color theme="0"/>
      <name val="Times New Roman"/>
      <family val="1"/>
    </font>
    <font>
      <sz val="11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2" fillId="0" borderId="0" xfId="0" applyFont="1"/>
    <xf numFmtId="0" fontId="5" fillId="0" borderId="5" xfId="0" applyFont="1" applyBorder="1" applyAlignment="1" applyProtection="1">
      <alignment horizontal="center" vertical="center" wrapText="1"/>
      <protection hidden="1"/>
    </xf>
    <xf numFmtId="0" fontId="3" fillId="0" borderId="4" xfId="0" applyFont="1" applyBorder="1" applyProtection="1">
      <protection hidden="1"/>
    </xf>
    <xf numFmtId="0" fontId="3" fillId="0" borderId="5" xfId="0" applyFont="1" applyBorder="1" applyAlignment="1" applyProtection="1">
      <alignment horizontal="left" vertical="top" wrapText="1"/>
      <protection hidden="1"/>
    </xf>
    <xf numFmtId="0" fontId="3" fillId="0" borderId="0" xfId="0" applyFont="1" applyProtection="1">
      <protection hidden="1"/>
    </xf>
    <xf numFmtId="0" fontId="3" fillId="0" borderId="0" xfId="0" applyFont="1" applyFill="1" applyBorder="1" applyAlignment="1" applyProtection="1">
      <alignment vertical="top" wrapText="1"/>
      <protection hidden="1"/>
    </xf>
    <xf numFmtId="0" fontId="3" fillId="0" borderId="5" xfId="0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2" fontId="7" fillId="0" borderId="0" xfId="0" applyNumberFormat="1" applyFont="1" applyFill="1" applyBorder="1" applyAlignment="1" applyProtection="1">
      <protection hidden="1"/>
    </xf>
    <xf numFmtId="0" fontId="3" fillId="0" borderId="5" xfId="0" applyFont="1" applyBorder="1" applyAlignment="1" applyProtection="1">
      <alignment horizontal="left" vertical="top"/>
      <protection hidden="1"/>
    </xf>
    <xf numFmtId="0" fontId="8" fillId="0" borderId="4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7" xfId="0" applyFont="1" applyBorder="1" applyProtection="1">
      <protection hidden="1"/>
    </xf>
    <xf numFmtId="0" fontId="3" fillId="0" borderId="8" xfId="0" applyFont="1" applyBorder="1" applyProtection="1">
      <protection hidden="1"/>
    </xf>
    <xf numFmtId="0" fontId="3" fillId="0" borderId="0" xfId="0" applyFont="1" applyBorder="1" applyProtection="1">
      <protection hidden="1"/>
    </xf>
    <xf numFmtId="0" fontId="9" fillId="0" borderId="0" xfId="0" applyFont="1" applyFill="1" applyBorder="1" applyAlignment="1" applyProtection="1">
      <protection hidden="1"/>
    </xf>
    <xf numFmtId="2" fontId="3" fillId="0" borderId="0" xfId="0" applyNumberFormat="1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0" xfId="0" applyFont="1" applyBorder="1" applyAlignment="1" applyProtection="1">
      <protection hidden="1"/>
    </xf>
    <xf numFmtId="0" fontId="0" fillId="0" borderId="0" xfId="0" applyFont="1"/>
    <xf numFmtId="0" fontId="4" fillId="0" borderId="0" xfId="0" applyFont="1" applyProtection="1">
      <protection hidden="1"/>
    </xf>
    <xf numFmtId="2" fontId="11" fillId="0" borderId="0" xfId="0" applyNumberFormat="1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9" fontId="11" fillId="0" borderId="0" xfId="2" applyFont="1" applyAlignment="1" applyProtection="1">
      <alignment horizontal="center" vertical="center"/>
      <protection hidden="1"/>
    </xf>
    <xf numFmtId="0" fontId="11" fillId="0" borderId="0" xfId="0" applyFont="1" applyProtection="1">
      <protection hidden="1"/>
    </xf>
    <xf numFmtId="0" fontId="4" fillId="0" borderId="0" xfId="0" applyFont="1" applyAlignment="1" applyProtection="1">
      <alignment horizontal="right"/>
      <protection hidden="1"/>
    </xf>
    <xf numFmtId="9" fontId="4" fillId="0" borderId="0" xfId="2" applyFont="1" applyAlignment="1" applyProtection="1">
      <alignment horizontal="right"/>
      <protection hidden="1"/>
    </xf>
    <xf numFmtId="0" fontId="11" fillId="0" borderId="0" xfId="0" applyFont="1" applyAlignment="1" applyProtection="1">
      <alignment horizontal="right"/>
      <protection hidden="1"/>
    </xf>
    <xf numFmtId="0" fontId="11" fillId="0" borderId="0" xfId="0" applyFont="1" applyFill="1" applyBorder="1" applyProtection="1">
      <protection hidden="1"/>
    </xf>
    <xf numFmtId="0" fontId="11" fillId="0" borderId="0" xfId="0" applyNumberFormat="1" applyFont="1" applyAlignment="1" applyProtection="1">
      <alignment horizontal="right"/>
      <protection hidden="1"/>
    </xf>
    <xf numFmtId="2" fontId="11" fillId="0" borderId="0" xfId="0" applyNumberFormat="1" applyFont="1" applyProtection="1">
      <protection hidden="1"/>
    </xf>
    <xf numFmtId="0" fontId="11" fillId="0" borderId="0" xfId="0" applyNumberFormat="1" applyFont="1" applyFill="1" applyBorder="1" applyAlignment="1" applyProtection="1">
      <alignment horizontal="right"/>
      <protection hidden="1"/>
    </xf>
    <xf numFmtId="2" fontId="11" fillId="0" borderId="0" xfId="1" applyNumberFormat="1" applyFont="1" applyProtection="1">
      <protection hidden="1"/>
    </xf>
    <xf numFmtId="3" fontId="11" fillId="0" borderId="0" xfId="0" applyNumberFormat="1" applyFont="1" applyFill="1" applyBorder="1" applyProtection="1">
      <protection hidden="1"/>
    </xf>
    <xf numFmtId="2" fontId="11" fillId="0" borderId="0" xfId="0" applyNumberFormat="1" applyFont="1" applyFill="1" applyBorder="1" applyProtection="1">
      <protection hidden="1"/>
    </xf>
    <xf numFmtId="2" fontId="4" fillId="0" borderId="0" xfId="0" applyNumberFormat="1" applyFont="1" applyProtection="1">
      <protection hidden="1"/>
    </xf>
    <xf numFmtId="166" fontId="4" fillId="0" borderId="0" xfId="0" applyNumberFormat="1" applyFont="1" applyProtection="1">
      <protection hidden="1"/>
    </xf>
    <xf numFmtId="0" fontId="11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Fill="1" applyBorder="1" applyProtection="1">
      <protection hidden="1"/>
    </xf>
    <xf numFmtId="3" fontId="1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0" borderId="0" xfId="0" applyFont="1" applyBorder="1" applyAlignment="1" applyProtection="1">
      <alignment horizontal="left" vertical="top" wrapText="1"/>
      <protection hidden="1"/>
    </xf>
    <xf numFmtId="2" fontId="3" fillId="2" borderId="12" xfId="1" applyNumberFormat="1" applyFont="1" applyFill="1" applyBorder="1" applyAlignment="1" applyProtection="1">
      <alignment horizontal="right" vertical="top" wrapText="1"/>
      <protection locked="0"/>
    </xf>
    <xf numFmtId="2" fontId="3" fillId="2" borderId="13" xfId="1" applyNumberFormat="1" applyFont="1" applyFill="1" applyBorder="1" applyAlignment="1" applyProtection="1">
      <alignment horizontal="right" vertical="top" wrapText="1"/>
      <protection locked="0"/>
    </xf>
    <xf numFmtId="2" fontId="3" fillId="2" borderId="14" xfId="1" applyNumberFormat="1" applyFont="1" applyFill="1" applyBorder="1" applyAlignment="1" applyProtection="1">
      <alignment horizontal="right" vertical="top" wrapText="1"/>
      <protection locked="0"/>
    </xf>
    <xf numFmtId="0" fontId="12" fillId="0" borderId="0" xfId="0" applyFont="1" applyAlignment="1" applyProtection="1">
      <alignment horizontal="center" vertical="center"/>
      <protection hidden="1"/>
    </xf>
    <xf numFmtId="0" fontId="3" fillId="2" borderId="9" xfId="0" applyFont="1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 applyProtection="1">
      <alignment horizontal="center"/>
      <protection locked="0"/>
    </xf>
    <xf numFmtId="0" fontId="3" fillId="2" borderId="11" xfId="0" applyFont="1" applyFill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10" fillId="0" borderId="5" xfId="0" applyFont="1" applyBorder="1" applyAlignment="1" applyProtection="1">
      <alignment horizontal="center"/>
      <protection hidden="1"/>
    </xf>
    <xf numFmtId="0" fontId="5" fillId="0" borderId="4" xfId="0" applyFont="1" applyBorder="1" applyAlignment="1" applyProtection="1">
      <alignment horizontal="center" wrapText="1"/>
      <protection hidden="1"/>
    </xf>
    <xf numFmtId="0" fontId="5" fillId="0" borderId="0" xfId="0" applyFont="1" applyBorder="1" applyAlignment="1" applyProtection="1">
      <alignment horizontal="center" wrapText="1"/>
      <protection hidden="1"/>
    </xf>
    <xf numFmtId="0" fontId="3" fillId="0" borderId="2" xfId="0" applyFont="1" applyBorder="1" applyAlignment="1" applyProtection="1">
      <alignment horizontal="left"/>
      <protection hidden="1"/>
    </xf>
    <xf numFmtId="0" fontId="3" fillId="0" borderId="3" xfId="0" applyFont="1" applyBorder="1" applyAlignment="1" applyProtection="1">
      <alignment horizontal="left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3" fillId="0" borderId="16" xfId="0" applyFont="1" applyBorder="1" applyAlignment="1" applyProtection="1">
      <alignment horizontal="center"/>
      <protection hidden="1"/>
    </xf>
    <xf numFmtId="0" fontId="3" fillId="0" borderId="16" xfId="0" applyNumberFormat="1" applyFont="1" applyBorder="1" applyAlignment="1" applyProtection="1">
      <alignment horizontal="center"/>
      <protection hidden="1"/>
    </xf>
    <xf numFmtId="0" fontId="3" fillId="0" borderId="0" xfId="0" applyNumberFormat="1" applyFont="1" applyBorder="1" applyAlignment="1" applyProtection="1">
      <alignment horizontal="center"/>
      <protection hidden="1"/>
    </xf>
    <xf numFmtId="0" fontId="3" fillId="0" borderId="15" xfId="0" applyNumberFormat="1" applyFont="1" applyBorder="1" applyAlignment="1" applyProtection="1">
      <alignment horizontal="center"/>
      <protection hidden="1"/>
    </xf>
    <xf numFmtId="0" fontId="3" fillId="0" borderId="16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15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 wrapText="1"/>
      <protection hidden="1"/>
    </xf>
    <xf numFmtId="2" fontId="3" fillId="0" borderId="15" xfId="0" applyNumberFormat="1" applyFont="1" applyBorder="1" applyAlignment="1" applyProtection="1">
      <alignment horizontal="center"/>
      <protection hidden="1"/>
    </xf>
    <xf numFmtId="2" fontId="3" fillId="0" borderId="0" xfId="0" applyNumberFormat="1" applyFont="1" applyBorder="1" applyAlignment="1" applyProtection="1">
      <alignment horizontal="center"/>
      <protection hidden="1"/>
    </xf>
    <xf numFmtId="2" fontId="3" fillId="0" borderId="16" xfId="0" applyNumberFormat="1" applyFont="1" applyBorder="1" applyAlignment="1" applyProtection="1">
      <alignment horizontal="center"/>
      <protection hidden="1"/>
    </xf>
    <xf numFmtId="165" fontId="3" fillId="2" borderId="1" xfId="0" applyNumberFormat="1" applyFont="1" applyFill="1" applyBorder="1" applyAlignment="1" applyProtection="1">
      <alignment horizontal="center"/>
      <protection locked="0"/>
    </xf>
    <xf numFmtId="2" fontId="3" fillId="2" borderId="12" xfId="0" applyNumberFormat="1" applyFont="1" applyFill="1" applyBorder="1" applyAlignment="1" applyProtection="1">
      <alignment horizontal="center" vertical="top" wrapText="1"/>
      <protection locked="0"/>
    </xf>
    <xf numFmtId="2" fontId="3" fillId="2" borderId="13" xfId="0" applyNumberFormat="1" applyFont="1" applyFill="1" applyBorder="1" applyAlignment="1" applyProtection="1">
      <alignment horizontal="center" vertical="top" wrapText="1"/>
      <protection locked="0"/>
    </xf>
    <xf numFmtId="2" fontId="3" fillId="2" borderId="14" xfId="0" applyNumberFormat="1" applyFont="1" applyFill="1" applyBorder="1" applyAlignment="1" applyProtection="1">
      <alignment horizontal="center" vertical="top" wrapText="1"/>
      <protection locked="0"/>
    </xf>
    <xf numFmtId="165" fontId="3" fillId="2" borderId="12" xfId="0" applyNumberFormat="1" applyFont="1" applyFill="1" applyBorder="1" applyAlignment="1" applyProtection="1">
      <alignment horizontal="center"/>
      <protection locked="0"/>
    </xf>
    <xf numFmtId="165" fontId="3" fillId="2" borderId="13" xfId="0" applyNumberFormat="1" applyFont="1" applyFill="1" applyBorder="1" applyAlignment="1" applyProtection="1">
      <alignment horizontal="center"/>
      <protection locked="0"/>
    </xf>
    <xf numFmtId="165" fontId="3" fillId="2" borderId="14" xfId="0" applyNumberFormat="1" applyFont="1" applyFill="1" applyBorder="1" applyAlignment="1" applyProtection="1">
      <alignment horizontal="center"/>
      <protection locked="0"/>
    </xf>
    <xf numFmtId="164" fontId="3" fillId="2" borderId="12" xfId="0" applyNumberFormat="1" applyFont="1" applyFill="1" applyBorder="1" applyAlignment="1" applyProtection="1">
      <alignment horizontal="right" vertical="top" wrapText="1"/>
      <protection locked="0"/>
    </xf>
    <xf numFmtId="164" fontId="3" fillId="2" borderId="13" xfId="0" applyNumberFormat="1" applyFont="1" applyFill="1" applyBorder="1" applyAlignment="1" applyProtection="1">
      <alignment horizontal="right" vertical="top" wrapText="1"/>
      <protection locked="0"/>
    </xf>
    <xf numFmtId="164" fontId="3" fillId="2" borderId="14" xfId="0" applyNumberFormat="1" applyFont="1" applyFill="1" applyBorder="1" applyAlignment="1" applyProtection="1">
      <alignment horizontal="right" vertical="top" wrapText="1"/>
      <protection locked="0"/>
    </xf>
    <xf numFmtId="0" fontId="3" fillId="0" borderId="0" xfId="0" applyFont="1" applyBorder="1" applyAlignment="1" applyProtection="1">
      <alignment horizontal="right"/>
      <protection hidden="1"/>
    </xf>
    <xf numFmtId="0" fontId="3" fillId="0" borderId="17" xfId="0" applyFont="1" applyBorder="1" applyAlignment="1" applyProtection="1">
      <alignment horizontal="righ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"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182216</xdr:colOff>
      <xdr:row>2</xdr:row>
      <xdr:rowOff>49699</xdr:rowOff>
    </xdr:from>
    <xdr:to>
      <xdr:col>21</xdr:col>
      <xdr:colOff>81643</xdr:colOff>
      <xdr:row>2</xdr:row>
      <xdr:rowOff>635582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7595" y="443837"/>
          <a:ext cx="2106600" cy="585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I43"/>
  <sheetViews>
    <sheetView showGridLines="0" tabSelected="1" zoomScale="70" zoomScaleNormal="70" workbookViewId="0">
      <selection activeCell="G1" sqref="G1:AF1"/>
    </sheetView>
  </sheetViews>
  <sheetFormatPr defaultColWidth="0" defaultRowHeight="15.75" zeroHeight="1" x14ac:dyDescent="0.25"/>
  <cols>
    <col min="1" max="32" width="2.7109375" style="5" customWidth="1"/>
    <col min="33" max="33" width="0.140625" style="5" customWidth="1"/>
    <col min="34" max="16384" width="2.7109375" style="21" hidden="1"/>
  </cols>
  <sheetData>
    <row r="1" spans="1:113" x14ac:dyDescent="0.25">
      <c r="A1" s="59" t="s">
        <v>1</v>
      </c>
      <c r="B1" s="60"/>
      <c r="C1" s="60"/>
      <c r="D1" s="60"/>
      <c r="E1" s="60"/>
      <c r="F1" s="60"/>
      <c r="G1" s="51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3"/>
      <c r="DA1" s="50" t="s">
        <v>534</v>
      </c>
      <c r="DB1" s="50"/>
      <c r="DC1" s="50"/>
    </row>
    <row r="2" spans="1:113" x14ac:dyDescent="0.25">
      <c r="A2" s="54" t="str">
        <f>IF(G1="","PLEASE ENABLE MACROS AND SELECT YOUR NAME ABOVE TO SEE THE QUESTIONS","")</f>
        <v>PLEASE ENABLE MACROS AND SELECT YOUR NAME ABOVE TO SEE THE QUESTIONS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6"/>
      <c r="DA2" s="50"/>
      <c r="DB2" s="50"/>
      <c r="DC2" s="50"/>
    </row>
    <row r="3" spans="1:113" ht="135" customHeight="1" x14ac:dyDescent="0.3">
      <c r="A3" s="57" t="s">
        <v>573</v>
      </c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2"/>
      <c r="DA3" s="25" t="e">
        <f>SUMPRODUCT(DB5:DB17,DC5:DC17)</f>
        <v>#N/A</v>
      </c>
      <c r="DB3" s="26" t="s">
        <v>535</v>
      </c>
      <c r="DC3" s="27">
        <v>0.01</v>
      </c>
      <c r="DD3" s="28"/>
      <c r="DE3" s="28"/>
      <c r="DF3" s="28"/>
      <c r="DG3" s="28"/>
      <c r="DH3" s="28"/>
      <c r="DI3" s="28"/>
    </row>
    <row r="4" spans="1:113" ht="15.75" customHeight="1" x14ac:dyDescent="0.25">
      <c r="A4" s="3" t="str">
        <f>IF($G$1="","","1)")</f>
        <v/>
      </c>
      <c r="B4" s="46" t="str">
        <f>IF($A$2="","A large wood products company is negotiating a contract to sell plywood overseas. The fixed cost that can be allocated to the production of plywood is $"&amp;VLOOKUP(G1,Data!D1:E500,2,FALSE)&amp;"0,000 per month. The company sells plywood in pallets of thousands. The variable cost per pallet is $"&amp;VLOOKUP(G1,Data!D1:F500,3,FALSE)&amp;". According to the terms of contract price discount will be applied for larger amounts: The price charged will be determined by p = $"&amp;VLOOKUP(G1,Data!D1:G500,4,FALSE)&amp;"00 − (0.0"&amp;VLOOKUP(G1,Data!D1:H500,5,FALSE)&amp;")D per pallet, where D is the monthly demand amount.","")</f>
        <v/>
      </c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"/>
      <c r="DA4" s="29"/>
      <c r="DB4" s="30" t="s">
        <v>536</v>
      </c>
      <c r="DC4" s="31" t="s">
        <v>537</v>
      </c>
      <c r="DD4" s="28" t="s">
        <v>572</v>
      </c>
      <c r="DE4" s="32"/>
      <c r="DF4" s="31"/>
      <c r="DG4" s="31"/>
      <c r="DH4" s="31"/>
      <c r="DI4" s="31"/>
    </row>
    <row r="5" spans="1:113" x14ac:dyDescent="0.25">
      <c r="A5" s="3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"/>
      <c r="DA5" s="21" t="s">
        <v>561</v>
      </c>
      <c r="DB5" s="21">
        <v>10</v>
      </c>
      <c r="DC5" s="28" t="e">
        <f>IF(ABS(ABS(Z11)-ABS(DD5))/ABS(DD5)&lt;$DC$3,1,0)</f>
        <v>#N/A</v>
      </c>
      <c r="DD5" s="28" t="e">
        <f>(VLOOKUP(G1,Data!D1:G500,4,FALSE)*100-VLOOKUP(G1,Data!D1:F500,3,FALSE))/(2*VLOOKUP(G1,Data!D1:H500,5,FALSE)/100)</f>
        <v>#N/A</v>
      </c>
      <c r="DF5" s="33"/>
      <c r="DG5" s="33"/>
      <c r="DH5" s="33"/>
      <c r="DI5" s="33"/>
    </row>
    <row r="6" spans="1:113" x14ac:dyDescent="0.25">
      <c r="A6" s="3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"/>
      <c r="DA6" s="21" t="s">
        <v>562</v>
      </c>
      <c r="DB6" s="21">
        <v>10</v>
      </c>
      <c r="DC6" s="28" t="e">
        <f>IF(ABS(ABS(Z13)-ABS(DD6))/ABS(DD6)&lt;$DC$3,1,0)</f>
        <v>#N/A</v>
      </c>
      <c r="DD6" s="28" t="e">
        <f>(VLOOKUP(G1,Data!D1:G500,4,FALSE)*100*DD5-(VLOOKUP(G1,Data!D1:H500,5,FALSE)/100*DD5^2))-(VLOOKUP(G1,Data!D1:E500,2,FALSE)*10000+VLOOKUP(G1,Data!D1:F500,3,FALSE)*DD5)</f>
        <v>#N/A</v>
      </c>
      <c r="DE6" s="28"/>
      <c r="DF6" s="33"/>
      <c r="DG6" s="33"/>
      <c r="DH6" s="33"/>
      <c r="DI6" s="33"/>
    </row>
    <row r="7" spans="1:113" x14ac:dyDescent="0.25">
      <c r="A7" s="3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"/>
      <c r="DA7" s="21" t="s">
        <v>563</v>
      </c>
      <c r="DB7" s="21">
        <v>10</v>
      </c>
      <c r="DC7" s="28" t="e">
        <f>IF(ABS(ABS(I29)-ABS(DD7))/ABS(DD7)&lt;$DC$3,1,0)</f>
        <v>#N/A</v>
      </c>
      <c r="DD7" s="34" t="e">
        <f>100*(1+VLOOKUP($G$1,Data!$D$1:$X$500,21,FALSE)/100)^10</f>
        <v>#N/A</v>
      </c>
      <c r="DE7" s="28"/>
      <c r="DF7" s="35"/>
      <c r="DG7" s="33"/>
      <c r="DH7" s="33"/>
      <c r="DI7" s="33"/>
    </row>
    <row r="8" spans="1:113" x14ac:dyDescent="0.25">
      <c r="A8" s="3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"/>
      <c r="DA8" s="21" t="s">
        <v>564</v>
      </c>
      <c r="DB8" s="21">
        <v>5</v>
      </c>
      <c r="DC8" s="28" t="e">
        <f>IF(ABS(ABS(I32)-ABS(DD8))/ABS(DD8)&lt;$DC$3,1,0)</f>
        <v>#N/A</v>
      </c>
      <c r="DD8" s="36" t="e">
        <f>VLOOKUP($G$1,Data!$D$1:$X$500,11,FALSE)*$DD$7/100</f>
        <v>#N/A</v>
      </c>
      <c r="DE8" s="28"/>
      <c r="DF8" s="33"/>
      <c r="DG8" s="33"/>
      <c r="DH8" s="33"/>
      <c r="DI8" s="33"/>
    </row>
    <row r="9" spans="1:113" x14ac:dyDescent="0.25">
      <c r="A9" s="3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"/>
      <c r="DA9" s="21" t="s">
        <v>565</v>
      </c>
      <c r="DB9" s="21">
        <v>5</v>
      </c>
      <c r="DC9" s="28" t="e">
        <f>IF(ABS(ABS(I33)-ABS(DD9))/ABS(DD9)&lt;$DC$3,1,0)</f>
        <v>#N/A</v>
      </c>
      <c r="DD9" s="36" t="e">
        <f>VLOOKUP($G$1,Data!$D$1:$X$500,12,FALSE)*$DD$7/100</f>
        <v>#N/A</v>
      </c>
      <c r="DE9" s="32"/>
      <c r="DF9" s="33"/>
      <c r="DG9" s="33"/>
      <c r="DH9" s="33"/>
      <c r="DI9" s="33"/>
    </row>
    <row r="10" spans="1:113" ht="15.75" customHeight="1" x14ac:dyDescent="0.25">
      <c r="A10" s="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4"/>
      <c r="DA10" s="21" t="s">
        <v>566</v>
      </c>
      <c r="DB10" s="21">
        <v>5</v>
      </c>
      <c r="DC10" s="28" t="e">
        <f>IF(ABS(ABS(I34)-ABS(DD10))/ABS(DD10)&lt;$DC$3,1,0)</f>
        <v>#N/A</v>
      </c>
      <c r="DD10" s="36" t="e">
        <f>VLOOKUP($G$1,Data!$D$1:$X$500,13,FALSE)*$DD$7/100</f>
        <v>#N/A</v>
      </c>
      <c r="DE10" s="32"/>
      <c r="DF10" s="35"/>
      <c r="DG10" s="35"/>
      <c r="DH10" s="35"/>
      <c r="DI10" s="35"/>
    </row>
    <row r="11" spans="1:113" ht="15.75" customHeight="1" x14ac:dyDescent="0.25">
      <c r="A11" s="3"/>
      <c r="B11" s="23" t="str">
        <f>IF($A$2="","a)","")</f>
        <v/>
      </c>
      <c r="C11" s="45" t="str">
        <f>IF($A$2="","What will be the optimal monthly sales volume (in pallets) for this product? (10 pts)","")</f>
        <v/>
      </c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7"/>
      <c r="AA11" s="48"/>
      <c r="AB11" s="48"/>
      <c r="AC11" s="48"/>
      <c r="AD11" s="48"/>
      <c r="AE11" s="49"/>
      <c r="AF11" s="7"/>
      <c r="DA11" s="21" t="s">
        <v>567</v>
      </c>
      <c r="DB11" s="21">
        <v>5</v>
      </c>
      <c r="DC11" s="28" t="e">
        <f>IF(ABS(ABS(Q32)-ABS(DD11))/ABS(DD11)&lt;$DC$3,1,0)</f>
        <v>#N/A</v>
      </c>
      <c r="DD11" s="34" t="e">
        <f>DD8*(VLOOKUP($G$1,Data!$D$1:$X$500,17,FALSE)/VLOOKUP($G$1,Data!$D$1:$X$500,8,FALSE))^VLOOKUP($G$1,Data!$D$1:$X$500,14,FALSE)</f>
        <v>#N/A</v>
      </c>
      <c r="DE11" s="32"/>
      <c r="DF11" s="37"/>
      <c r="DG11" s="32"/>
      <c r="DH11" s="32"/>
      <c r="DI11" s="32"/>
    </row>
    <row r="12" spans="1:113" x14ac:dyDescent="0.25">
      <c r="A12" s="3"/>
      <c r="B12" s="8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6"/>
      <c r="AA12" s="6"/>
      <c r="AB12" s="6"/>
      <c r="AC12" s="6"/>
      <c r="AD12" s="6"/>
      <c r="AE12" s="6"/>
      <c r="AF12" s="7"/>
      <c r="AJ12" s="22"/>
      <c r="AK12" s="22"/>
      <c r="AL12" s="22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DA12" s="21" t="s">
        <v>568</v>
      </c>
      <c r="DB12" s="21">
        <v>5</v>
      </c>
      <c r="DC12" s="28" t="e">
        <f>IF(ABS(ABS(Q33)-ABS(DD12))/ABS(DD12)&lt;$DC$3,1,0)</f>
        <v>#N/A</v>
      </c>
      <c r="DD12" s="34" t="e">
        <f>DD9*(VLOOKUP($G$1,Data!$D$1:$X$500,18,FALSE)/VLOOKUP($G$1,Data!$D$1:$X$500,9,FALSE))^VLOOKUP($G$1,Data!$D$1:$X$500,15,FALSE)</f>
        <v>#N/A</v>
      </c>
      <c r="DE12" s="32"/>
      <c r="DF12" s="37"/>
      <c r="DG12" s="37"/>
      <c r="DH12" s="37"/>
      <c r="DI12" s="32"/>
    </row>
    <row r="13" spans="1:113" ht="15.75" customHeight="1" x14ac:dyDescent="0.25">
      <c r="A13" s="3"/>
      <c r="B13" s="9" t="str">
        <f>IF($A$2="","b)","")</f>
        <v/>
      </c>
      <c r="C13" s="45" t="str">
        <f>IF($A$2="","What is the total profit (or loss if negative) at the optimal volume? "&amp;"(10 pts)","")</f>
        <v/>
      </c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81"/>
      <c r="AA13" s="82"/>
      <c r="AB13" s="82"/>
      <c r="AC13" s="82"/>
      <c r="AD13" s="82"/>
      <c r="AE13" s="83"/>
      <c r="AF13" s="7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DA13" s="21" t="s">
        <v>569</v>
      </c>
      <c r="DB13" s="21">
        <v>5</v>
      </c>
      <c r="DC13" s="28" t="e">
        <f>IF(ABS(ABS(Q34)-ABS(DD13))/ABS(DD13)&lt;$DC$3,1,0)</f>
        <v>#N/A</v>
      </c>
      <c r="DD13" s="34" t="e">
        <f>DD10*(VLOOKUP($G$1,Data!$D$1:$X$500,19,FALSE)/VLOOKUP($G$1,Data!$D$1:$X$500,10,FALSE))^VLOOKUP($G$1,Data!$D$1:$X$500,16,FALSE)</f>
        <v>#N/A</v>
      </c>
      <c r="DE13" s="32"/>
      <c r="DF13" s="38"/>
      <c r="DG13" s="28"/>
      <c r="DH13" s="28"/>
      <c r="DI13" s="28"/>
    </row>
    <row r="14" spans="1:113" x14ac:dyDescent="0.25">
      <c r="A14" s="3"/>
      <c r="B14" s="1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6"/>
      <c r="AA14" s="6"/>
      <c r="AB14" s="6"/>
      <c r="AC14" s="6"/>
      <c r="AD14" s="6"/>
      <c r="AE14" s="6"/>
      <c r="AF14" s="7"/>
      <c r="DA14" s="21" t="s">
        <v>570</v>
      </c>
      <c r="DB14" s="21">
        <v>10</v>
      </c>
      <c r="DC14" s="28" t="e">
        <f>IF(ABS(ABS(Q36)-ABS(DD14))/ABS(DD14)&lt;$DC$3,1,0)</f>
        <v>#N/A</v>
      </c>
      <c r="DD14" s="38" t="e">
        <f>DD11+DD12+DD13</f>
        <v>#N/A</v>
      </c>
      <c r="DE14" s="32"/>
      <c r="DF14" s="28"/>
      <c r="DG14" s="28"/>
      <c r="DH14" s="28"/>
      <c r="DI14" s="28"/>
    </row>
    <row r="15" spans="1:113" ht="15" customHeight="1" x14ac:dyDescent="0.25">
      <c r="A15" s="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0"/>
      <c r="DA15" s="21" t="s">
        <v>571</v>
      </c>
      <c r="DB15" s="21">
        <v>30</v>
      </c>
      <c r="DC15" s="28" t="e">
        <f>IF(ABS(ABS(B41)-ABS(DD15))/ABS(DD15)&lt;$DC$3,1,0)</f>
        <v>#N/A</v>
      </c>
      <c r="DD15" s="39" t="e">
        <f>(VLOOKUP($G$1,Data!$D$1:$AC$500,25,FALSE)*10000)*(1+VLOOKUP($G$1,Data!$D$1:$AC$500,24,FALSE)/100)^(-VLOOKUP($G$1,Data!$D$1:$AC$500,26,FALSE))</f>
        <v>#N/A</v>
      </c>
      <c r="DE15" s="40"/>
      <c r="DF15" s="41"/>
      <c r="DH15" s="42"/>
      <c r="DI15" s="43"/>
    </row>
    <row r="16" spans="1:113" ht="15.75" customHeight="1" x14ac:dyDescent="0.25">
      <c r="A16" s="3" t="str">
        <f>IF($G$1="","","2)")</f>
        <v/>
      </c>
      <c r="B16" s="45" t="str">
        <f>IF($G$1="","","A small textile plant was constructed in 2007 when index for these types of equipment was 100. The major equipment, costs, and factors are shown below.")</f>
        <v/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7"/>
    </row>
    <row r="17" spans="1:32" x14ac:dyDescent="0.25">
      <c r="A17" s="3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7"/>
    </row>
    <row r="18" spans="1:32" ht="15.75" customHeight="1" x14ac:dyDescent="0.25">
      <c r="A18" s="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7"/>
    </row>
    <row r="19" spans="1:32" ht="15.75" customHeight="1" x14ac:dyDescent="0.25">
      <c r="A19" s="11"/>
      <c r="B19" s="68" t="str">
        <f>IF($G$1="","","Equipment Reference")</f>
        <v/>
      </c>
      <c r="C19" s="68"/>
      <c r="D19" s="68"/>
      <c r="E19" s="68"/>
      <c r="F19" s="68"/>
      <c r="G19" s="68"/>
      <c r="H19" s="68"/>
      <c r="I19" s="68"/>
      <c r="J19" s="61" t="str">
        <f>IF($G$1="","","Reference Size")</f>
        <v/>
      </c>
      <c r="K19" s="61"/>
      <c r="L19" s="61"/>
      <c r="M19" s="61"/>
      <c r="N19" s="61"/>
      <c r="O19" s="61"/>
      <c r="P19" s="61" t="str">
        <f>IF($G$1="","","Cost")</f>
        <v/>
      </c>
      <c r="Q19" s="61"/>
      <c r="R19" s="61"/>
      <c r="S19" s="61"/>
      <c r="T19" s="61"/>
      <c r="U19" s="70" t="str">
        <f>IF($G$1="","","Cost Capacity"&amp;CHAR(10)&amp;"Factor")</f>
        <v/>
      </c>
      <c r="V19" s="70"/>
      <c r="W19" s="70"/>
      <c r="X19" s="70"/>
      <c r="Y19" s="70"/>
      <c r="Z19" s="70" t="str">
        <f>IF($G$1="","","New Design"&amp;CHAR(10)&amp;"Size")</f>
        <v/>
      </c>
      <c r="AA19" s="70"/>
      <c r="AB19" s="70"/>
      <c r="AC19" s="70"/>
      <c r="AD19" s="70"/>
      <c r="AE19" s="70"/>
      <c r="AF19" s="7"/>
    </row>
    <row r="20" spans="1:32" x14ac:dyDescent="0.25">
      <c r="A20" s="3"/>
      <c r="B20" s="66"/>
      <c r="C20" s="66"/>
      <c r="D20" s="66"/>
      <c r="E20" s="66"/>
      <c r="F20" s="66"/>
      <c r="G20" s="66"/>
      <c r="H20" s="66"/>
      <c r="I20" s="66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"/>
    </row>
    <row r="21" spans="1:32" x14ac:dyDescent="0.25">
      <c r="A21" s="3"/>
      <c r="B21" s="68" t="str">
        <f>IF($G$1="","","Finishing Machine")</f>
        <v/>
      </c>
      <c r="C21" s="68"/>
      <c r="D21" s="68"/>
      <c r="E21" s="68"/>
      <c r="F21" s="68"/>
      <c r="G21" s="68"/>
      <c r="H21" s="68"/>
      <c r="I21" s="68"/>
      <c r="J21" s="61" t="str">
        <f>IF($G$1="","",VLOOKUP($G$1,Data!$D$1:$X$500,8,FALSE)&amp;" meter/min")</f>
        <v/>
      </c>
      <c r="K21" s="61"/>
      <c r="L21" s="61"/>
      <c r="M21" s="61"/>
      <c r="N21" s="61"/>
      <c r="O21" s="61"/>
      <c r="P21" s="65" t="str">
        <f>IF($G$1="","","$"&amp;VLOOKUP($G$1,Data!$D$1:$X$500,11,FALSE))</f>
        <v/>
      </c>
      <c r="Q21" s="65"/>
      <c r="R21" s="65"/>
      <c r="S21" s="65"/>
      <c r="T21" s="65"/>
      <c r="U21" s="71" t="str">
        <f>IF($G$1="","",VLOOKUP($G$1,Data!$D$1:$X$500,14,FALSE))</f>
        <v/>
      </c>
      <c r="V21" s="71"/>
      <c r="W21" s="71"/>
      <c r="X21" s="71"/>
      <c r="Y21" s="71"/>
      <c r="Z21" s="61" t="str">
        <f>IF($G$1="","",VLOOKUP($G$1,Data!$D$1:$X$500,17,FALSE) &amp;" meter/min")</f>
        <v/>
      </c>
      <c r="AA21" s="61"/>
      <c r="AB21" s="61"/>
      <c r="AC21" s="61"/>
      <c r="AD21" s="61"/>
      <c r="AE21" s="61"/>
      <c r="AF21" s="4"/>
    </row>
    <row r="22" spans="1:32" x14ac:dyDescent="0.25">
      <c r="A22" s="3"/>
      <c r="B22" s="67" t="str">
        <f>IF($G$1="","","Jet Dyer")</f>
        <v/>
      </c>
      <c r="C22" s="67"/>
      <c r="D22" s="67"/>
      <c r="E22" s="67"/>
      <c r="F22" s="67"/>
      <c r="G22" s="67"/>
      <c r="H22" s="67"/>
      <c r="I22" s="67"/>
      <c r="J22" s="69" t="str">
        <f>IF($G$1="","",VLOOKUP($G$1,Data!$D$1:$X$500,9,FALSE)&amp;" meter/min")</f>
        <v/>
      </c>
      <c r="K22" s="69"/>
      <c r="L22" s="69"/>
      <c r="M22" s="69"/>
      <c r="N22" s="69"/>
      <c r="O22" s="69"/>
      <c r="P22" s="64" t="str">
        <f>IF($G$1="","","$"&amp;VLOOKUP($G$1,Data!$D$1:$X$500,12,FALSE))</f>
        <v/>
      </c>
      <c r="Q22" s="64"/>
      <c r="R22" s="64"/>
      <c r="S22" s="64"/>
      <c r="T22" s="64"/>
      <c r="U22" s="72" t="str">
        <f>IF($G$1="","",VLOOKUP($G$1,Data!$D$1:$X$500,15,FALSE))</f>
        <v/>
      </c>
      <c r="V22" s="72"/>
      <c r="W22" s="72"/>
      <c r="X22" s="72"/>
      <c r="Y22" s="72"/>
      <c r="Z22" s="69" t="str">
        <f>IF($G$1="","",VLOOKUP($G$1,Data!$D$1:$X$500,18,FALSE) &amp;" meter/min")</f>
        <v/>
      </c>
      <c r="AA22" s="69"/>
      <c r="AB22" s="69"/>
      <c r="AC22" s="69"/>
      <c r="AD22" s="69"/>
      <c r="AE22" s="69"/>
      <c r="AF22" s="4"/>
    </row>
    <row r="23" spans="1:32" x14ac:dyDescent="0.25">
      <c r="A23" s="3"/>
      <c r="B23" s="66" t="str">
        <f>IF($G$1="","","Steam Dyer")</f>
        <v/>
      </c>
      <c r="C23" s="66"/>
      <c r="D23" s="66"/>
      <c r="E23" s="66"/>
      <c r="F23" s="66"/>
      <c r="G23" s="66"/>
      <c r="H23" s="66"/>
      <c r="I23" s="66"/>
      <c r="J23" s="62" t="str">
        <f>IF($G$1="","",VLOOKUP($G$1,Data!$D$1:$X$500,10,FALSE)&amp;" meter/min")</f>
        <v/>
      </c>
      <c r="K23" s="62"/>
      <c r="L23" s="62"/>
      <c r="M23" s="62"/>
      <c r="N23" s="62"/>
      <c r="O23" s="62"/>
      <c r="P23" s="63" t="str">
        <f>IF($G$1="","","$"&amp;VLOOKUP($G$1,Data!$D$1:$X$500,13,FALSE))</f>
        <v/>
      </c>
      <c r="Q23" s="63"/>
      <c r="R23" s="63"/>
      <c r="S23" s="63"/>
      <c r="T23" s="63"/>
      <c r="U23" s="73" t="str">
        <f>IF($G$1="","",VLOOKUP($G$1,Data!$D$1:$X$500,16,FALSE))</f>
        <v/>
      </c>
      <c r="V23" s="73"/>
      <c r="W23" s="73"/>
      <c r="X23" s="73"/>
      <c r="Y23" s="73"/>
      <c r="Z23" s="62" t="str">
        <f>IF($G$1="","",VLOOKUP($G$1,Data!$D$1:$X$500,19,FALSE) &amp;" meter/min")</f>
        <v/>
      </c>
      <c r="AA23" s="62"/>
      <c r="AB23" s="62"/>
      <c r="AC23" s="62"/>
      <c r="AD23" s="62"/>
      <c r="AE23" s="62"/>
      <c r="AF23" s="7"/>
    </row>
    <row r="24" spans="1:32" x14ac:dyDescent="0.25">
      <c r="A24" s="3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8"/>
      <c r="AB24" s="8"/>
      <c r="AC24" s="8"/>
      <c r="AD24" s="8"/>
      <c r="AE24" s="8"/>
      <c r="AF24" s="7"/>
    </row>
    <row r="25" spans="1:32" ht="15.75" customHeight="1" x14ac:dyDescent="0.25">
      <c r="A25" s="3"/>
      <c r="B25" s="45" t="str">
        <f>IF($G$1="","","You will estimate the cost to build a new plant in 2017 when the index for these types of equipment has increased at an average rate of "&amp;VLOOKUP($G$1,Data!$D$1:$X$500,21,FALSE)&amp;"% per year for the past 10 years.")</f>
        <v/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7"/>
    </row>
    <row r="26" spans="1:32" ht="15.75" customHeight="1" x14ac:dyDescent="0.25">
      <c r="A26" s="3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7"/>
    </row>
    <row r="27" spans="1:32" x14ac:dyDescent="0.25">
      <c r="A27" s="3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7"/>
    </row>
    <row r="28" spans="1:32" x14ac:dyDescent="0.25">
      <c r="A28" s="3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5"/>
      <c r="AB28" s="15"/>
      <c r="AC28" s="15"/>
      <c r="AD28" s="15"/>
      <c r="AE28" s="8"/>
      <c r="AF28" s="7"/>
    </row>
    <row r="29" spans="1:32" x14ac:dyDescent="0.25">
      <c r="A29" s="3"/>
      <c r="B29" s="19" t="str">
        <f>IF($G$1="","","New index in 2017")</f>
        <v/>
      </c>
      <c r="C29" s="19"/>
      <c r="D29" s="19"/>
      <c r="E29" s="19"/>
      <c r="F29" s="19"/>
      <c r="G29" s="19"/>
      <c r="H29" s="19"/>
      <c r="I29" s="75"/>
      <c r="J29" s="76"/>
      <c r="K29" s="76"/>
      <c r="L29" s="77"/>
      <c r="M29" s="24" t="str">
        <f>IF($G$1="","","(10 pts)")</f>
        <v/>
      </c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5"/>
      <c r="AB29" s="15"/>
      <c r="AC29" s="15"/>
      <c r="AD29" s="15"/>
      <c r="AE29" s="8"/>
      <c r="AF29" s="7"/>
    </row>
    <row r="30" spans="1:32" ht="15.75" customHeight="1" x14ac:dyDescent="0.25">
      <c r="A30" s="3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7"/>
      <c r="M30" s="17"/>
      <c r="N30" s="72"/>
      <c r="O30" s="72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8"/>
      <c r="AB30" s="8"/>
      <c r="AC30" s="8"/>
      <c r="AD30" s="8"/>
      <c r="AE30" s="8"/>
      <c r="AF30" s="7"/>
    </row>
    <row r="31" spans="1:32" x14ac:dyDescent="0.25">
      <c r="A31" s="3"/>
      <c r="B31" s="18"/>
      <c r="C31" s="18"/>
      <c r="D31" s="18"/>
      <c r="E31" s="18"/>
      <c r="F31" s="18"/>
      <c r="G31" s="18"/>
      <c r="H31" s="86" t="str">
        <f>IF($G$1="","","Reference Cost in 2017")</f>
        <v/>
      </c>
      <c r="I31" s="86"/>
      <c r="J31" s="86"/>
      <c r="K31" s="86"/>
      <c r="L31" s="86"/>
      <c r="M31" s="86"/>
      <c r="N31" s="86"/>
      <c r="O31" s="86"/>
      <c r="P31" s="86"/>
      <c r="Q31" s="86" t="str">
        <f>IF($G$1="","","New Design Cost")</f>
        <v/>
      </c>
      <c r="R31" s="86"/>
      <c r="S31" s="86"/>
      <c r="T31" s="86"/>
      <c r="U31" s="86"/>
      <c r="V31" s="86"/>
      <c r="W31" s="86"/>
      <c r="X31" s="15"/>
      <c r="Y31" s="15"/>
      <c r="Z31" s="18"/>
      <c r="AA31" s="8"/>
      <c r="AB31" s="8"/>
      <c r="AC31" s="8"/>
      <c r="AD31" s="8"/>
      <c r="AE31" s="8"/>
      <c r="AF31" s="7"/>
    </row>
    <row r="32" spans="1:32" x14ac:dyDescent="0.25">
      <c r="A32" s="3"/>
      <c r="B32" s="84" t="str">
        <f>IF($G$1="","","Finishing Machine")</f>
        <v/>
      </c>
      <c r="C32" s="84"/>
      <c r="D32" s="84"/>
      <c r="E32" s="84"/>
      <c r="F32" s="84"/>
      <c r="G32" s="84"/>
      <c r="H32" s="84"/>
      <c r="I32" s="74"/>
      <c r="J32" s="74"/>
      <c r="K32" s="74"/>
      <c r="L32" s="74"/>
      <c r="M32" s="74"/>
      <c r="N32" s="74"/>
      <c r="O32" s="74"/>
      <c r="P32" s="18"/>
      <c r="Q32" s="74"/>
      <c r="R32" s="74"/>
      <c r="S32" s="74"/>
      <c r="T32" s="74"/>
      <c r="U32" s="74"/>
      <c r="V32" s="74"/>
      <c r="W32" s="74"/>
      <c r="X32" s="15"/>
      <c r="Y32" s="15" t="str">
        <f>IF($G$1="","","(5 pts each)")</f>
        <v/>
      </c>
      <c r="Z32" s="19"/>
      <c r="AA32" s="15"/>
      <c r="AB32" s="15"/>
      <c r="AC32" s="15"/>
      <c r="AD32" s="15"/>
      <c r="AE32" s="15"/>
      <c r="AF32" s="7"/>
    </row>
    <row r="33" spans="1:32" x14ac:dyDescent="0.25">
      <c r="A33" s="3"/>
      <c r="B33" s="84" t="str">
        <f>IF($G$1="","","Jet Dyer")</f>
        <v/>
      </c>
      <c r="C33" s="84"/>
      <c r="D33" s="84"/>
      <c r="E33" s="84"/>
      <c r="F33" s="84"/>
      <c r="G33" s="84"/>
      <c r="H33" s="84"/>
      <c r="I33" s="78"/>
      <c r="J33" s="79"/>
      <c r="K33" s="79"/>
      <c r="L33" s="79"/>
      <c r="M33" s="79"/>
      <c r="N33" s="79"/>
      <c r="O33" s="80"/>
      <c r="P33" s="19"/>
      <c r="Q33" s="74"/>
      <c r="R33" s="74"/>
      <c r="S33" s="74"/>
      <c r="T33" s="74"/>
      <c r="U33" s="74"/>
      <c r="V33" s="74"/>
      <c r="W33" s="74"/>
      <c r="X33" s="15"/>
      <c r="Y33" s="15"/>
      <c r="Z33" s="19"/>
      <c r="AA33" s="15"/>
      <c r="AB33" s="15"/>
      <c r="AC33" s="15"/>
      <c r="AD33" s="15"/>
      <c r="AE33" s="15"/>
      <c r="AF33" s="7"/>
    </row>
    <row r="34" spans="1:32" x14ac:dyDescent="0.25">
      <c r="A34" s="3"/>
      <c r="B34" s="84" t="str">
        <f>IF($G$1="","","Steam Dyer")</f>
        <v/>
      </c>
      <c r="C34" s="84"/>
      <c r="D34" s="84"/>
      <c r="E34" s="84"/>
      <c r="F34" s="84"/>
      <c r="G34" s="84"/>
      <c r="H34" s="84"/>
      <c r="I34" s="74"/>
      <c r="J34" s="74"/>
      <c r="K34" s="74"/>
      <c r="L34" s="74"/>
      <c r="M34" s="74"/>
      <c r="N34" s="74"/>
      <c r="O34" s="74"/>
      <c r="P34" s="18"/>
      <c r="Q34" s="74"/>
      <c r="R34" s="74"/>
      <c r="S34" s="74"/>
      <c r="T34" s="74"/>
      <c r="U34" s="74"/>
      <c r="V34" s="74"/>
      <c r="W34" s="74"/>
      <c r="X34" s="15"/>
      <c r="Y34" s="15"/>
      <c r="Z34" s="18"/>
      <c r="AA34" s="8"/>
      <c r="AB34" s="8"/>
      <c r="AC34" s="8"/>
      <c r="AD34" s="8"/>
      <c r="AE34" s="8"/>
      <c r="AF34" s="7"/>
    </row>
    <row r="35" spans="1:32" x14ac:dyDescent="0.25">
      <c r="A35" s="3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7"/>
    </row>
    <row r="36" spans="1:32" ht="15.75" customHeight="1" x14ac:dyDescent="0.25">
      <c r="A36" s="3"/>
      <c r="B36" s="15"/>
      <c r="C36" s="15"/>
      <c r="D36" s="15"/>
      <c r="E36" s="15"/>
      <c r="F36" s="15"/>
      <c r="G36" s="15"/>
      <c r="H36" s="15"/>
      <c r="I36" s="15"/>
      <c r="J36" s="15"/>
      <c r="K36" s="84" t="str">
        <f>IF($G$1="","","TOTAL COST")</f>
        <v/>
      </c>
      <c r="L36" s="84"/>
      <c r="M36" s="84"/>
      <c r="N36" s="84"/>
      <c r="O36" s="84"/>
      <c r="P36" s="85"/>
      <c r="Q36" s="74"/>
      <c r="R36" s="74"/>
      <c r="S36" s="74"/>
      <c r="T36" s="74"/>
      <c r="U36" s="74"/>
      <c r="V36" s="74"/>
      <c r="W36" s="74"/>
      <c r="X36" s="15"/>
      <c r="Y36" s="24" t="str">
        <f>IF($G$1="","","(10 pts)")</f>
        <v/>
      </c>
      <c r="Z36" s="15"/>
      <c r="AA36" s="15"/>
      <c r="AB36" s="15"/>
      <c r="AC36" s="15"/>
      <c r="AD36" s="15"/>
      <c r="AE36" s="15"/>
      <c r="AF36" s="7"/>
    </row>
    <row r="37" spans="1:32" x14ac:dyDescent="0.25">
      <c r="A37" s="3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7"/>
    </row>
    <row r="38" spans="1:32" x14ac:dyDescent="0.25">
      <c r="A38" s="3" t="str">
        <f>IF($G$1="","","3)")</f>
        <v/>
      </c>
      <c r="B38" s="45" t="str">
        <f>IF($G$1="","","How much would you have to deposit now into an account paying "&amp;VLOOKUP($G$1,Data!$D$1:$AC$500,24,FALSE)&amp;"% interest per year in order to have $"&amp;VLOOKUP($G$1,Data!$D$1:$AC$500,25,FALSE)&amp;"0,000 in "&amp;VLOOKUP($G$1,Data!$D$1:$AC$500,26,FALSE)&amp;" years? (30 pts)")</f>
        <v/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7"/>
    </row>
    <row r="39" spans="1:32" x14ac:dyDescent="0.25">
      <c r="A39" s="3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7"/>
    </row>
    <row r="40" spans="1:32" x14ac:dyDescent="0.25">
      <c r="A40" s="3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7"/>
    </row>
    <row r="41" spans="1:32" x14ac:dyDescent="0.25">
      <c r="A41" s="3"/>
      <c r="B41" s="78"/>
      <c r="C41" s="79"/>
      <c r="D41" s="79"/>
      <c r="E41" s="79"/>
      <c r="F41" s="79"/>
      <c r="G41" s="80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7"/>
    </row>
    <row r="42" spans="1:32" x14ac:dyDescent="0.25">
      <c r="A42" s="3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7"/>
    </row>
    <row r="43" spans="1:32" ht="16.5" thickBot="1" x14ac:dyDescent="0.3">
      <c r="A43" s="12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4"/>
    </row>
  </sheetData>
  <sheetProtection algorithmName="SHA-512" hashValue="IN1+sDwfvuOMVTDYVBH2KGXveFTZxdDE+TWVWQwRlPmIJ6D2wpRN0mca/CC5CIYwmYtUUn3F30AbMk4qBT93/Q==" saltValue="b7hvE3Ac89Bo+ceReIpBCA==" spinCount="100000" sheet="1" selectLockedCells="1"/>
  <mergeCells count="50">
    <mergeCell ref="B38:AE39"/>
    <mergeCell ref="B41:G41"/>
    <mergeCell ref="B25:AE27"/>
    <mergeCell ref="Z13:AE13"/>
    <mergeCell ref="Q36:W36"/>
    <mergeCell ref="K36:P36"/>
    <mergeCell ref="B32:H32"/>
    <mergeCell ref="B33:H33"/>
    <mergeCell ref="B34:H34"/>
    <mergeCell ref="H31:P31"/>
    <mergeCell ref="Q31:W31"/>
    <mergeCell ref="I32:O32"/>
    <mergeCell ref="I33:O33"/>
    <mergeCell ref="I34:O34"/>
    <mergeCell ref="Q32:W32"/>
    <mergeCell ref="Q33:W33"/>
    <mergeCell ref="Q34:W34"/>
    <mergeCell ref="I29:L29"/>
    <mergeCell ref="N30:O30"/>
    <mergeCell ref="Z21:AE21"/>
    <mergeCell ref="Z22:AE22"/>
    <mergeCell ref="Z23:AE23"/>
    <mergeCell ref="Z19:AE20"/>
    <mergeCell ref="U19:Y20"/>
    <mergeCell ref="U21:Y21"/>
    <mergeCell ref="U22:Y22"/>
    <mergeCell ref="U23:Y23"/>
    <mergeCell ref="P19:T20"/>
    <mergeCell ref="P23:T23"/>
    <mergeCell ref="P22:T22"/>
    <mergeCell ref="P21:T21"/>
    <mergeCell ref="B23:I23"/>
    <mergeCell ref="B22:I22"/>
    <mergeCell ref="B21:I21"/>
    <mergeCell ref="J21:O21"/>
    <mergeCell ref="J22:O22"/>
    <mergeCell ref="J23:O23"/>
    <mergeCell ref="B19:I20"/>
    <mergeCell ref="J19:O20"/>
    <mergeCell ref="DA1:DC2"/>
    <mergeCell ref="G1:AF1"/>
    <mergeCell ref="A2:AF2"/>
    <mergeCell ref="A3:AE3"/>
    <mergeCell ref="A1:F1"/>
    <mergeCell ref="AM12:BO13"/>
    <mergeCell ref="C11:Y12"/>
    <mergeCell ref="C13:Y14"/>
    <mergeCell ref="B4:AE9"/>
    <mergeCell ref="B16:AE17"/>
    <mergeCell ref="Z11:AE11"/>
  </mergeCells>
  <conditionalFormatting sqref="B4:AE42">
    <cfRule type="expression" dxfId="0" priority="1">
      <formula>$G$1=""</formula>
    </cfRule>
  </conditionalFormatting>
  <dataValidations count="5">
    <dataValidation type="decimal" allowBlank="1" showInputMessage="1" showErrorMessage="1" error="Please check your input." sqref="I29:L29">
      <formula1>100</formula1>
      <formula2>1000</formula2>
    </dataValidation>
    <dataValidation type="decimal" allowBlank="1" showInputMessage="1" showErrorMessage="1" error="Please check your input." sqref="I32:O34">
      <formula1>0</formula1>
      <formula2>5000000</formula2>
    </dataValidation>
    <dataValidation type="decimal" allowBlank="1" showInputMessage="1" showErrorMessage="1" error="Please check your input." sqref="Z13">
      <formula1>-10000000</formula1>
      <formula2>10000000</formula2>
    </dataValidation>
    <dataValidation type="decimal" allowBlank="1" showInputMessage="1" showErrorMessage="1" error="Please check your input." sqref="Z11 B41:G41 Q32:W34">
      <formula1>0</formula1>
      <formula2>10000000</formula2>
    </dataValidation>
    <dataValidation type="decimal" allowBlank="1" showInputMessage="1" showErrorMessage="1" error="Please check your input." sqref="Q36:W36">
      <formula1>0</formula1>
      <formula2>30000000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INDIRECT("Data!$D$4:$D$"&amp;Data!$A$1)</xm:f>
          </x14:formula1>
          <xm:sqref>G1:AF1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321"/>
  <sheetViews>
    <sheetView workbookViewId="0">
      <pane ySplit="3" topLeftCell="A289" activePane="bottomLeft" state="frozenSplit"/>
      <selection activeCell="F17" sqref="F17"/>
      <selection pane="bottomLeft" activeCell="A321" sqref="A321"/>
    </sheetView>
  </sheetViews>
  <sheetFormatPr defaultRowHeight="15" x14ac:dyDescent="0.25"/>
  <cols>
    <col min="1" max="1" width="13.85546875" bestFit="1" customWidth="1"/>
    <col min="2" max="2" width="23.42578125" bestFit="1" customWidth="1"/>
    <col min="3" max="3" width="10" bestFit="1" customWidth="1"/>
    <col min="4" max="4" width="45.5703125" bestFit="1" customWidth="1"/>
    <col min="5" max="5" width="10.140625" bestFit="1" customWidth="1"/>
    <col min="6" max="6" width="12.7109375" bestFit="1" customWidth="1"/>
    <col min="7" max="7" width="7.42578125" bestFit="1" customWidth="1"/>
    <col min="8" max="8" width="7.5703125" bestFit="1" customWidth="1"/>
    <col min="9" max="9" width="8" bestFit="1" customWidth="1"/>
    <col min="10" max="10" width="2" bestFit="1" customWidth="1"/>
    <col min="11" max="13" width="9.42578125" bestFit="1" customWidth="1"/>
    <col min="14" max="16" width="7.5703125" bestFit="1" customWidth="1"/>
    <col min="17" max="19" width="7.85546875" bestFit="1" customWidth="1"/>
    <col min="20" max="22" width="8.42578125" bestFit="1" customWidth="1"/>
    <col min="23" max="23" width="9" bestFit="1" customWidth="1"/>
    <col min="24" max="24" width="3" bestFit="1" customWidth="1"/>
    <col min="25" max="25" width="10" bestFit="1" customWidth="1"/>
    <col min="26" max="26" width="2" bestFit="1" customWidth="1"/>
    <col min="30" max="30" width="8" bestFit="1" customWidth="1"/>
    <col min="31" max="31" width="2" bestFit="1" customWidth="1"/>
  </cols>
  <sheetData>
    <row r="1" spans="1:33" x14ac:dyDescent="0.25">
      <c r="A1">
        <f>COUNTA(C4:C503)+3</f>
        <v>321</v>
      </c>
      <c r="E1" s="87" t="s">
        <v>0</v>
      </c>
      <c r="F1" s="87"/>
      <c r="G1" s="87"/>
      <c r="H1" s="87"/>
      <c r="I1" s="87"/>
      <c r="J1" s="87"/>
      <c r="K1" s="87" t="s">
        <v>558</v>
      </c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</row>
    <row r="2" spans="1:33" x14ac:dyDescent="0.25">
      <c r="A2" s="1"/>
      <c r="B2" s="1"/>
      <c r="D2" s="1" t="s">
        <v>3</v>
      </c>
      <c r="E2" s="1">
        <f ca="1">RANDBETWEEN(70,90)</f>
        <v>89</v>
      </c>
      <c r="F2" s="1">
        <f ca="1">RANDBETWEEN(100,150)</f>
        <v>133</v>
      </c>
      <c r="G2" s="1">
        <f ca="1">RANDBETWEEN(5,9)</f>
        <v>5</v>
      </c>
      <c r="H2" s="1">
        <f ca="1">RANDBETWEEN(5,9)</f>
        <v>9</v>
      </c>
      <c r="I2" s="87" t="s">
        <v>538</v>
      </c>
      <c r="J2" s="87"/>
      <c r="K2" s="1">
        <f ca="1">RANDBETWEEN(20,30)*5</f>
        <v>140</v>
      </c>
      <c r="L2" s="1">
        <f ca="1">RANDBETWEEN(30,50)*5</f>
        <v>170</v>
      </c>
      <c r="M2" s="1">
        <f t="shared" ref="M2" ca="1" si="0">RANDBETWEEN(20,30)*5</f>
        <v>145</v>
      </c>
      <c r="N2" s="1" t="str">
        <f ca="1">RANDBETWEEN(5,9)&amp;"00,000"</f>
        <v>900,000</v>
      </c>
      <c r="O2" s="1" t="str">
        <f t="shared" ref="O2:P2" ca="1" si="1">RANDBETWEEN(5,9)&amp;"00,000"</f>
        <v>900,000</v>
      </c>
      <c r="P2" s="1" t="str">
        <f t="shared" ca="1" si="1"/>
        <v>800,000</v>
      </c>
      <c r="Q2" s="1">
        <f ca="1">RANDBETWEEN(70,85)/100</f>
        <v>0.73</v>
      </c>
      <c r="R2" s="1">
        <f t="shared" ref="R2:S2" ca="1" si="2">RANDBETWEEN(70,85)/100</f>
        <v>0.77</v>
      </c>
      <c r="S2" s="1">
        <f t="shared" ca="1" si="2"/>
        <v>0.71</v>
      </c>
      <c r="T2" s="1">
        <f ca="1">RANDBETWEEN(35,60)*5</f>
        <v>220</v>
      </c>
      <c r="U2" s="1">
        <f ca="1">L2-5*RANDBETWEEN(4,8)</f>
        <v>135</v>
      </c>
      <c r="V2" s="1">
        <f ca="1">RANDBETWEEN(35,60)*5</f>
        <v>220</v>
      </c>
      <c r="W2" s="1">
        <f ca="1">RANDBETWEEN(1,3)</f>
        <v>1</v>
      </c>
      <c r="X2" s="1">
        <f ca="1">IF(W2=1,8,IF(W2=2,10,15))</f>
        <v>8</v>
      </c>
      <c r="Y2" s="87" t="s">
        <v>538</v>
      </c>
      <c r="Z2" s="87"/>
      <c r="AA2" s="1">
        <f ca="1">RANDBETWEEN(5,15)</f>
        <v>12</v>
      </c>
      <c r="AB2" s="1">
        <f ca="1">RANDBETWEEN(30,80)</f>
        <v>32</v>
      </c>
      <c r="AC2" s="1">
        <f ca="1">RANDBETWEEN(6,25)</f>
        <v>15</v>
      </c>
      <c r="AD2" s="87" t="s">
        <v>538</v>
      </c>
      <c r="AE2" s="87"/>
    </row>
    <row r="3" spans="1:33" x14ac:dyDescent="0.25">
      <c r="A3" t="s">
        <v>7</v>
      </c>
      <c r="B3" t="s">
        <v>6</v>
      </c>
      <c r="C3" t="s">
        <v>5</v>
      </c>
      <c r="D3" t="s">
        <v>531</v>
      </c>
      <c r="E3" t="s">
        <v>2</v>
      </c>
      <c r="F3" t="s">
        <v>4</v>
      </c>
      <c r="G3" t="s">
        <v>532</v>
      </c>
      <c r="H3" t="s">
        <v>533</v>
      </c>
      <c r="I3" s="87" t="str">
        <f ca="1">IF(COUNTIF(INDIRECT("J4:J"&amp;A1),"&gt;1")=0,"YES","NO")</f>
        <v>YES</v>
      </c>
      <c r="J3" s="87"/>
      <c r="K3" t="s">
        <v>539</v>
      </c>
      <c r="L3" t="s">
        <v>540</v>
      </c>
      <c r="M3" t="s">
        <v>541</v>
      </c>
      <c r="N3" t="s">
        <v>542</v>
      </c>
      <c r="O3" t="s">
        <v>543</v>
      </c>
      <c r="P3" t="s">
        <v>544</v>
      </c>
      <c r="Q3" t="s">
        <v>545</v>
      </c>
      <c r="R3" t="s">
        <v>546</v>
      </c>
      <c r="S3" t="s">
        <v>547</v>
      </c>
      <c r="T3" t="s">
        <v>548</v>
      </c>
      <c r="U3" t="s">
        <v>549</v>
      </c>
      <c r="V3" t="s">
        <v>550</v>
      </c>
      <c r="W3" t="s">
        <v>552</v>
      </c>
      <c r="X3" t="s">
        <v>551</v>
      </c>
      <c r="Y3" s="87" t="str">
        <f ca="1">IF(COUNTIF(INDIRECT("Z4:Z"&amp;A1),"&gt;1")=0,"YES","NO")</f>
        <v>YES</v>
      </c>
      <c r="Z3" s="87"/>
      <c r="AA3" t="s">
        <v>551</v>
      </c>
      <c r="AB3" t="s">
        <v>559</v>
      </c>
      <c r="AC3" t="s">
        <v>560</v>
      </c>
      <c r="AD3" s="87" t="str">
        <f ca="1">IF(COUNTIF(INDIRECT("AE4:AE"&amp;A1),"&gt;1")=0,"YES","NO")</f>
        <v>YES</v>
      </c>
      <c r="AE3" s="87"/>
    </row>
    <row r="4" spans="1:33" x14ac:dyDescent="0.25">
      <c r="A4" t="s">
        <v>9</v>
      </c>
      <c r="B4" t="s">
        <v>8</v>
      </c>
      <c r="C4">
        <v>115206042</v>
      </c>
      <c r="D4" t="str">
        <f t="shared" ref="D4:D67" si="3">A4&amp;", "&amp;B4&amp;"-"&amp;C4</f>
        <v>Ablak, Nida Nur-115206042</v>
      </c>
      <c r="E4">
        <v>73</v>
      </c>
      <c r="F4">
        <v>137</v>
      </c>
      <c r="G4">
        <v>9</v>
      </c>
      <c r="H4">
        <v>8</v>
      </c>
      <c r="I4" t="str">
        <f>E4&amp;F4&amp;G4&amp;H4</f>
        <v>7313798</v>
      </c>
      <c r="J4">
        <f>COUNTIF($I$4:$I$317,I4)</f>
        <v>1</v>
      </c>
      <c r="K4">
        <v>145</v>
      </c>
      <c r="L4">
        <v>195</v>
      </c>
      <c r="M4">
        <v>120</v>
      </c>
      <c r="N4" t="s">
        <v>553</v>
      </c>
      <c r="O4" t="s">
        <v>554</v>
      </c>
      <c r="P4" t="s">
        <v>553</v>
      </c>
      <c r="Q4">
        <v>0.83</v>
      </c>
      <c r="R4">
        <v>0.74</v>
      </c>
      <c r="S4">
        <v>0.73</v>
      </c>
      <c r="T4">
        <v>260</v>
      </c>
      <c r="U4">
        <v>175</v>
      </c>
      <c r="V4">
        <v>295</v>
      </c>
      <c r="W4">
        <v>3</v>
      </c>
      <c r="X4">
        <v>15</v>
      </c>
      <c r="Y4" t="str">
        <f>U4&amp;V4&amp;T4&amp;X4&amp;S4&amp;R4&amp;Q4&amp;P4&amp;O4&amp;N4&amp;M4&amp;L4&amp;K4</f>
        <v>175295260150.730.740.83500,000800,000500,000120195145</v>
      </c>
      <c r="Z4">
        <f>COUNTIF($Y$4:$Y$317,Y4)</f>
        <v>1</v>
      </c>
      <c r="AA4" s="20">
        <v>5</v>
      </c>
      <c r="AB4" s="20">
        <v>79</v>
      </c>
      <c r="AC4" s="20">
        <v>23</v>
      </c>
      <c r="AD4" t="str">
        <f>AA4&amp;AB4&amp;AC4</f>
        <v>57923</v>
      </c>
      <c r="AE4">
        <f>COUNTIF($AD$4:$AD$317,AD4)</f>
        <v>1</v>
      </c>
    </row>
    <row r="5" spans="1:33" x14ac:dyDescent="0.25">
      <c r="A5" t="s">
        <v>574</v>
      </c>
      <c r="B5" t="s">
        <v>575</v>
      </c>
      <c r="C5">
        <v>113205054</v>
      </c>
      <c r="D5" t="str">
        <f t="shared" si="3"/>
        <v>Abo Sway, Hilal Mohammad-113205054</v>
      </c>
      <c r="E5">
        <v>85</v>
      </c>
      <c r="F5">
        <v>112</v>
      </c>
      <c r="G5">
        <v>7</v>
      </c>
      <c r="H5">
        <v>7</v>
      </c>
      <c r="I5" t="str">
        <f t="shared" ref="I5:I68" si="4">E5&amp;F5&amp;G5&amp;H5</f>
        <v>8511277</v>
      </c>
      <c r="J5">
        <f t="shared" ref="J5:J68" si="5">COUNTIF($I$4:$I$317,I5)</f>
        <v>1</v>
      </c>
      <c r="K5">
        <v>125</v>
      </c>
      <c r="L5">
        <v>205</v>
      </c>
      <c r="M5">
        <v>115</v>
      </c>
      <c r="N5" t="s">
        <v>555</v>
      </c>
      <c r="O5" t="s">
        <v>554</v>
      </c>
      <c r="P5" t="s">
        <v>556</v>
      </c>
      <c r="Q5">
        <v>0.74</v>
      </c>
      <c r="R5">
        <v>0.83</v>
      </c>
      <c r="S5">
        <v>0.79</v>
      </c>
      <c r="T5">
        <v>285</v>
      </c>
      <c r="U5">
        <v>180</v>
      </c>
      <c r="V5">
        <v>260</v>
      </c>
      <c r="W5">
        <v>2</v>
      </c>
      <c r="X5">
        <v>10</v>
      </c>
      <c r="Y5" t="str">
        <f t="shared" ref="Y5:Y68" si="6">U5&amp;V5&amp;T5&amp;X5&amp;S5&amp;R5&amp;Q5&amp;P5&amp;O5&amp;N5&amp;M5&amp;L5&amp;K5</f>
        <v>180260285100.790.830.74900,000800,000700,000115205125</v>
      </c>
      <c r="Z5">
        <f t="shared" ref="Z5:Z68" si="7">COUNTIF($Y$4:$Y$317,Y5)</f>
        <v>1</v>
      </c>
      <c r="AA5" s="20">
        <v>14</v>
      </c>
      <c r="AB5" s="20">
        <v>82</v>
      </c>
      <c r="AC5" s="20">
        <v>11</v>
      </c>
      <c r="AD5" t="str">
        <f t="shared" ref="AD5:AD68" si="8">AA5&amp;AB5&amp;AC5</f>
        <v>148211</v>
      </c>
      <c r="AE5">
        <f t="shared" ref="AE5:AE68" si="9">COUNTIF($AD$4:$AD$317,AD5)</f>
        <v>1</v>
      </c>
    </row>
    <row r="6" spans="1:33" x14ac:dyDescent="0.25">
      <c r="A6" t="s">
        <v>11</v>
      </c>
      <c r="B6" t="s">
        <v>10</v>
      </c>
      <c r="C6">
        <v>114204023</v>
      </c>
      <c r="D6" t="str">
        <f t="shared" si="3"/>
        <v>Acar, Oğuzcan-114204023</v>
      </c>
      <c r="E6">
        <v>70</v>
      </c>
      <c r="F6">
        <v>116</v>
      </c>
      <c r="G6">
        <v>8</v>
      </c>
      <c r="H6">
        <v>7</v>
      </c>
      <c r="I6" t="str">
        <f t="shared" si="4"/>
        <v>7011687</v>
      </c>
      <c r="J6">
        <f t="shared" si="5"/>
        <v>1</v>
      </c>
      <c r="K6">
        <v>125</v>
      </c>
      <c r="L6">
        <v>165</v>
      </c>
      <c r="M6">
        <v>110</v>
      </c>
      <c r="N6" t="s">
        <v>557</v>
      </c>
      <c r="O6" t="s">
        <v>556</v>
      </c>
      <c r="P6" t="s">
        <v>556</v>
      </c>
      <c r="Q6">
        <v>0.76</v>
      </c>
      <c r="R6">
        <v>0.78</v>
      </c>
      <c r="S6">
        <v>0.81</v>
      </c>
      <c r="T6">
        <v>300</v>
      </c>
      <c r="U6">
        <v>145</v>
      </c>
      <c r="V6">
        <v>240</v>
      </c>
      <c r="W6">
        <v>2</v>
      </c>
      <c r="X6">
        <v>10</v>
      </c>
      <c r="Y6" t="str">
        <f t="shared" si="6"/>
        <v>145240300100.810.780.76900,000900,000600,000110165125</v>
      </c>
      <c r="Z6">
        <f t="shared" si="7"/>
        <v>1</v>
      </c>
      <c r="AA6" s="20">
        <v>9</v>
      </c>
      <c r="AB6" s="20">
        <v>84</v>
      </c>
      <c r="AC6" s="20">
        <v>7</v>
      </c>
      <c r="AD6" t="str">
        <f t="shared" si="8"/>
        <v>9847</v>
      </c>
      <c r="AE6">
        <f t="shared" si="9"/>
        <v>1</v>
      </c>
    </row>
    <row r="7" spans="1:33" x14ac:dyDescent="0.25">
      <c r="A7" t="s">
        <v>299</v>
      </c>
      <c r="B7" t="s">
        <v>298</v>
      </c>
      <c r="C7">
        <v>116201125</v>
      </c>
      <c r="D7" t="str">
        <f t="shared" si="3"/>
        <v>Açar, Yahya Berkay-116201125</v>
      </c>
      <c r="E7">
        <v>71</v>
      </c>
      <c r="F7">
        <v>135</v>
      </c>
      <c r="G7">
        <v>8</v>
      </c>
      <c r="H7">
        <v>9</v>
      </c>
      <c r="I7" t="str">
        <f t="shared" si="4"/>
        <v>7113589</v>
      </c>
      <c r="J7">
        <f t="shared" si="5"/>
        <v>1</v>
      </c>
      <c r="K7">
        <v>125</v>
      </c>
      <c r="L7">
        <v>180</v>
      </c>
      <c r="M7">
        <v>130</v>
      </c>
      <c r="N7" t="s">
        <v>554</v>
      </c>
      <c r="O7" t="s">
        <v>555</v>
      </c>
      <c r="P7" t="s">
        <v>557</v>
      </c>
      <c r="Q7">
        <v>0.73</v>
      </c>
      <c r="R7">
        <v>0.81</v>
      </c>
      <c r="S7">
        <v>0.74</v>
      </c>
      <c r="T7">
        <v>180</v>
      </c>
      <c r="U7">
        <v>155</v>
      </c>
      <c r="V7">
        <v>265</v>
      </c>
      <c r="W7">
        <v>3</v>
      </c>
      <c r="X7">
        <v>15</v>
      </c>
      <c r="Y7" t="str">
        <f t="shared" si="6"/>
        <v>155265180150.740.810.73600,000700,000800,000130180125</v>
      </c>
      <c r="Z7">
        <f t="shared" si="7"/>
        <v>1</v>
      </c>
      <c r="AA7" s="20">
        <v>14</v>
      </c>
      <c r="AB7" s="20">
        <v>49</v>
      </c>
      <c r="AC7" s="20">
        <v>20</v>
      </c>
      <c r="AD7" t="str">
        <f t="shared" si="8"/>
        <v>144920</v>
      </c>
      <c r="AE7">
        <f t="shared" si="9"/>
        <v>1</v>
      </c>
    </row>
    <row r="8" spans="1:33" x14ac:dyDescent="0.25">
      <c r="A8" t="s">
        <v>13</v>
      </c>
      <c r="B8" t="s">
        <v>12</v>
      </c>
      <c r="C8">
        <v>114203035</v>
      </c>
      <c r="D8" t="str">
        <f t="shared" si="3"/>
        <v>Adıgüzel, Ali Şamil-114203035</v>
      </c>
      <c r="E8">
        <v>87</v>
      </c>
      <c r="F8">
        <v>150</v>
      </c>
      <c r="G8">
        <v>7</v>
      </c>
      <c r="H8">
        <v>9</v>
      </c>
      <c r="I8" t="str">
        <f t="shared" si="4"/>
        <v>8715079</v>
      </c>
      <c r="J8">
        <f t="shared" si="5"/>
        <v>1</v>
      </c>
      <c r="K8">
        <v>130</v>
      </c>
      <c r="L8">
        <v>190</v>
      </c>
      <c r="M8">
        <v>145</v>
      </c>
      <c r="N8" t="s">
        <v>553</v>
      </c>
      <c r="O8" t="s">
        <v>557</v>
      </c>
      <c r="P8" t="s">
        <v>555</v>
      </c>
      <c r="Q8">
        <v>0.81</v>
      </c>
      <c r="R8">
        <v>0.7</v>
      </c>
      <c r="S8">
        <v>0.83</v>
      </c>
      <c r="T8">
        <v>295</v>
      </c>
      <c r="U8">
        <v>165</v>
      </c>
      <c r="V8">
        <v>200</v>
      </c>
      <c r="W8">
        <v>2</v>
      </c>
      <c r="X8">
        <v>10</v>
      </c>
      <c r="Y8" t="str">
        <f t="shared" si="6"/>
        <v>165200295100.830.70.81700,000600,000500,000145190130</v>
      </c>
      <c r="Z8">
        <f t="shared" si="7"/>
        <v>1</v>
      </c>
      <c r="AA8" s="20">
        <v>6</v>
      </c>
      <c r="AB8" s="20">
        <v>73</v>
      </c>
      <c r="AC8" s="20">
        <v>8</v>
      </c>
      <c r="AD8" t="str">
        <f t="shared" si="8"/>
        <v>6738</v>
      </c>
      <c r="AE8">
        <f t="shared" si="9"/>
        <v>1</v>
      </c>
    </row>
    <row r="9" spans="1:33" x14ac:dyDescent="0.25">
      <c r="A9" t="s">
        <v>301</v>
      </c>
      <c r="B9" t="s">
        <v>300</v>
      </c>
      <c r="C9">
        <v>113201042</v>
      </c>
      <c r="D9" t="str">
        <f t="shared" si="3"/>
        <v>Aka, Elifsu Yüksel-113201042</v>
      </c>
      <c r="E9">
        <v>71</v>
      </c>
      <c r="F9">
        <v>104</v>
      </c>
      <c r="G9">
        <v>9</v>
      </c>
      <c r="H9">
        <v>7</v>
      </c>
      <c r="I9" t="str">
        <f t="shared" si="4"/>
        <v>7110497</v>
      </c>
      <c r="J9">
        <f t="shared" si="5"/>
        <v>1</v>
      </c>
      <c r="K9">
        <v>125</v>
      </c>
      <c r="L9">
        <v>185</v>
      </c>
      <c r="M9">
        <v>110</v>
      </c>
      <c r="N9" t="s">
        <v>556</v>
      </c>
      <c r="O9" t="s">
        <v>556</v>
      </c>
      <c r="P9" t="s">
        <v>554</v>
      </c>
      <c r="Q9">
        <v>0.77</v>
      </c>
      <c r="R9">
        <v>0.73</v>
      </c>
      <c r="S9">
        <v>0.75</v>
      </c>
      <c r="T9">
        <v>250</v>
      </c>
      <c r="U9">
        <v>165</v>
      </c>
      <c r="V9">
        <v>250</v>
      </c>
      <c r="W9">
        <v>3</v>
      </c>
      <c r="X9">
        <v>15</v>
      </c>
      <c r="Y9" t="str">
        <f t="shared" si="6"/>
        <v>165250250150.750.730.77800,000900,000900,000110185125</v>
      </c>
      <c r="Z9">
        <f t="shared" si="7"/>
        <v>1</v>
      </c>
      <c r="AA9" s="20">
        <v>6</v>
      </c>
      <c r="AB9" s="20">
        <v>79</v>
      </c>
      <c r="AC9" s="20">
        <v>24</v>
      </c>
      <c r="AD9" t="str">
        <f t="shared" si="8"/>
        <v>67924</v>
      </c>
      <c r="AE9">
        <f t="shared" si="9"/>
        <v>1</v>
      </c>
    </row>
    <row r="10" spans="1:33" x14ac:dyDescent="0.25">
      <c r="A10" t="s">
        <v>301</v>
      </c>
      <c r="B10" t="s">
        <v>302</v>
      </c>
      <c r="C10">
        <v>114204022</v>
      </c>
      <c r="D10" t="str">
        <f t="shared" si="3"/>
        <v>Aka, Kerem-114204022</v>
      </c>
      <c r="E10">
        <v>78</v>
      </c>
      <c r="F10">
        <v>131</v>
      </c>
      <c r="G10">
        <v>8</v>
      </c>
      <c r="H10">
        <v>8</v>
      </c>
      <c r="I10" t="str">
        <f t="shared" si="4"/>
        <v>7813188</v>
      </c>
      <c r="J10">
        <f t="shared" si="5"/>
        <v>1</v>
      </c>
      <c r="K10">
        <v>125</v>
      </c>
      <c r="L10">
        <v>225</v>
      </c>
      <c r="M10">
        <v>140</v>
      </c>
      <c r="N10" t="s">
        <v>553</v>
      </c>
      <c r="O10" t="s">
        <v>554</v>
      </c>
      <c r="P10" t="s">
        <v>556</v>
      </c>
      <c r="Q10">
        <v>0.73</v>
      </c>
      <c r="R10">
        <v>0.81</v>
      </c>
      <c r="S10">
        <v>0.74</v>
      </c>
      <c r="T10">
        <v>230</v>
      </c>
      <c r="U10">
        <v>185</v>
      </c>
      <c r="V10">
        <v>180</v>
      </c>
      <c r="W10">
        <v>3</v>
      </c>
      <c r="X10">
        <v>15</v>
      </c>
      <c r="Y10" t="str">
        <f t="shared" si="6"/>
        <v>185180230150.740.810.73900,000800,000500,000140225125</v>
      </c>
      <c r="Z10">
        <f t="shared" si="7"/>
        <v>1</v>
      </c>
      <c r="AA10" s="20">
        <v>5</v>
      </c>
      <c r="AB10" s="20">
        <v>80</v>
      </c>
      <c r="AC10" s="20">
        <v>18</v>
      </c>
      <c r="AD10" t="str">
        <f t="shared" si="8"/>
        <v>58018</v>
      </c>
      <c r="AE10">
        <f t="shared" si="9"/>
        <v>1</v>
      </c>
    </row>
    <row r="11" spans="1:33" x14ac:dyDescent="0.25">
      <c r="A11" t="s">
        <v>15</v>
      </c>
      <c r="B11" t="s">
        <v>14</v>
      </c>
      <c r="C11">
        <v>114202033</v>
      </c>
      <c r="D11" t="str">
        <f t="shared" si="3"/>
        <v>Akcan, Ömer Gökalp-114202033</v>
      </c>
      <c r="E11">
        <v>82</v>
      </c>
      <c r="F11">
        <v>131</v>
      </c>
      <c r="G11">
        <v>9</v>
      </c>
      <c r="H11">
        <v>8</v>
      </c>
      <c r="I11" t="str">
        <f t="shared" si="4"/>
        <v>8213198</v>
      </c>
      <c r="J11">
        <f t="shared" si="5"/>
        <v>1</v>
      </c>
      <c r="K11">
        <v>110</v>
      </c>
      <c r="L11">
        <v>185</v>
      </c>
      <c r="M11">
        <v>105</v>
      </c>
      <c r="N11" t="s">
        <v>553</v>
      </c>
      <c r="O11" t="s">
        <v>554</v>
      </c>
      <c r="P11" t="s">
        <v>555</v>
      </c>
      <c r="Q11">
        <v>0.7</v>
      </c>
      <c r="R11">
        <v>0.81</v>
      </c>
      <c r="S11">
        <v>0.85</v>
      </c>
      <c r="T11">
        <v>250</v>
      </c>
      <c r="U11">
        <v>155</v>
      </c>
      <c r="V11">
        <v>250</v>
      </c>
      <c r="W11">
        <v>2</v>
      </c>
      <c r="X11">
        <v>10</v>
      </c>
      <c r="Y11" t="str">
        <f t="shared" si="6"/>
        <v>155250250100.850.810.7700,000800,000500,000105185110</v>
      </c>
      <c r="Z11">
        <f t="shared" si="7"/>
        <v>1</v>
      </c>
      <c r="AA11" s="20">
        <v>12</v>
      </c>
      <c r="AB11" s="20">
        <v>39</v>
      </c>
      <c r="AC11" s="20">
        <v>23</v>
      </c>
      <c r="AD11" t="str">
        <f t="shared" si="8"/>
        <v>123923</v>
      </c>
      <c r="AE11">
        <f t="shared" si="9"/>
        <v>1</v>
      </c>
    </row>
    <row r="12" spans="1:33" x14ac:dyDescent="0.25">
      <c r="A12" t="s">
        <v>17</v>
      </c>
      <c r="B12" t="s">
        <v>16</v>
      </c>
      <c r="C12">
        <v>116203034</v>
      </c>
      <c r="D12" t="str">
        <f t="shared" si="3"/>
        <v>Akçöl, Emre-116203034</v>
      </c>
      <c r="E12">
        <v>76</v>
      </c>
      <c r="F12">
        <v>120</v>
      </c>
      <c r="G12">
        <v>6</v>
      </c>
      <c r="H12">
        <v>5</v>
      </c>
      <c r="I12" t="str">
        <f t="shared" si="4"/>
        <v>7612065</v>
      </c>
      <c r="J12">
        <f t="shared" si="5"/>
        <v>1</v>
      </c>
      <c r="K12">
        <v>135</v>
      </c>
      <c r="L12">
        <v>250</v>
      </c>
      <c r="M12">
        <v>145</v>
      </c>
      <c r="N12" t="s">
        <v>557</v>
      </c>
      <c r="O12" t="s">
        <v>553</v>
      </c>
      <c r="P12" t="s">
        <v>556</v>
      </c>
      <c r="Q12">
        <v>0.77</v>
      </c>
      <c r="R12">
        <v>0.8</v>
      </c>
      <c r="S12">
        <v>0.82</v>
      </c>
      <c r="T12">
        <v>240</v>
      </c>
      <c r="U12">
        <v>225</v>
      </c>
      <c r="V12">
        <v>220</v>
      </c>
      <c r="W12">
        <v>2</v>
      </c>
      <c r="X12">
        <v>10</v>
      </c>
      <c r="Y12" t="str">
        <f t="shared" si="6"/>
        <v>225220240100.820.80.77900,000500,000600,000145250135</v>
      </c>
      <c r="Z12">
        <f t="shared" si="7"/>
        <v>1</v>
      </c>
      <c r="AA12" s="20">
        <v>5</v>
      </c>
      <c r="AB12" s="20">
        <v>59</v>
      </c>
      <c r="AC12" s="20">
        <v>23</v>
      </c>
      <c r="AD12" t="str">
        <f t="shared" si="8"/>
        <v>55923</v>
      </c>
      <c r="AE12">
        <f t="shared" si="9"/>
        <v>1</v>
      </c>
    </row>
    <row r="13" spans="1:33" x14ac:dyDescent="0.25">
      <c r="A13" t="s">
        <v>19</v>
      </c>
      <c r="B13" t="s">
        <v>18</v>
      </c>
      <c r="C13">
        <v>114207019</v>
      </c>
      <c r="D13" t="str">
        <f t="shared" si="3"/>
        <v>Akdemir, Bora-114207019</v>
      </c>
      <c r="E13">
        <v>76</v>
      </c>
      <c r="F13">
        <v>149</v>
      </c>
      <c r="G13">
        <v>6</v>
      </c>
      <c r="H13">
        <v>9</v>
      </c>
      <c r="I13" t="str">
        <f t="shared" si="4"/>
        <v>7614969</v>
      </c>
      <c r="J13">
        <f t="shared" si="5"/>
        <v>1</v>
      </c>
      <c r="K13">
        <v>135</v>
      </c>
      <c r="L13">
        <v>165</v>
      </c>
      <c r="M13">
        <v>140</v>
      </c>
      <c r="N13" t="s">
        <v>554</v>
      </c>
      <c r="O13" t="s">
        <v>555</v>
      </c>
      <c r="P13" t="s">
        <v>553</v>
      </c>
      <c r="Q13">
        <v>0.8</v>
      </c>
      <c r="R13">
        <v>0.83</v>
      </c>
      <c r="S13">
        <v>0.73</v>
      </c>
      <c r="T13">
        <v>240</v>
      </c>
      <c r="U13">
        <v>140</v>
      </c>
      <c r="V13">
        <v>290</v>
      </c>
      <c r="W13">
        <v>2</v>
      </c>
      <c r="X13">
        <v>10</v>
      </c>
      <c r="Y13" t="str">
        <f t="shared" si="6"/>
        <v>140290240100.730.830.8500,000700,000800,000140165135</v>
      </c>
      <c r="Z13">
        <f t="shared" si="7"/>
        <v>1</v>
      </c>
      <c r="AA13" s="20">
        <v>14</v>
      </c>
      <c r="AB13" s="20">
        <v>87</v>
      </c>
      <c r="AC13" s="20">
        <v>10</v>
      </c>
      <c r="AD13" t="str">
        <f t="shared" si="8"/>
        <v>148710</v>
      </c>
      <c r="AE13">
        <f t="shared" si="9"/>
        <v>1</v>
      </c>
    </row>
    <row r="14" spans="1:33" x14ac:dyDescent="0.25">
      <c r="A14" t="s">
        <v>21</v>
      </c>
      <c r="B14" t="s">
        <v>20</v>
      </c>
      <c r="C14">
        <v>113204013</v>
      </c>
      <c r="D14" t="str">
        <f t="shared" si="3"/>
        <v>Akgül, Berk-113204013</v>
      </c>
      <c r="E14">
        <v>70</v>
      </c>
      <c r="F14">
        <v>101</v>
      </c>
      <c r="G14">
        <v>7</v>
      </c>
      <c r="H14">
        <v>5</v>
      </c>
      <c r="I14" t="str">
        <f t="shared" si="4"/>
        <v>7010175</v>
      </c>
      <c r="J14">
        <f t="shared" si="5"/>
        <v>1</v>
      </c>
      <c r="K14">
        <v>120</v>
      </c>
      <c r="L14">
        <v>215</v>
      </c>
      <c r="M14">
        <v>135</v>
      </c>
      <c r="N14" t="s">
        <v>553</v>
      </c>
      <c r="O14" t="s">
        <v>557</v>
      </c>
      <c r="P14" t="s">
        <v>554</v>
      </c>
      <c r="Q14">
        <v>0.8</v>
      </c>
      <c r="R14">
        <v>0.75</v>
      </c>
      <c r="S14">
        <v>0.7</v>
      </c>
      <c r="T14">
        <v>185</v>
      </c>
      <c r="U14">
        <v>185</v>
      </c>
      <c r="V14">
        <v>220</v>
      </c>
      <c r="W14">
        <v>2</v>
      </c>
      <c r="X14">
        <v>10</v>
      </c>
      <c r="Y14" t="str">
        <f t="shared" si="6"/>
        <v>185220185100.70.750.8800,000600,000500,000135215120</v>
      </c>
      <c r="Z14">
        <f t="shared" si="7"/>
        <v>1</v>
      </c>
      <c r="AA14" s="20">
        <v>10</v>
      </c>
      <c r="AB14" s="20">
        <v>36</v>
      </c>
      <c r="AC14" s="20">
        <v>18</v>
      </c>
      <c r="AD14" t="str">
        <f t="shared" si="8"/>
        <v>103618</v>
      </c>
      <c r="AE14">
        <f t="shared" si="9"/>
        <v>1</v>
      </c>
    </row>
    <row r="15" spans="1:33" x14ac:dyDescent="0.25">
      <c r="A15" t="s">
        <v>304</v>
      </c>
      <c r="B15" t="s">
        <v>303</v>
      </c>
      <c r="C15">
        <v>116201146</v>
      </c>
      <c r="D15" t="str">
        <f t="shared" si="3"/>
        <v>Akın, Hayriye-116201146</v>
      </c>
      <c r="E15">
        <v>88</v>
      </c>
      <c r="F15">
        <v>107</v>
      </c>
      <c r="G15">
        <v>8</v>
      </c>
      <c r="H15">
        <v>5</v>
      </c>
      <c r="I15" t="str">
        <f t="shared" si="4"/>
        <v>8810785</v>
      </c>
      <c r="J15">
        <f t="shared" si="5"/>
        <v>1</v>
      </c>
      <c r="K15">
        <v>105</v>
      </c>
      <c r="L15">
        <v>205</v>
      </c>
      <c r="M15">
        <v>135</v>
      </c>
      <c r="N15" t="s">
        <v>553</v>
      </c>
      <c r="O15" t="s">
        <v>556</v>
      </c>
      <c r="P15" t="s">
        <v>553</v>
      </c>
      <c r="Q15">
        <v>0.85</v>
      </c>
      <c r="R15">
        <v>0.83</v>
      </c>
      <c r="S15">
        <v>0.84</v>
      </c>
      <c r="T15">
        <v>185</v>
      </c>
      <c r="U15">
        <v>185</v>
      </c>
      <c r="V15">
        <v>270</v>
      </c>
      <c r="W15">
        <v>3</v>
      </c>
      <c r="X15">
        <v>15</v>
      </c>
      <c r="Y15" t="str">
        <f t="shared" si="6"/>
        <v>185270185150.840.830.85500,000900,000500,000135205105</v>
      </c>
      <c r="Z15">
        <f t="shared" si="7"/>
        <v>1</v>
      </c>
      <c r="AA15" s="20">
        <v>8</v>
      </c>
      <c r="AB15" s="20">
        <v>82</v>
      </c>
      <c r="AC15" s="20">
        <v>22</v>
      </c>
      <c r="AD15" t="str">
        <f t="shared" si="8"/>
        <v>88222</v>
      </c>
      <c r="AE15">
        <f t="shared" si="9"/>
        <v>1</v>
      </c>
    </row>
    <row r="16" spans="1:33" x14ac:dyDescent="0.25">
      <c r="A16" t="s">
        <v>305</v>
      </c>
      <c r="B16" t="s">
        <v>115</v>
      </c>
      <c r="C16">
        <v>115203016</v>
      </c>
      <c r="D16" t="str">
        <f t="shared" si="3"/>
        <v>Akol, Zeynep-115203016</v>
      </c>
      <c r="E16">
        <v>88</v>
      </c>
      <c r="F16">
        <v>118</v>
      </c>
      <c r="G16">
        <v>9</v>
      </c>
      <c r="H16">
        <v>9</v>
      </c>
      <c r="I16" t="str">
        <f t="shared" si="4"/>
        <v>8811899</v>
      </c>
      <c r="J16">
        <f t="shared" si="5"/>
        <v>1</v>
      </c>
      <c r="K16">
        <v>115</v>
      </c>
      <c r="L16">
        <v>190</v>
      </c>
      <c r="M16">
        <v>110</v>
      </c>
      <c r="N16" t="s">
        <v>554</v>
      </c>
      <c r="O16" t="s">
        <v>555</v>
      </c>
      <c r="P16" t="s">
        <v>553</v>
      </c>
      <c r="Q16">
        <v>0.71</v>
      </c>
      <c r="R16">
        <v>0.83</v>
      </c>
      <c r="S16">
        <v>0.71</v>
      </c>
      <c r="T16">
        <v>250</v>
      </c>
      <c r="U16">
        <v>155</v>
      </c>
      <c r="V16">
        <v>290</v>
      </c>
      <c r="W16">
        <v>3</v>
      </c>
      <c r="X16">
        <v>15</v>
      </c>
      <c r="Y16" t="str">
        <f t="shared" si="6"/>
        <v>155290250150.710.830.71500,000700,000800,000110190115</v>
      </c>
      <c r="Z16">
        <f t="shared" si="7"/>
        <v>1</v>
      </c>
      <c r="AA16" s="20">
        <v>9</v>
      </c>
      <c r="AB16" s="20">
        <v>49</v>
      </c>
      <c r="AC16" s="20">
        <v>7</v>
      </c>
      <c r="AD16" t="str">
        <f t="shared" si="8"/>
        <v>9497</v>
      </c>
      <c r="AE16">
        <f t="shared" si="9"/>
        <v>1</v>
      </c>
    </row>
    <row r="17" spans="1:31" x14ac:dyDescent="0.25">
      <c r="A17" t="s">
        <v>307</v>
      </c>
      <c r="B17" t="s">
        <v>306</v>
      </c>
      <c r="C17">
        <v>114204017</v>
      </c>
      <c r="D17" t="str">
        <f t="shared" si="3"/>
        <v>Aksüt, Şevket Mert-114204017</v>
      </c>
      <c r="E17">
        <v>89</v>
      </c>
      <c r="F17">
        <v>103</v>
      </c>
      <c r="G17">
        <v>8</v>
      </c>
      <c r="H17">
        <v>6</v>
      </c>
      <c r="I17" t="str">
        <f t="shared" si="4"/>
        <v>8910386</v>
      </c>
      <c r="J17">
        <f t="shared" si="5"/>
        <v>1</v>
      </c>
      <c r="K17">
        <v>110</v>
      </c>
      <c r="L17">
        <v>210</v>
      </c>
      <c r="M17">
        <v>110</v>
      </c>
      <c r="N17" t="s">
        <v>556</v>
      </c>
      <c r="O17" t="s">
        <v>553</v>
      </c>
      <c r="P17" t="s">
        <v>554</v>
      </c>
      <c r="Q17">
        <v>0.78</v>
      </c>
      <c r="R17">
        <v>0.76</v>
      </c>
      <c r="S17">
        <v>0.77</v>
      </c>
      <c r="T17">
        <v>205</v>
      </c>
      <c r="U17">
        <v>175</v>
      </c>
      <c r="V17">
        <v>285</v>
      </c>
      <c r="W17">
        <v>1</v>
      </c>
      <c r="X17">
        <v>8</v>
      </c>
      <c r="Y17" t="str">
        <f t="shared" si="6"/>
        <v>17528520580.770.760.78800,000500,000900,000110210110</v>
      </c>
      <c r="Z17">
        <f t="shared" si="7"/>
        <v>1</v>
      </c>
      <c r="AA17" s="20">
        <v>13</v>
      </c>
      <c r="AB17" s="20">
        <v>42</v>
      </c>
      <c r="AC17" s="20">
        <v>21</v>
      </c>
      <c r="AD17" t="str">
        <f t="shared" si="8"/>
        <v>134221</v>
      </c>
      <c r="AE17">
        <f t="shared" si="9"/>
        <v>1</v>
      </c>
    </row>
    <row r="18" spans="1:31" x14ac:dyDescent="0.25">
      <c r="A18" t="s">
        <v>23</v>
      </c>
      <c r="B18" t="s">
        <v>22</v>
      </c>
      <c r="C18">
        <v>116204064</v>
      </c>
      <c r="D18" t="str">
        <f t="shared" si="3"/>
        <v>Aktaş, Yılmaz Can-116204064</v>
      </c>
      <c r="E18">
        <v>70</v>
      </c>
      <c r="F18">
        <v>128</v>
      </c>
      <c r="G18">
        <v>7</v>
      </c>
      <c r="H18">
        <v>5</v>
      </c>
      <c r="I18" t="str">
        <f t="shared" si="4"/>
        <v>7012875</v>
      </c>
      <c r="J18">
        <f t="shared" si="5"/>
        <v>1</v>
      </c>
      <c r="K18">
        <v>115</v>
      </c>
      <c r="L18">
        <v>185</v>
      </c>
      <c r="M18">
        <v>120</v>
      </c>
      <c r="N18" t="s">
        <v>555</v>
      </c>
      <c r="O18" t="s">
        <v>556</v>
      </c>
      <c r="P18" t="s">
        <v>556</v>
      </c>
      <c r="Q18">
        <v>0.79</v>
      </c>
      <c r="R18">
        <v>0.76</v>
      </c>
      <c r="S18">
        <v>0.76</v>
      </c>
      <c r="T18">
        <v>300</v>
      </c>
      <c r="U18">
        <v>155</v>
      </c>
      <c r="V18">
        <v>255</v>
      </c>
      <c r="W18">
        <v>1</v>
      </c>
      <c r="X18">
        <v>8</v>
      </c>
      <c r="Y18" t="str">
        <f t="shared" si="6"/>
        <v>15525530080.760.760.79900,000900,000700,000120185115</v>
      </c>
      <c r="Z18">
        <f t="shared" si="7"/>
        <v>1</v>
      </c>
      <c r="AA18" s="20">
        <v>15</v>
      </c>
      <c r="AB18" s="20">
        <v>53</v>
      </c>
      <c r="AC18" s="20">
        <v>23</v>
      </c>
      <c r="AD18" t="str">
        <f t="shared" si="8"/>
        <v>155323</v>
      </c>
      <c r="AE18">
        <f t="shared" si="9"/>
        <v>1</v>
      </c>
    </row>
    <row r="19" spans="1:31" x14ac:dyDescent="0.25">
      <c r="A19" t="s">
        <v>308</v>
      </c>
      <c r="B19" t="s">
        <v>265</v>
      </c>
      <c r="C19">
        <v>115204006</v>
      </c>
      <c r="D19" t="str">
        <f t="shared" si="3"/>
        <v>Aktürk, Furkan-115204006</v>
      </c>
      <c r="E19">
        <v>77</v>
      </c>
      <c r="F19">
        <v>117</v>
      </c>
      <c r="G19">
        <v>9</v>
      </c>
      <c r="H19">
        <v>7</v>
      </c>
      <c r="I19" t="str">
        <f t="shared" si="4"/>
        <v>7711797</v>
      </c>
      <c r="J19">
        <f t="shared" si="5"/>
        <v>1</v>
      </c>
      <c r="K19">
        <v>145</v>
      </c>
      <c r="L19">
        <v>205</v>
      </c>
      <c r="M19">
        <v>150</v>
      </c>
      <c r="N19" t="s">
        <v>553</v>
      </c>
      <c r="O19" t="s">
        <v>555</v>
      </c>
      <c r="P19" t="s">
        <v>555</v>
      </c>
      <c r="Q19">
        <v>0.82</v>
      </c>
      <c r="R19">
        <v>0.82</v>
      </c>
      <c r="S19">
        <v>0.8</v>
      </c>
      <c r="T19">
        <v>290</v>
      </c>
      <c r="U19">
        <v>170</v>
      </c>
      <c r="V19">
        <v>265</v>
      </c>
      <c r="W19">
        <v>2</v>
      </c>
      <c r="X19">
        <v>10</v>
      </c>
      <c r="Y19" t="str">
        <f t="shared" si="6"/>
        <v>170265290100.80.820.82700,000700,000500,000150205145</v>
      </c>
      <c r="Z19">
        <f t="shared" si="7"/>
        <v>1</v>
      </c>
      <c r="AA19" s="20">
        <v>5</v>
      </c>
      <c r="AB19" s="20">
        <v>53</v>
      </c>
      <c r="AC19" s="20">
        <v>13</v>
      </c>
      <c r="AD19" t="str">
        <f t="shared" si="8"/>
        <v>55313</v>
      </c>
      <c r="AE19">
        <f t="shared" si="9"/>
        <v>1</v>
      </c>
    </row>
    <row r="20" spans="1:31" x14ac:dyDescent="0.25">
      <c r="A20" t="s">
        <v>25</v>
      </c>
      <c r="B20" t="s">
        <v>24</v>
      </c>
      <c r="C20">
        <v>114201049</v>
      </c>
      <c r="D20" t="str">
        <f t="shared" si="3"/>
        <v>Akülkü, İrem-114201049</v>
      </c>
      <c r="E20">
        <v>90</v>
      </c>
      <c r="F20">
        <v>148</v>
      </c>
      <c r="G20">
        <v>5</v>
      </c>
      <c r="H20">
        <v>5</v>
      </c>
      <c r="I20" t="str">
        <f t="shared" si="4"/>
        <v>9014855</v>
      </c>
      <c r="J20">
        <f t="shared" si="5"/>
        <v>1</v>
      </c>
      <c r="K20">
        <v>130</v>
      </c>
      <c r="L20">
        <v>180</v>
      </c>
      <c r="M20">
        <v>105</v>
      </c>
      <c r="N20" t="s">
        <v>553</v>
      </c>
      <c r="O20" t="s">
        <v>557</v>
      </c>
      <c r="P20" t="s">
        <v>553</v>
      </c>
      <c r="Q20">
        <v>0.83</v>
      </c>
      <c r="R20">
        <v>0.73</v>
      </c>
      <c r="S20">
        <v>0.8</v>
      </c>
      <c r="T20">
        <v>175</v>
      </c>
      <c r="U20">
        <v>160</v>
      </c>
      <c r="V20">
        <v>280</v>
      </c>
      <c r="W20">
        <v>1</v>
      </c>
      <c r="X20">
        <v>8</v>
      </c>
      <c r="Y20" t="str">
        <f t="shared" si="6"/>
        <v>16028017580.80.730.83500,000600,000500,000105180130</v>
      </c>
      <c r="Z20">
        <f t="shared" si="7"/>
        <v>1</v>
      </c>
      <c r="AA20" s="20">
        <v>7</v>
      </c>
      <c r="AB20" s="20">
        <v>58</v>
      </c>
      <c r="AC20" s="20">
        <v>17</v>
      </c>
      <c r="AD20" t="str">
        <f t="shared" si="8"/>
        <v>75817</v>
      </c>
      <c r="AE20">
        <f t="shared" si="9"/>
        <v>1</v>
      </c>
    </row>
    <row r="21" spans="1:31" x14ac:dyDescent="0.25">
      <c r="A21" t="s">
        <v>310</v>
      </c>
      <c r="B21" t="s">
        <v>309</v>
      </c>
      <c r="C21">
        <v>115203102</v>
      </c>
      <c r="D21" t="str">
        <f t="shared" si="3"/>
        <v>Akyüz, Uğur Barış-115203102</v>
      </c>
      <c r="E21">
        <v>76</v>
      </c>
      <c r="F21">
        <v>116</v>
      </c>
      <c r="G21">
        <v>8</v>
      </c>
      <c r="H21">
        <v>7</v>
      </c>
      <c r="I21" t="str">
        <f t="shared" si="4"/>
        <v>7611687</v>
      </c>
      <c r="J21">
        <f t="shared" si="5"/>
        <v>1</v>
      </c>
      <c r="K21">
        <v>115</v>
      </c>
      <c r="L21">
        <v>175</v>
      </c>
      <c r="M21">
        <v>140</v>
      </c>
      <c r="N21" t="s">
        <v>555</v>
      </c>
      <c r="O21" t="s">
        <v>557</v>
      </c>
      <c r="P21" t="s">
        <v>556</v>
      </c>
      <c r="Q21">
        <v>0.72</v>
      </c>
      <c r="R21">
        <v>0.78</v>
      </c>
      <c r="S21">
        <v>0.83</v>
      </c>
      <c r="T21">
        <v>215</v>
      </c>
      <c r="U21">
        <v>145</v>
      </c>
      <c r="V21">
        <v>225</v>
      </c>
      <c r="W21">
        <v>2</v>
      </c>
      <c r="X21">
        <v>10</v>
      </c>
      <c r="Y21" t="str">
        <f t="shared" si="6"/>
        <v>145225215100.830.780.72900,000600,000700,000140175115</v>
      </c>
      <c r="Z21">
        <f t="shared" si="7"/>
        <v>1</v>
      </c>
      <c r="AA21" s="20">
        <v>10</v>
      </c>
      <c r="AB21" s="20">
        <v>76</v>
      </c>
      <c r="AC21" s="20">
        <v>9</v>
      </c>
      <c r="AD21" t="str">
        <f t="shared" si="8"/>
        <v>10769</v>
      </c>
      <c r="AE21">
        <f t="shared" si="9"/>
        <v>1</v>
      </c>
    </row>
    <row r="22" spans="1:31" x14ac:dyDescent="0.25">
      <c r="A22" t="s">
        <v>312</v>
      </c>
      <c r="B22" t="s">
        <v>311</v>
      </c>
      <c r="C22">
        <v>116203011</v>
      </c>
      <c r="D22" t="str">
        <f t="shared" si="3"/>
        <v>Alazem, Sulaiman-116203011</v>
      </c>
      <c r="E22">
        <v>72</v>
      </c>
      <c r="F22">
        <v>113</v>
      </c>
      <c r="G22">
        <v>5</v>
      </c>
      <c r="H22">
        <v>7</v>
      </c>
      <c r="I22" t="str">
        <f t="shared" si="4"/>
        <v>7211357</v>
      </c>
      <c r="J22">
        <f t="shared" si="5"/>
        <v>1</v>
      </c>
      <c r="K22">
        <v>125</v>
      </c>
      <c r="L22">
        <v>225</v>
      </c>
      <c r="M22">
        <v>100</v>
      </c>
      <c r="N22" t="s">
        <v>554</v>
      </c>
      <c r="O22" t="s">
        <v>556</v>
      </c>
      <c r="P22" t="s">
        <v>554</v>
      </c>
      <c r="Q22">
        <v>0.82</v>
      </c>
      <c r="R22">
        <v>0.72</v>
      </c>
      <c r="S22">
        <v>0.76</v>
      </c>
      <c r="T22">
        <v>210</v>
      </c>
      <c r="U22">
        <v>205</v>
      </c>
      <c r="V22">
        <v>190</v>
      </c>
      <c r="W22">
        <v>3</v>
      </c>
      <c r="X22">
        <v>15</v>
      </c>
      <c r="Y22" t="str">
        <f t="shared" si="6"/>
        <v>205190210150.760.720.82800,000900,000800,000100225125</v>
      </c>
      <c r="Z22">
        <f t="shared" si="7"/>
        <v>1</v>
      </c>
      <c r="AA22" s="20">
        <v>9</v>
      </c>
      <c r="AB22" s="20">
        <v>87</v>
      </c>
      <c r="AC22" s="20">
        <v>25</v>
      </c>
      <c r="AD22" t="str">
        <f t="shared" si="8"/>
        <v>98725</v>
      </c>
      <c r="AE22">
        <f t="shared" si="9"/>
        <v>1</v>
      </c>
    </row>
    <row r="23" spans="1:31" x14ac:dyDescent="0.25">
      <c r="A23" t="s">
        <v>27</v>
      </c>
      <c r="B23" t="s">
        <v>26</v>
      </c>
      <c r="C23">
        <v>115203015</v>
      </c>
      <c r="D23" t="str">
        <f t="shared" si="3"/>
        <v>Alçın, Arınç-115203015</v>
      </c>
      <c r="E23">
        <v>85</v>
      </c>
      <c r="F23">
        <v>130</v>
      </c>
      <c r="G23">
        <v>7</v>
      </c>
      <c r="H23">
        <v>5</v>
      </c>
      <c r="I23" t="str">
        <f t="shared" si="4"/>
        <v>8513075</v>
      </c>
      <c r="J23">
        <f t="shared" si="5"/>
        <v>1</v>
      </c>
      <c r="K23">
        <v>120</v>
      </c>
      <c r="L23">
        <v>200</v>
      </c>
      <c r="M23">
        <v>150</v>
      </c>
      <c r="N23" t="s">
        <v>556</v>
      </c>
      <c r="O23" t="s">
        <v>553</v>
      </c>
      <c r="P23" t="s">
        <v>557</v>
      </c>
      <c r="Q23">
        <v>0.74</v>
      </c>
      <c r="R23">
        <v>0.76</v>
      </c>
      <c r="S23">
        <v>0.73</v>
      </c>
      <c r="T23">
        <v>195</v>
      </c>
      <c r="U23">
        <v>175</v>
      </c>
      <c r="V23">
        <v>240</v>
      </c>
      <c r="W23">
        <v>1</v>
      </c>
      <c r="X23">
        <v>8</v>
      </c>
      <c r="Y23" t="str">
        <f t="shared" si="6"/>
        <v>17524019580.730.760.74600,000500,000900,000150200120</v>
      </c>
      <c r="Z23">
        <f t="shared" si="7"/>
        <v>1</v>
      </c>
      <c r="AA23" s="20">
        <v>10</v>
      </c>
      <c r="AB23" s="20">
        <v>37</v>
      </c>
      <c r="AC23" s="20">
        <v>25</v>
      </c>
      <c r="AD23" t="str">
        <f t="shared" si="8"/>
        <v>103725</v>
      </c>
      <c r="AE23">
        <f t="shared" si="9"/>
        <v>1</v>
      </c>
    </row>
    <row r="24" spans="1:31" x14ac:dyDescent="0.25">
      <c r="A24" t="s">
        <v>314</v>
      </c>
      <c r="B24" t="s">
        <v>313</v>
      </c>
      <c r="C24">
        <v>116204004</v>
      </c>
      <c r="D24" t="str">
        <f t="shared" si="3"/>
        <v>AlHariri, Alaa Essam-116204004</v>
      </c>
      <c r="E24">
        <v>87</v>
      </c>
      <c r="F24">
        <v>138</v>
      </c>
      <c r="G24">
        <v>9</v>
      </c>
      <c r="H24">
        <v>9</v>
      </c>
      <c r="I24" t="str">
        <f t="shared" si="4"/>
        <v>8713899</v>
      </c>
      <c r="J24">
        <f t="shared" si="5"/>
        <v>1</v>
      </c>
      <c r="K24">
        <v>115</v>
      </c>
      <c r="L24">
        <v>230</v>
      </c>
      <c r="M24">
        <v>110</v>
      </c>
      <c r="N24" t="s">
        <v>555</v>
      </c>
      <c r="O24" t="s">
        <v>554</v>
      </c>
      <c r="P24" t="s">
        <v>554</v>
      </c>
      <c r="Q24">
        <v>0.84</v>
      </c>
      <c r="R24">
        <v>0.73</v>
      </c>
      <c r="S24">
        <v>0.79</v>
      </c>
      <c r="T24">
        <v>210</v>
      </c>
      <c r="U24">
        <v>200</v>
      </c>
      <c r="V24">
        <v>205</v>
      </c>
      <c r="W24">
        <v>1</v>
      </c>
      <c r="X24">
        <v>8</v>
      </c>
      <c r="Y24" t="str">
        <f t="shared" si="6"/>
        <v>20020521080.790.730.84800,000800,000700,000110230115</v>
      </c>
      <c r="Z24">
        <f t="shared" si="7"/>
        <v>1</v>
      </c>
      <c r="AA24" s="20">
        <v>6</v>
      </c>
      <c r="AB24" s="20">
        <v>71</v>
      </c>
      <c r="AC24" s="20">
        <v>20</v>
      </c>
      <c r="AD24" t="str">
        <f t="shared" si="8"/>
        <v>67120</v>
      </c>
      <c r="AE24">
        <f t="shared" si="9"/>
        <v>1</v>
      </c>
    </row>
    <row r="25" spans="1:31" x14ac:dyDescent="0.25">
      <c r="A25" t="s">
        <v>576</v>
      </c>
      <c r="B25" t="s">
        <v>577</v>
      </c>
      <c r="C25">
        <v>117203107</v>
      </c>
      <c r="D25" t="str">
        <f t="shared" si="3"/>
        <v>Aloush, Bashar-117203107</v>
      </c>
      <c r="E25">
        <v>89</v>
      </c>
      <c r="F25">
        <v>127</v>
      </c>
      <c r="G25">
        <v>8</v>
      </c>
      <c r="H25">
        <v>6</v>
      </c>
      <c r="I25" t="str">
        <f t="shared" si="4"/>
        <v>8912786</v>
      </c>
      <c r="J25">
        <f t="shared" si="5"/>
        <v>1</v>
      </c>
      <c r="K25">
        <v>125</v>
      </c>
      <c r="L25">
        <v>230</v>
      </c>
      <c r="M25">
        <v>140</v>
      </c>
      <c r="N25" t="s">
        <v>553</v>
      </c>
      <c r="O25" t="s">
        <v>555</v>
      </c>
      <c r="P25" t="s">
        <v>555</v>
      </c>
      <c r="Q25">
        <v>0.72</v>
      </c>
      <c r="R25">
        <v>0.82</v>
      </c>
      <c r="S25">
        <v>0.71</v>
      </c>
      <c r="T25">
        <v>295</v>
      </c>
      <c r="U25">
        <v>190</v>
      </c>
      <c r="V25">
        <v>245</v>
      </c>
      <c r="W25">
        <v>2</v>
      </c>
      <c r="X25">
        <v>10</v>
      </c>
      <c r="Y25" t="str">
        <f t="shared" si="6"/>
        <v>190245295100.710.820.72700,000700,000500,000140230125</v>
      </c>
      <c r="Z25">
        <f t="shared" si="7"/>
        <v>1</v>
      </c>
      <c r="AA25" s="20">
        <v>6</v>
      </c>
      <c r="AB25" s="20">
        <v>88</v>
      </c>
      <c r="AC25" s="20">
        <v>19</v>
      </c>
      <c r="AD25" t="str">
        <f t="shared" si="8"/>
        <v>68819</v>
      </c>
      <c r="AE25">
        <f t="shared" si="9"/>
        <v>1</v>
      </c>
    </row>
    <row r="26" spans="1:31" x14ac:dyDescent="0.25">
      <c r="A26" t="s">
        <v>316</v>
      </c>
      <c r="B26" t="s">
        <v>315</v>
      </c>
      <c r="C26">
        <v>115203120</v>
      </c>
      <c r="D26" t="str">
        <f t="shared" si="3"/>
        <v>Altahan, Mohammad-115203120</v>
      </c>
      <c r="E26">
        <v>73</v>
      </c>
      <c r="F26">
        <v>120</v>
      </c>
      <c r="G26">
        <v>9</v>
      </c>
      <c r="H26">
        <v>8</v>
      </c>
      <c r="I26" t="str">
        <f t="shared" si="4"/>
        <v>7312098</v>
      </c>
      <c r="J26">
        <f t="shared" si="5"/>
        <v>1</v>
      </c>
      <c r="K26">
        <v>125</v>
      </c>
      <c r="L26">
        <v>175</v>
      </c>
      <c r="M26">
        <v>150</v>
      </c>
      <c r="N26" t="s">
        <v>554</v>
      </c>
      <c r="O26" t="s">
        <v>554</v>
      </c>
      <c r="P26" t="s">
        <v>553</v>
      </c>
      <c r="Q26">
        <v>0.85</v>
      </c>
      <c r="R26">
        <v>0.7</v>
      </c>
      <c r="S26">
        <v>0.85</v>
      </c>
      <c r="T26">
        <v>220</v>
      </c>
      <c r="U26">
        <v>135</v>
      </c>
      <c r="V26">
        <v>285</v>
      </c>
      <c r="W26">
        <v>2</v>
      </c>
      <c r="X26">
        <v>10</v>
      </c>
      <c r="Y26" t="str">
        <f t="shared" si="6"/>
        <v>135285220100.850.70.85500,000800,000800,000150175125</v>
      </c>
      <c r="Z26">
        <f t="shared" si="7"/>
        <v>1</v>
      </c>
      <c r="AA26" s="20">
        <v>11</v>
      </c>
      <c r="AB26" s="20">
        <v>59</v>
      </c>
      <c r="AC26" s="20">
        <v>22</v>
      </c>
      <c r="AD26" t="str">
        <f t="shared" si="8"/>
        <v>115922</v>
      </c>
      <c r="AE26">
        <f t="shared" si="9"/>
        <v>1</v>
      </c>
    </row>
    <row r="27" spans="1:31" x14ac:dyDescent="0.25">
      <c r="A27" t="s">
        <v>29</v>
      </c>
      <c r="B27" t="s">
        <v>28</v>
      </c>
      <c r="C27">
        <v>115203024</v>
      </c>
      <c r="D27" t="str">
        <f t="shared" si="3"/>
        <v>Altuncu, Ekin Deren-115203024</v>
      </c>
      <c r="E27">
        <v>86</v>
      </c>
      <c r="F27">
        <v>104</v>
      </c>
      <c r="G27">
        <v>9</v>
      </c>
      <c r="H27">
        <v>8</v>
      </c>
      <c r="I27" t="str">
        <f t="shared" si="4"/>
        <v>8610498</v>
      </c>
      <c r="J27">
        <f t="shared" si="5"/>
        <v>1</v>
      </c>
      <c r="K27">
        <v>110</v>
      </c>
      <c r="L27">
        <v>240</v>
      </c>
      <c r="M27">
        <v>140</v>
      </c>
      <c r="N27" t="s">
        <v>555</v>
      </c>
      <c r="O27" t="s">
        <v>556</v>
      </c>
      <c r="P27" t="s">
        <v>555</v>
      </c>
      <c r="Q27">
        <v>0.84</v>
      </c>
      <c r="R27">
        <v>0.72</v>
      </c>
      <c r="S27">
        <v>0.73</v>
      </c>
      <c r="T27">
        <v>240</v>
      </c>
      <c r="U27">
        <v>210</v>
      </c>
      <c r="V27">
        <v>180</v>
      </c>
      <c r="W27">
        <v>2</v>
      </c>
      <c r="X27">
        <v>10</v>
      </c>
      <c r="Y27" t="str">
        <f t="shared" si="6"/>
        <v>210180240100.730.720.84700,000900,000700,000140240110</v>
      </c>
      <c r="Z27">
        <f t="shared" si="7"/>
        <v>1</v>
      </c>
      <c r="AA27" s="20">
        <v>12</v>
      </c>
      <c r="AB27" s="20">
        <v>51</v>
      </c>
      <c r="AC27" s="20">
        <v>13</v>
      </c>
      <c r="AD27" t="str">
        <f t="shared" si="8"/>
        <v>125113</v>
      </c>
      <c r="AE27">
        <f t="shared" si="9"/>
        <v>1</v>
      </c>
    </row>
    <row r="28" spans="1:31" x14ac:dyDescent="0.25">
      <c r="A28" t="s">
        <v>318</v>
      </c>
      <c r="B28" t="s">
        <v>317</v>
      </c>
      <c r="C28">
        <v>114201066</v>
      </c>
      <c r="D28" t="str">
        <f t="shared" si="3"/>
        <v>Amir, Rohama-114201066</v>
      </c>
      <c r="E28">
        <v>88</v>
      </c>
      <c r="F28">
        <v>140</v>
      </c>
      <c r="G28">
        <v>7</v>
      </c>
      <c r="H28">
        <v>8</v>
      </c>
      <c r="I28" t="str">
        <f t="shared" si="4"/>
        <v>8814078</v>
      </c>
      <c r="J28">
        <f t="shared" si="5"/>
        <v>1</v>
      </c>
      <c r="K28">
        <v>150</v>
      </c>
      <c r="L28">
        <v>185</v>
      </c>
      <c r="M28">
        <v>130</v>
      </c>
      <c r="N28" t="s">
        <v>554</v>
      </c>
      <c r="O28" t="s">
        <v>557</v>
      </c>
      <c r="P28" t="s">
        <v>553</v>
      </c>
      <c r="Q28">
        <v>0.71</v>
      </c>
      <c r="R28">
        <v>0.85</v>
      </c>
      <c r="S28">
        <v>0.77</v>
      </c>
      <c r="T28">
        <v>300</v>
      </c>
      <c r="U28">
        <v>160</v>
      </c>
      <c r="V28">
        <v>235</v>
      </c>
      <c r="W28">
        <v>1</v>
      </c>
      <c r="X28">
        <v>8</v>
      </c>
      <c r="Y28" t="str">
        <f t="shared" si="6"/>
        <v>16023530080.770.850.71500,000600,000800,000130185150</v>
      </c>
      <c r="Z28">
        <f t="shared" si="7"/>
        <v>1</v>
      </c>
      <c r="AA28" s="20">
        <v>12</v>
      </c>
      <c r="AB28" s="20">
        <v>40</v>
      </c>
      <c r="AC28" s="20">
        <v>16</v>
      </c>
      <c r="AD28" t="str">
        <f t="shared" si="8"/>
        <v>124016</v>
      </c>
      <c r="AE28">
        <f t="shared" si="9"/>
        <v>1</v>
      </c>
    </row>
    <row r="29" spans="1:31" x14ac:dyDescent="0.25">
      <c r="A29" t="s">
        <v>31</v>
      </c>
      <c r="B29" t="s">
        <v>30</v>
      </c>
      <c r="C29">
        <v>115203053</v>
      </c>
      <c r="D29" t="str">
        <f t="shared" si="3"/>
        <v>Aras, Duygu-115203053</v>
      </c>
      <c r="E29">
        <v>82</v>
      </c>
      <c r="F29">
        <v>139</v>
      </c>
      <c r="G29">
        <v>5</v>
      </c>
      <c r="H29">
        <v>8</v>
      </c>
      <c r="I29" t="str">
        <f t="shared" si="4"/>
        <v>8213958</v>
      </c>
      <c r="J29">
        <f t="shared" si="5"/>
        <v>1</v>
      </c>
      <c r="K29">
        <v>145</v>
      </c>
      <c r="L29">
        <v>235</v>
      </c>
      <c r="M29">
        <v>130</v>
      </c>
      <c r="N29" t="s">
        <v>557</v>
      </c>
      <c r="O29" t="s">
        <v>557</v>
      </c>
      <c r="P29" t="s">
        <v>556</v>
      </c>
      <c r="Q29">
        <v>0.82</v>
      </c>
      <c r="R29">
        <v>0.74</v>
      </c>
      <c r="S29">
        <v>0.8</v>
      </c>
      <c r="T29">
        <v>235</v>
      </c>
      <c r="U29">
        <v>205</v>
      </c>
      <c r="V29">
        <v>200</v>
      </c>
      <c r="W29">
        <v>2</v>
      </c>
      <c r="X29">
        <v>10</v>
      </c>
      <c r="Y29" t="str">
        <f t="shared" si="6"/>
        <v>205200235100.80.740.82900,000600,000600,000130235145</v>
      </c>
      <c r="Z29">
        <f t="shared" si="7"/>
        <v>1</v>
      </c>
      <c r="AA29" s="20">
        <v>15</v>
      </c>
      <c r="AB29" s="20">
        <v>38</v>
      </c>
      <c r="AC29" s="20">
        <v>6</v>
      </c>
      <c r="AD29" t="str">
        <f t="shared" si="8"/>
        <v>15386</v>
      </c>
      <c r="AE29">
        <f t="shared" si="9"/>
        <v>1</v>
      </c>
    </row>
    <row r="30" spans="1:31" x14ac:dyDescent="0.25">
      <c r="A30" t="s">
        <v>320</v>
      </c>
      <c r="B30" t="s">
        <v>319</v>
      </c>
      <c r="C30">
        <v>115200048</v>
      </c>
      <c r="D30" t="str">
        <f t="shared" si="3"/>
        <v>Aren, Barış Doruk-115200048</v>
      </c>
      <c r="E30">
        <v>81</v>
      </c>
      <c r="F30">
        <v>128</v>
      </c>
      <c r="G30">
        <v>8</v>
      </c>
      <c r="H30">
        <v>8</v>
      </c>
      <c r="I30" t="str">
        <f t="shared" si="4"/>
        <v>8112888</v>
      </c>
      <c r="J30">
        <f t="shared" si="5"/>
        <v>1</v>
      </c>
      <c r="K30">
        <v>130</v>
      </c>
      <c r="L30">
        <v>170</v>
      </c>
      <c r="M30">
        <v>125</v>
      </c>
      <c r="N30" t="s">
        <v>557</v>
      </c>
      <c r="O30" t="s">
        <v>557</v>
      </c>
      <c r="P30" t="s">
        <v>556</v>
      </c>
      <c r="Q30">
        <v>0.81</v>
      </c>
      <c r="R30">
        <v>0.8</v>
      </c>
      <c r="S30">
        <v>0.74</v>
      </c>
      <c r="T30">
        <v>285</v>
      </c>
      <c r="U30">
        <v>150</v>
      </c>
      <c r="V30">
        <v>220</v>
      </c>
      <c r="W30">
        <v>3</v>
      </c>
      <c r="X30">
        <v>15</v>
      </c>
      <c r="Y30" t="str">
        <f t="shared" si="6"/>
        <v>150220285150.740.80.81900,000600,000600,000125170130</v>
      </c>
      <c r="Z30">
        <f t="shared" si="7"/>
        <v>1</v>
      </c>
      <c r="AA30" s="20">
        <v>13</v>
      </c>
      <c r="AB30" s="20">
        <v>89</v>
      </c>
      <c r="AC30" s="20">
        <v>13</v>
      </c>
      <c r="AD30" t="str">
        <f t="shared" si="8"/>
        <v>138913</v>
      </c>
      <c r="AE30">
        <f t="shared" si="9"/>
        <v>1</v>
      </c>
    </row>
    <row r="31" spans="1:31" x14ac:dyDescent="0.25">
      <c r="A31" t="s">
        <v>33</v>
      </c>
      <c r="B31" t="s">
        <v>32</v>
      </c>
      <c r="C31">
        <v>116204012</v>
      </c>
      <c r="D31" t="str">
        <f t="shared" si="3"/>
        <v>Arık, Koray-116204012</v>
      </c>
      <c r="E31">
        <v>78</v>
      </c>
      <c r="F31">
        <v>142</v>
      </c>
      <c r="G31">
        <v>7</v>
      </c>
      <c r="H31">
        <v>6</v>
      </c>
      <c r="I31" t="str">
        <f t="shared" si="4"/>
        <v>7814276</v>
      </c>
      <c r="J31">
        <f t="shared" si="5"/>
        <v>1</v>
      </c>
      <c r="K31">
        <v>145</v>
      </c>
      <c r="L31">
        <v>180</v>
      </c>
      <c r="M31">
        <v>115</v>
      </c>
      <c r="N31" t="s">
        <v>556</v>
      </c>
      <c r="O31" t="s">
        <v>555</v>
      </c>
      <c r="P31" t="s">
        <v>555</v>
      </c>
      <c r="Q31">
        <v>0.79</v>
      </c>
      <c r="R31">
        <v>0.77</v>
      </c>
      <c r="S31">
        <v>0.79</v>
      </c>
      <c r="T31">
        <v>255</v>
      </c>
      <c r="U31">
        <v>140</v>
      </c>
      <c r="V31">
        <v>215</v>
      </c>
      <c r="W31">
        <v>1</v>
      </c>
      <c r="X31">
        <v>8</v>
      </c>
      <c r="Y31" t="str">
        <f t="shared" si="6"/>
        <v>14021525580.790.770.79700,000700,000900,000115180145</v>
      </c>
      <c r="Z31">
        <f t="shared" si="7"/>
        <v>1</v>
      </c>
      <c r="AA31" s="20">
        <v>9</v>
      </c>
      <c r="AB31" s="20">
        <v>51</v>
      </c>
      <c r="AC31" s="20">
        <v>25</v>
      </c>
      <c r="AD31" t="str">
        <f t="shared" si="8"/>
        <v>95125</v>
      </c>
      <c r="AE31">
        <f t="shared" si="9"/>
        <v>1</v>
      </c>
    </row>
    <row r="32" spans="1:31" x14ac:dyDescent="0.25">
      <c r="A32" t="s">
        <v>35</v>
      </c>
      <c r="B32" t="s">
        <v>321</v>
      </c>
      <c r="C32">
        <v>115204049</v>
      </c>
      <c r="D32" t="str">
        <f t="shared" si="3"/>
        <v>Arslan, Beyza-115204049</v>
      </c>
      <c r="E32">
        <v>76</v>
      </c>
      <c r="F32">
        <v>102</v>
      </c>
      <c r="G32">
        <v>6</v>
      </c>
      <c r="H32">
        <v>7</v>
      </c>
      <c r="I32" t="str">
        <f t="shared" si="4"/>
        <v>7610267</v>
      </c>
      <c r="J32">
        <f t="shared" si="5"/>
        <v>1</v>
      </c>
      <c r="K32">
        <v>130</v>
      </c>
      <c r="L32">
        <v>200</v>
      </c>
      <c r="M32">
        <v>120</v>
      </c>
      <c r="N32" t="s">
        <v>555</v>
      </c>
      <c r="O32" t="s">
        <v>555</v>
      </c>
      <c r="P32" t="s">
        <v>555</v>
      </c>
      <c r="Q32">
        <v>0.81</v>
      </c>
      <c r="R32">
        <v>0.84</v>
      </c>
      <c r="S32">
        <v>0.7</v>
      </c>
      <c r="T32">
        <v>250</v>
      </c>
      <c r="U32">
        <v>165</v>
      </c>
      <c r="V32">
        <v>220</v>
      </c>
      <c r="W32">
        <v>1</v>
      </c>
      <c r="X32">
        <v>8</v>
      </c>
      <c r="Y32" t="str">
        <f t="shared" si="6"/>
        <v>16522025080.70.840.81700,000700,000700,000120200130</v>
      </c>
      <c r="Z32">
        <f t="shared" si="7"/>
        <v>1</v>
      </c>
      <c r="AA32" s="20">
        <v>5</v>
      </c>
      <c r="AB32" s="20">
        <v>32</v>
      </c>
      <c r="AC32" s="20">
        <v>13</v>
      </c>
      <c r="AD32" t="str">
        <f t="shared" si="8"/>
        <v>53213</v>
      </c>
      <c r="AE32">
        <f t="shared" si="9"/>
        <v>1</v>
      </c>
    </row>
    <row r="33" spans="1:31" x14ac:dyDescent="0.25">
      <c r="A33" t="s">
        <v>35</v>
      </c>
      <c r="B33" t="s">
        <v>34</v>
      </c>
      <c r="C33">
        <v>116204001</v>
      </c>
      <c r="D33" t="str">
        <f t="shared" si="3"/>
        <v>Arslan, Dara Deniz-116204001</v>
      </c>
      <c r="E33">
        <v>72</v>
      </c>
      <c r="F33">
        <v>109</v>
      </c>
      <c r="G33">
        <v>6</v>
      </c>
      <c r="H33">
        <v>8</v>
      </c>
      <c r="I33" t="str">
        <f t="shared" si="4"/>
        <v>7210968</v>
      </c>
      <c r="J33">
        <f t="shared" si="5"/>
        <v>1</v>
      </c>
      <c r="K33">
        <v>140</v>
      </c>
      <c r="L33">
        <v>225</v>
      </c>
      <c r="M33">
        <v>135</v>
      </c>
      <c r="N33" t="s">
        <v>553</v>
      </c>
      <c r="O33" t="s">
        <v>554</v>
      </c>
      <c r="P33" t="s">
        <v>557</v>
      </c>
      <c r="Q33">
        <v>0.81</v>
      </c>
      <c r="R33">
        <v>0.76</v>
      </c>
      <c r="S33">
        <v>0.75</v>
      </c>
      <c r="T33">
        <v>285</v>
      </c>
      <c r="U33">
        <v>195</v>
      </c>
      <c r="V33">
        <v>235</v>
      </c>
      <c r="W33">
        <v>2</v>
      </c>
      <c r="X33">
        <v>10</v>
      </c>
      <c r="Y33" t="str">
        <f t="shared" si="6"/>
        <v>195235285100.750.760.81600,000800,000500,000135225140</v>
      </c>
      <c r="Z33">
        <f t="shared" si="7"/>
        <v>1</v>
      </c>
      <c r="AA33" s="20">
        <v>7</v>
      </c>
      <c r="AB33" s="20">
        <v>90</v>
      </c>
      <c r="AC33" s="20">
        <v>6</v>
      </c>
      <c r="AD33" t="str">
        <f t="shared" si="8"/>
        <v>7906</v>
      </c>
      <c r="AE33">
        <f t="shared" si="9"/>
        <v>1</v>
      </c>
    </row>
    <row r="34" spans="1:31" x14ac:dyDescent="0.25">
      <c r="A34" t="s">
        <v>35</v>
      </c>
      <c r="B34" t="s">
        <v>36</v>
      </c>
      <c r="C34">
        <v>116203018</v>
      </c>
      <c r="D34" t="str">
        <f t="shared" si="3"/>
        <v>Arslan, Pelin-116203018</v>
      </c>
      <c r="E34">
        <v>79</v>
      </c>
      <c r="F34">
        <v>112</v>
      </c>
      <c r="G34">
        <v>7</v>
      </c>
      <c r="H34">
        <v>9</v>
      </c>
      <c r="I34" t="str">
        <f t="shared" si="4"/>
        <v>7911279</v>
      </c>
      <c r="J34">
        <f t="shared" si="5"/>
        <v>1</v>
      </c>
      <c r="K34">
        <v>145</v>
      </c>
      <c r="L34">
        <v>200</v>
      </c>
      <c r="M34">
        <v>140</v>
      </c>
      <c r="N34" t="s">
        <v>556</v>
      </c>
      <c r="O34" t="s">
        <v>557</v>
      </c>
      <c r="P34" t="s">
        <v>554</v>
      </c>
      <c r="Q34">
        <v>0.85</v>
      </c>
      <c r="R34">
        <v>0.83</v>
      </c>
      <c r="S34">
        <v>0.7</v>
      </c>
      <c r="T34">
        <v>195</v>
      </c>
      <c r="U34">
        <v>175</v>
      </c>
      <c r="V34">
        <v>285</v>
      </c>
      <c r="W34">
        <v>2</v>
      </c>
      <c r="X34">
        <v>10</v>
      </c>
      <c r="Y34" t="str">
        <f t="shared" si="6"/>
        <v>175285195100.70.830.85800,000600,000900,000140200145</v>
      </c>
      <c r="Z34">
        <f t="shared" si="7"/>
        <v>1</v>
      </c>
      <c r="AA34" s="20">
        <v>12</v>
      </c>
      <c r="AB34" s="20">
        <v>33</v>
      </c>
      <c r="AC34" s="20">
        <v>15</v>
      </c>
      <c r="AD34" t="str">
        <f t="shared" si="8"/>
        <v>123315</v>
      </c>
      <c r="AE34">
        <f t="shared" si="9"/>
        <v>1</v>
      </c>
    </row>
    <row r="35" spans="1:31" x14ac:dyDescent="0.25">
      <c r="A35" t="s">
        <v>38</v>
      </c>
      <c r="B35" t="s">
        <v>37</v>
      </c>
      <c r="C35">
        <v>116205079</v>
      </c>
      <c r="D35" t="str">
        <f t="shared" si="3"/>
        <v>Atalık, Berkay-116205079</v>
      </c>
      <c r="E35">
        <v>76</v>
      </c>
      <c r="F35">
        <v>133</v>
      </c>
      <c r="G35">
        <v>7</v>
      </c>
      <c r="H35">
        <v>5</v>
      </c>
      <c r="I35" t="str">
        <f t="shared" si="4"/>
        <v>7613375</v>
      </c>
      <c r="J35">
        <f t="shared" si="5"/>
        <v>1</v>
      </c>
      <c r="K35">
        <v>120</v>
      </c>
      <c r="L35">
        <v>230</v>
      </c>
      <c r="M35">
        <v>105</v>
      </c>
      <c r="N35" t="s">
        <v>557</v>
      </c>
      <c r="O35" t="s">
        <v>556</v>
      </c>
      <c r="P35" t="s">
        <v>554</v>
      </c>
      <c r="Q35">
        <v>0.7</v>
      </c>
      <c r="R35">
        <v>0.75</v>
      </c>
      <c r="S35">
        <v>0.85</v>
      </c>
      <c r="T35">
        <v>250</v>
      </c>
      <c r="U35">
        <v>200</v>
      </c>
      <c r="V35">
        <v>275</v>
      </c>
      <c r="W35">
        <v>1</v>
      </c>
      <c r="X35">
        <v>8</v>
      </c>
      <c r="Y35" t="str">
        <f t="shared" si="6"/>
        <v>20027525080.850.750.7800,000900,000600,000105230120</v>
      </c>
      <c r="Z35">
        <f t="shared" si="7"/>
        <v>1</v>
      </c>
      <c r="AA35" s="20">
        <v>14</v>
      </c>
      <c r="AB35" s="20">
        <v>61</v>
      </c>
      <c r="AC35" s="20">
        <v>6</v>
      </c>
      <c r="AD35" t="str">
        <f t="shared" si="8"/>
        <v>14616</v>
      </c>
      <c r="AE35">
        <f t="shared" si="9"/>
        <v>1</v>
      </c>
    </row>
    <row r="36" spans="1:31" x14ac:dyDescent="0.25">
      <c r="A36" t="s">
        <v>40</v>
      </c>
      <c r="B36" t="s">
        <v>39</v>
      </c>
      <c r="C36">
        <v>114206050</v>
      </c>
      <c r="D36" t="str">
        <f t="shared" si="3"/>
        <v>Atasoy, Pamir-114206050</v>
      </c>
      <c r="E36">
        <v>87</v>
      </c>
      <c r="F36">
        <v>145</v>
      </c>
      <c r="G36">
        <v>5</v>
      </c>
      <c r="H36">
        <v>5</v>
      </c>
      <c r="I36" t="str">
        <f t="shared" si="4"/>
        <v>8714555</v>
      </c>
      <c r="J36">
        <f t="shared" si="5"/>
        <v>1</v>
      </c>
      <c r="K36">
        <v>120</v>
      </c>
      <c r="L36">
        <v>190</v>
      </c>
      <c r="M36">
        <v>135</v>
      </c>
      <c r="N36" t="s">
        <v>554</v>
      </c>
      <c r="O36" t="s">
        <v>556</v>
      </c>
      <c r="P36" t="s">
        <v>553</v>
      </c>
      <c r="Q36">
        <v>0.8</v>
      </c>
      <c r="R36">
        <v>0.8</v>
      </c>
      <c r="S36">
        <v>0.75</v>
      </c>
      <c r="T36">
        <v>225</v>
      </c>
      <c r="U36">
        <v>155</v>
      </c>
      <c r="V36">
        <v>290</v>
      </c>
      <c r="W36">
        <v>1</v>
      </c>
      <c r="X36">
        <v>8</v>
      </c>
      <c r="Y36" t="str">
        <f t="shared" si="6"/>
        <v>15529022580.750.80.8500,000900,000800,000135190120</v>
      </c>
      <c r="Z36">
        <f t="shared" si="7"/>
        <v>1</v>
      </c>
      <c r="AA36" s="20">
        <v>12</v>
      </c>
      <c r="AB36" s="20">
        <v>67</v>
      </c>
      <c r="AC36" s="20">
        <v>22</v>
      </c>
      <c r="AD36" t="str">
        <f t="shared" si="8"/>
        <v>126722</v>
      </c>
      <c r="AE36">
        <f t="shared" si="9"/>
        <v>1</v>
      </c>
    </row>
    <row r="37" spans="1:31" x14ac:dyDescent="0.25">
      <c r="A37" t="s">
        <v>42</v>
      </c>
      <c r="B37" t="s">
        <v>41</v>
      </c>
      <c r="C37">
        <v>112202056</v>
      </c>
      <c r="D37" t="str">
        <f t="shared" si="3"/>
        <v>Avunç, Eren-112202056</v>
      </c>
      <c r="E37">
        <v>75</v>
      </c>
      <c r="F37">
        <v>138</v>
      </c>
      <c r="G37">
        <v>6</v>
      </c>
      <c r="H37">
        <v>8</v>
      </c>
      <c r="I37" t="str">
        <f t="shared" si="4"/>
        <v>7513868</v>
      </c>
      <c r="J37">
        <f t="shared" si="5"/>
        <v>1</v>
      </c>
      <c r="K37">
        <v>140</v>
      </c>
      <c r="L37">
        <v>195</v>
      </c>
      <c r="M37">
        <v>110</v>
      </c>
      <c r="N37" t="s">
        <v>557</v>
      </c>
      <c r="O37" t="s">
        <v>555</v>
      </c>
      <c r="P37" t="s">
        <v>554</v>
      </c>
      <c r="Q37">
        <v>0.74</v>
      </c>
      <c r="R37">
        <v>0.79</v>
      </c>
      <c r="S37">
        <v>0.79</v>
      </c>
      <c r="T37">
        <v>245</v>
      </c>
      <c r="U37">
        <v>175</v>
      </c>
      <c r="V37">
        <v>300</v>
      </c>
      <c r="W37">
        <v>2</v>
      </c>
      <c r="X37">
        <v>10</v>
      </c>
      <c r="Y37" t="str">
        <f t="shared" si="6"/>
        <v>175300245100.790.790.74800,000700,000600,000110195140</v>
      </c>
      <c r="Z37">
        <f t="shared" si="7"/>
        <v>1</v>
      </c>
      <c r="AA37" s="20">
        <v>6</v>
      </c>
      <c r="AB37" s="20">
        <v>82</v>
      </c>
      <c r="AC37" s="20">
        <v>19</v>
      </c>
      <c r="AD37" t="str">
        <f t="shared" si="8"/>
        <v>68219</v>
      </c>
      <c r="AE37">
        <f t="shared" si="9"/>
        <v>1</v>
      </c>
    </row>
    <row r="38" spans="1:31" x14ac:dyDescent="0.25">
      <c r="A38" t="s">
        <v>323</v>
      </c>
      <c r="B38" t="s">
        <v>322</v>
      </c>
      <c r="C38">
        <v>115204005</v>
      </c>
      <c r="D38" t="str">
        <f t="shared" si="3"/>
        <v>Ayar, Metin Can-115204005</v>
      </c>
      <c r="E38">
        <v>81</v>
      </c>
      <c r="F38">
        <v>110</v>
      </c>
      <c r="G38">
        <v>6</v>
      </c>
      <c r="H38">
        <v>7</v>
      </c>
      <c r="I38" t="str">
        <f t="shared" si="4"/>
        <v>8111067</v>
      </c>
      <c r="J38">
        <f t="shared" si="5"/>
        <v>1</v>
      </c>
      <c r="K38">
        <v>100</v>
      </c>
      <c r="L38">
        <v>220</v>
      </c>
      <c r="M38">
        <v>100</v>
      </c>
      <c r="N38" t="s">
        <v>555</v>
      </c>
      <c r="O38" t="s">
        <v>556</v>
      </c>
      <c r="P38" t="s">
        <v>557</v>
      </c>
      <c r="Q38">
        <v>0.84</v>
      </c>
      <c r="R38">
        <v>0.85</v>
      </c>
      <c r="S38">
        <v>0.85</v>
      </c>
      <c r="T38">
        <v>260</v>
      </c>
      <c r="U38">
        <v>190</v>
      </c>
      <c r="V38">
        <v>205</v>
      </c>
      <c r="W38">
        <v>2</v>
      </c>
      <c r="X38">
        <v>10</v>
      </c>
      <c r="Y38" t="str">
        <f t="shared" si="6"/>
        <v>190205260100.850.850.84600,000900,000700,000100220100</v>
      </c>
      <c r="Z38">
        <f t="shared" si="7"/>
        <v>1</v>
      </c>
      <c r="AA38" s="20">
        <v>12</v>
      </c>
      <c r="AB38" s="20">
        <v>67</v>
      </c>
      <c r="AC38" s="20">
        <v>15</v>
      </c>
      <c r="AD38" t="str">
        <f t="shared" si="8"/>
        <v>126715</v>
      </c>
      <c r="AE38">
        <f t="shared" si="9"/>
        <v>1</v>
      </c>
    </row>
    <row r="39" spans="1:31" x14ac:dyDescent="0.25">
      <c r="A39" t="s">
        <v>44</v>
      </c>
      <c r="B39" t="s">
        <v>43</v>
      </c>
      <c r="C39">
        <v>115202123</v>
      </c>
      <c r="D39" t="str">
        <f t="shared" si="3"/>
        <v>Aydın, Doğancan-115202123</v>
      </c>
      <c r="E39">
        <v>77</v>
      </c>
      <c r="F39">
        <v>102</v>
      </c>
      <c r="G39">
        <v>8</v>
      </c>
      <c r="H39">
        <v>9</v>
      </c>
      <c r="I39" t="str">
        <f t="shared" si="4"/>
        <v>7710289</v>
      </c>
      <c r="J39">
        <f t="shared" si="5"/>
        <v>1</v>
      </c>
      <c r="K39">
        <v>130</v>
      </c>
      <c r="L39">
        <v>185</v>
      </c>
      <c r="M39">
        <v>115</v>
      </c>
      <c r="N39" t="s">
        <v>555</v>
      </c>
      <c r="O39" t="s">
        <v>554</v>
      </c>
      <c r="P39" t="s">
        <v>556</v>
      </c>
      <c r="Q39">
        <v>0.79</v>
      </c>
      <c r="R39">
        <v>0.83</v>
      </c>
      <c r="S39">
        <v>0.81</v>
      </c>
      <c r="T39">
        <v>260</v>
      </c>
      <c r="U39">
        <v>165</v>
      </c>
      <c r="V39">
        <v>275</v>
      </c>
      <c r="W39">
        <v>2</v>
      </c>
      <c r="X39">
        <v>10</v>
      </c>
      <c r="Y39" t="str">
        <f t="shared" si="6"/>
        <v>165275260100.810.830.79900,000800,000700,000115185130</v>
      </c>
      <c r="Z39">
        <f t="shared" si="7"/>
        <v>1</v>
      </c>
      <c r="AA39" s="20">
        <v>11</v>
      </c>
      <c r="AB39" s="20">
        <v>34</v>
      </c>
      <c r="AC39" s="20">
        <v>14</v>
      </c>
      <c r="AD39" t="str">
        <f t="shared" si="8"/>
        <v>113414</v>
      </c>
      <c r="AE39">
        <f t="shared" si="9"/>
        <v>1</v>
      </c>
    </row>
    <row r="40" spans="1:31" x14ac:dyDescent="0.25">
      <c r="A40" t="s">
        <v>44</v>
      </c>
      <c r="B40" t="s">
        <v>324</v>
      </c>
      <c r="C40">
        <v>112205018</v>
      </c>
      <c r="D40" t="str">
        <f t="shared" si="3"/>
        <v>Aydın, Hamza-112205018</v>
      </c>
      <c r="E40">
        <v>83</v>
      </c>
      <c r="F40">
        <v>119</v>
      </c>
      <c r="G40">
        <v>7</v>
      </c>
      <c r="H40">
        <v>9</v>
      </c>
      <c r="I40" t="str">
        <f t="shared" si="4"/>
        <v>8311979</v>
      </c>
      <c r="J40">
        <f t="shared" si="5"/>
        <v>1</v>
      </c>
      <c r="K40">
        <v>145</v>
      </c>
      <c r="L40">
        <v>180</v>
      </c>
      <c r="M40">
        <v>100</v>
      </c>
      <c r="N40" t="s">
        <v>556</v>
      </c>
      <c r="O40" t="s">
        <v>553</v>
      </c>
      <c r="P40" t="s">
        <v>553</v>
      </c>
      <c r="Q40">
        <v>0.71</v>
      </c>
      <c r="R40">
        <v>0.76</v>
      </c>
      <c r="S40">
        <v>0.75</v>
      </c>
      <c r="T40">
        <v>175</v>
      </c>
      <c r="U40">
        <v>160</v>
      </c>
      <c r="V40">
        <v>245</v>
      </c>
      <c r="W40">
        <v>2</v>
      </c>
      <c r="X40">
        <v>10</v>
      </c>
      <c r="Y40" t="str">
        <f t="shared" si="6"/>
        <v>160245175100.750.760.71500,000500,000900,000100180145</v>
      </c>
      <c r="Z40">
        <f t="shared" si="7"/>
        <v>1</v>
      </c>
      <c r="AA40" s="20">
        <v>14</v>
      </c>
      <c r="AB40" s="20">
        <v>41</v>
      </c>
      <c r="AC40" s="20">
        <v>13</v>
      </c>
      <c r="AD40" t="str">
        <f t="shared" si="8"/>
        <v>144113</v>
      </c>
      <c r="AE40">
        <f t="shared" si="9"/>
        <v>1</v>
      </c>
    </row>
    <row r="41" spans="1:31" x14ac:dyDescent="0.25">
      <c r="A41" t="s">
        <v>44</v>
      </c>
      <c r="B41" t="s">
        <v>325</v>
      </c>
      <c r="C41">
        <v>113200075</v>
      </c>
      <c r="D41" t="str">
        <f t="shared" si="3"/>
        <v>Aydın, Munzur Onur-113200075</v>
      </c>
      <c r="E41">
        <v>78</v>
      </c>
      <c r="F41">
        <v>129</v>
      </c>
      <c r="G41">
        <v>9</v>
      </c>
      <c r="H41">
        <v>6</v>
      </c>
      <c r="I41" t="str">
        <f t="shared" si="4"/>
        <v>7812996</v>
      </c>
      <c r="J41">
        <f t="shared" si="5"/>
        <v>1</v>
      </c>
      <c r="K41">
        <v>120</v>
      </c>
      <c r="L41">
        <v>230</v>
      </c>
      <c r="M41">
        <v>115</v>
      </c>
      <c r="N41" t="s">
        <v>555</v>
      </c>
      <c r="O41" t="s">
        <v>554</v>
      </c>
      <c r="P41" t="s">
        <v>554</v>
      </c>
      <c r="Q41">
        <v>0.85</v>
      </c>
      <c r="R41">
        <v>0.76</v>
      </c>
      <c r="S41">
        <v>0.7</v>
      </c>
      <c r="T41">
        <v>200</v>
      </c>
      <c r="U41">
        <v>205</v>
      </c>
      <c r="V41">
        <v>240</v>
      </c>
      <c r="W41">
        <v>2</v>
      </c>
      <c r="X41">
        <v>10</v>
      </c>
      <c r="Y41" t="str">
        <f t="shared" si="6"/>
        <v>205240200100.70.760.85800,000800,000700,000115230120</v>
      </c>
      <c r="Z41">
        <f t="shared" si="7"/>
        <v>1</v>
      </c>
      <c r="AA41" s="20">
        <v>11</v>
      </c>
      <c r="AB41" s="20">
        <v>82</v>
      </c>
      <c r="AC41" s="20">
        <v>17</v>
      </c>
      <c r="AD41" t="str">
        <f t="shared" si="8"/>
        <v>118217</v>
      </c>
      <c r="AE41">
        <f t="shared" si="9"/>
        <v>1</v>
      </c>
    </row>
    <row r="42" spans="1:31" x14ac:dyDescent="0.25">
      <c r="A42" t="s">
        <v>46</v>
      </c>
      <c r="B42" t="s">
        <v>45</v>
      </c>
      <c r="C42">
        <v>115205018</v>
      </c>
      <c r="D42" t="str">
        <f t="shared" si="3"/>
        <v>Aydoğdu, Tolga-115205018</v>
      </c>
      <c r="E42">
        <v>90</v>
      </c>
      <c r="F42">
        <v>133</v>
      </c>
      <c r="G42">
        <v>6</v>
      </c>
      <c r="H42">
        <v>9</v>
      </c>
      <c r="I42" t="str">
        <f t="shared" si="4"/>
        <v>9013369</v>
      </c>
      <c r="J42">
        <f t="shared" si="5"/>
        <v>1</v>
      </c>
      <c r="K42">
        <v>150</v>
      </c>
      <c r="L42">
        <v>190</v>
      </c>
      <c r="M42">
        <v>130</v>
      </c>
      <c r="N42" t="s">
        <v>557</v>
      </c>
      <c r="O42" t="s">
        <v>553</v>
      </c>
      <c r="P42" t="s">
        <v>557</v>
      </c>
      <c r="Q42">
        <v>0.75</v>
      </c>
      <c r="R42">
        <v>0.77</v>
      </c>
      <c r="S42">
        <v>0.74</v>
      </c>
      <c r="T42">
        <v>225</v>
      </c>
      <c r="U42">
        <v>170</v>
      </c>
      <c r="V42">
        <v>240</v>
      </c>
      <c r="W42">
        <v>1</v>
      </c>
      <c r="X42">
        <v>8</v>
      </c>
      <c r="Y42" t="str">
        <f t="shared" si="6"/>
        <v>17024022580.740.770.75600,000500,000600,000130190150</v>
      </c>
      <c r="Z42">
        <f t="shared" si="7"/>
        <v>1</v>
      </c>
      <c r="AA42" s="20">
        <v>9</v>
      </c>
      <c r="AB42" s="20">
        <v>40</v>
      </c>
      <c r="AC42" s="20">
        <v>8</v>
      </c>
      <c r="AD42" t="str">
        <f t="shared" si="8"/>
        <v>9408</v>
      </c>
      <c r="AE42">
        <f t="shared" si="9"/>
        <v>1</v>
      </c>
    </row>
    <row r="43" spans="1:31" x14ac:dyDescent="0.25">
      <c r="A43" t="s">
        <v>48</v>
      </c>
      <c r="B43" t="s">
        <v>47</v>
      </c>
      <c r="C43">
        <v>115202018</v>
      </c>
      <c r="D43" t="str">
        <f t="shared" si="3"/>
        <v>Aytekin, Anıl Aydın-115202018</v>
      </c>
      <c r="E43">
        <v>80</v>
      </c>
      <c r="F43">
        <v>116</v>
      </c>
      <c r="G43">
        <v>8</v>
      </c>
      <c r="H43">
        <v>9</v>
      </c>
      <c r="I43" t="str">
        <f t="shared" si="4"/>
        <v>8011689</v>
      </c>
      <c r="J43">
        <f t="shared" si="5"/>
        <v>1</v>
      </c>
      <c r="K43">
        <v>100</v>
      </c>
      <c r="L43">
        <v>180</v>
      </c>
      <c r="M43">
        <v>145</v>
      </c>
      <c r="N43" t="s">
        <v>556</v>
      </c>
      <c r="O43" t="s">
        <v>556</v>
      </c>
      <c r="P43" t="s">
        <v>553</v>
      </c>
      <c r="Q43">
        <v>0.7</v>
      </c>
      <c r="R43">
        <v>0.71</v>
      </c>
      <c r="S43">
        <v>0.74</v>
      </c>
      <c r="T43">
        <v>280</v>
      </c>
      <c r="U43">
        <v>160</v>
      </c>
      <c r="V43">
        <v>180</v>
      </c>
      <c r="W43">
        <v>2</v>
      </c>
      <c r="X43">
        <v>10</v>
      </c>
      <c r="Y43" t="str">
        <f t="shared" si="6"/>
        <v>160180280100.740.710.7500,000900,000900,000145180100</v>
      </c>
      <c r="Z43">
        <f t="shared" si="7"/>
        <v>1</v>
      </c>
      <c r="AA43" s="20">
        <v>6</v>
      </c>
      <c r="AB43" s="20">
        <v>81</v>
      </c>
      <c r="AC43" s="20">
        <v>6</v>
      </c>
      <c r="AD43" t="str">
        <f t="shared" si="8"/>
        <v>6816</v>
      </c>
      <c r="AE43">
        <f t="shared" si="9"/>
        <v>1</v>
      </c>
    </row>
    <row r="44" spans="1:31" x14ac:dyDescent="0.25">
      <c r="A44" t="s">
        <v>50</v>
      </c>
      <c r="B44" t="s">
        <v>49</v>
      </c>
      <c r="C44">
        <v>116203201</v>
      </c>
      <c r="D44" t="str">
        <f t="shared" si="3"/>
        <v>Badr, Abdullah-116203201</v>
      </c>
      <c r="E44">
        <v>76</v>
      </c>
      <c r="F44">
        <v>103</v>
      </c>
      <c r="G44">
        <v>9</v>
      </c>
      <c r="H44">
        <v>9</v>
      </c>
      <c r="I44" t="str">
        <f t="shared" si="4"/>
        <v>7610399</v>
      </c>
      <c r="J44">
        <f t="shared" si="5"/>
        <v>1</v>
      </c>
      <c r="K44">
        <v>135</v>
      </c>
      <c r="L44">
        <v>160</v>
      </c>
      <c r="M44">
        <v>130</v>
      </c>
      <c r="N44" t="s">
        <v>555</v>
      </c>
      <c r="O44" t="s">
        <v>557</v>
      </c>
      <c r="P44" t="s">
        <v>554</v>
      </c>
      <c r="Q44">
        <v>0.79</v>
      </c>
      <c r="R44">
        <v>0.77</v>
      </c>
      <c r="S44">
        <v>0.76</v>
      </c>
      <c r="T44">
        <v>235</v>
      </c>
      <c r="U44">
        <v>140</v>
      </c>
      <c r="V44">
        <v>210</v>
      </c>
      <c r="W44">
        <v>3</v>
      </c>
      <c r="X44">
        <v>15</v>
      </c>
      <c r="Y44" t="str">
        <f t="shared" si="6"/>
        <v>140210235150.760.770.79800,000600,000700,000130160135</v>
      </c>
      <c r="Z44">
        <f t="shared" si="7"/>
        <v>1</v>
      </c>
      <c r="AA44" s="20">
        <v>9</v>
      </c>
      <c r="AB44" s="20">
        <v>68</v>
      </c>
      <c r="AC44" s="20">
        <v>22</v>
      </c>
      <c r="AD44" t="str">
        <f t="shared" si="8"/>
        <v>96822</v>
      </c>
      <c r="AE44">
        <f t="shared" si="9"/>
        <v>1</v>
      </c>
    </row>
    <row r="45" spans="1:31" x14ac:dyDescent="0.25">
      <c r="A45" t="s">
        <v>326</v>
      </c>
      <c r="B45" t="s">
        <v>69</v>
      </c>
      <c r="C45">
        <v>113201012</v>
      </c>
      <c r="D45" t="str">
        <f t="shared" si="3"/>
        <v>Bakanoğlu, Mehmet-113201012</v>
      </c>
      <c r="E45">
        <v>72</v>
      </c>
      <c r="F45">
        <v>108</v>
      </c>
      <c r="G45">
        <v>5</v>
      </c>
      <c r="H45">
        <v>7</v>
      </c>
      <c r="I45" t="str">
        <f t="shared" si="4"/>
        <v>7210857</v>
      </c>
      <c r="J45">
        <f t="shared" si="5"/>
        <v>1</v>
      </c>
      <c r="K45">
        <v>110</v>
      </c>
      <c r="L45">
        <v>225</v>
      </c>
      <c r="M45">
        <v>130</v>
      </c>
      <c r="N45" t="s">
        <v>553</v>
      </c>
      <c r="O45" t="s">
        <v>553</v>
      </c>
      <c r="P45" t="s">
        <v>554</v>
      </c>
      <c r="Q45">
        <v>0.83</v>
      </c>
      <c r="R45">
        <v>0.79</v>
      </c>
      <c r="S45">
        <v>0.72</v>
      </c>
      <c r="T45">
        <v>190</v>
      </c>
      <c r="U45">
        <v>190</v>
      </c>
      <c r="V45">
        <v>175</v>
      </c>
      <c r="W45">
        <v>1</v>
      </c>
      <c r="X45">
        <v>8</v>
      </c>
      <c r="Y45" t="str">
        <f t="shared" si="6"/>
        <v>19017519080.720.790.83800,000500,000500,000130225110</v>
      </c>
      <c r="Z45">
        <f t="shared" si="7"/>
        <v>1</v>
      </c>
      <c r="AA45" s="20">
        <v>8</v>
      </c>
      <c r="AB45" s="20">
        <v>77</v>
      </c>
      <c r="AC45" s="20">
        <v>9</v>
      </c>
      <c r="AD45" t="str">
        <f t="shared" si="8"/>
        <v>8779</v>
      </c>
      <c r="AE45">
        <f t="shared" si="9"/>
        <v>1</v>
      </c>
    </row>
    <row r="46" spans="1:31" x14ac:dyDescent="0.25">
      <c r="A46" t="s">
        <v>327</v>
      </c>
      <c r="B46" t="s">
        <v>265</v>
      </c>
      <c r="C46">
        <v>116200101</v>
      </c>
      <c r="D46" t="str">
        <f t="shared" si="3"/>
        <v>Balasar, Furkan-116200101</v>
      </c>
      <c r="E46">
        <v>72</v>
      </c>
      <c r="F46">
        <v>103</v>
      </c>
      <c r="G46">
        <v>6</v>
      </c>
      <c r="H46">
        <v>7</v>
      </c>
      <c r="I46" t="str">
        <f t="shared" si="4"/>
        <v>7210367</v>
      </c>
      <c r="J46">
        <f t="shared" si="5"/>
        <v>1</v>
      </c>
      <c r="K46">
        <v>125</v>
      </c>
      <c r="L46">
        <v>210</v>
      </c>
      <c r="M46">
        <v>130</v>
      </c>
      <c r="N46" t="s">
        <v>554</v>
      </c>
      <c r="O46" t="s">
        <v>556</v>
      </c>
      <c r="P46" t="s">
        <v>553</v>
      </c>
      <c r="Q46">
        <v>0.72</v>
      </c>
      <c r="R46">
        <v>0.82</v>
      </c>
      <c r="S46">
        <v>0.75</v>
      </c>
      <c r="T46">
        <v>220</v>
      </c>
      <c r="U46">
        <v>185</v>
      </c>
      <c r="V46">
        <v>230</v>
      </c>
      <c r="W46">
        <v>3</v>
      </c>
      <c r="X46">
        <v>15</v>
      </c>
      <c r="Y46" t="str">
        <f t="shared" si="6"/>
        <v>185230220150.750.820.72500,000900,000800,000130210125</v>
      </c>
      <c r="Z46">
        <f t="shared" si="7"/>
        <v>1</v>
      </c>
      <c r="AA46" s="20">
        <v>11</v>
      </c>
      <c r="AB46" s="20">
        <v>74</v>
      </c>
      <c r="AC46" s="20">
        <v>15</v>
      </c>
      <c r="AD46" t="str">
        <f t="shared" si="8"/>
        <v>117415</v>
      </c>
      <c r="AE46">
        <f t="shared" si="9"/>
        <v>1</v>
      </c>
    </row>
    <row r="47" spans="1:31" x14ac:dyDescent="0.25">
      <c r="A47" t="s">
        <v>52</v>
      </c>
      <c r="B47" t="s">
        <v>51</v>
      </c>
      <c r="C47">
        <v>115203051</v>
      </c>
      <c r="D47" t="str">
        <f t="shared" si="3"/>
        <v>Balay, Hakan-115203051</v>
      </c>
      <c r="E47">
        <v>76</v>
      </c>
      <c r="F47">
        <v>136</v>
      </c>
      <c r="G47">
        <v>6</v>
      </c>
      <c r="H47">
        <v>9</v>
      </c>
      <c r="I47" t="str">
        <f t="shared" si="4"/>
        <v>7613669</v>
      </c>
      <c r="J47">
        <f t="shared" si="5"/>
        <v>1</v>
      </c>
      <c r="K47">
        <v>150</v>
      </c>
      <c r="L47">
        <v>225</v>
      </c>
      <c r="M47">
        <v>125</v>
      </c>
      <c r="N47" t="s">
        <v>554</v>
      </c>
      <c r="O47" t="s">
        <v>555</v>
      </c>
      <c r="P47" t="s">
        <v>554</v>
      </c>
      <c r="Q47">
        <v>0.71</v>
      </c>
      <c r="R47">
        <v>0.72</v>
      </c>
      <c r="S47">
        <v>0.79</v>
      </c>
      <c r="T47">
        <v>230</v>
      </c>
      <c r="U47">
        <v>190</v>
      </c>
      <c r="V47">
        <v>220</v>
      </c>
      <c r="W47">
        <v>3</v>
      </c>
      <c r="X47">
        <v>15</v>
      </c>
      <c r="Y47" t="str">
        <f t="shared" si="6"/>
        <v>190220230150.790.720.71800,000700,000800,000125225150</v>
      </c>
      <c r="Z47">
        <f t="shared" si="7"/>
        <v>1</v>
      </c>
      <c r="AA47" s="20">
        <v>10</v>
      </c>
      <c r="AB47" s="20">
        <v>58</v>
      </c>
      <c r="AC47" s="20">
        <v>14</v>
      </c>
      <c r="AD47" t="str">
        <f t="shared" si="8"/>
        <v>105814</v>
      </c>
      <c r="AE47">
        <f t="shared" si="9"/>
        <v>1</v>
      </c>
    </row>
    <row r="48" spans="1:31" x14ac:dyDescent="0.25">
      <c r="A48" t="s">
        <v>328</v>
      </c>
      <c r="B48" t="s">
        <v>51</v>
      </c>
      <c r="C48">
        <v>114204044</v>
      </c>
      <c r="D48" t="str">
        <f t="shared" si="3"/>
        <v>Balcan, Hakan-114204044</v>
      </c>
      <c r="E48">
        <v>70</v>
      </c>
      <c r="F48">
        <v>120</v>
      </c>
      <c r="G48">
        <v>5</v>
      </c>
      <c r="H48">
        <v>8</v>
      </c>
      <c r="I48" t="str">
        <f t="shared" si="4"/>
        <v>7012058</v>
      </c>
      <c r="J48">
        <f t="shared" si="5"/>
        <v>1</v>
      </c>
      <c r="K48">
        <v>150</v>
      </c>
      <c r="L48">
        <v>165</v>
      </c>
      <c r="M48">
        <v>130</v>
      </c>
      <c r="N48" t="s">
        <v>554</v>
      </c>
      <c r="O48" t="s">
        <v>553</v>
      </c>
      <c r="P48" t="s">
        <v>553</v>
      </c>
      <c r="Q48">
        <v>0.7</v>
      </c>
      <c r="R48">
        <v>0.74</v>
      </c>
      <c r="S48">
        <v>0.83</v>
      </c>
      <c r="T48">
        <v>200</v>
      </c>
      <c r="U48">
        <v>130</v>
      </c>
      <c r="V48">
        <v>275</v>
      </c>
      <c r="W48">
        <v>3</v>
      </c>
      <c r="X48">
        <v>15</v>
      </c>
      <c r="Y48" t="str">
        <f t="shared" si="6"/>
        <v>130275200150.830.740.7500,000500,000800,000130165150</v>
      </c>
      <c r="Z48">
        <f t="shared" si="7"/>
        <v>1</v>
      </c>
      <c r="AA48" s="20">
        <v>7</v>
      </c>
      <c r="AB48" s="20">
        <v>37</v>
      </c>
      <c r="AC48" s="20">
        <v>7</v>
      </c>
      <c r="AD48" t="str">
        <f t="shared" si="8"/>
        <v>7377</v>
      </c>
      <c r="AE48">
        <f t="shared" si="9"/>
        <v>1</v>
      </c>
    </row>
    <row r="49" spans="1:31" x14ac:dyDescent="0.25">
      <c r="A49" t="s">
        <v>54</v>
      </c>
      <c r="B49" t="s">
        <v>329</v>
      </c>
      <c r="C49">
        <v>116203056</v>
      </c>
      <c r="D49" t="str">
        <f t="shared" si="3"/>
        <v>Balcı, Diyar-116203056</v>
      </c>
      <c r="E49">
        <v>83</v>
      </c>
      <c r="F49">
        <v>133</v>
      </c>
      <c r="G49">
        <v>9</v>
      </c>
      <c r="H49">
        <v>9</v>
      </c>
      <c r="I49" t="str">
        <f t="shared" si="4"/>
        <v>8313399</v>
      </c>
      <c r="J49">
        <f t="shared" si="5"/>
        <v>1</v>
      </c>
      <c r="K49">
        <v>145</v>
      </c>
      <c r="L49">
        <v>200</v>
      </c>
      <c r="M49">
        <v>115</v>
      </c>
      <c r="N49" t="s">
        <v>554</v>
      </c>
      <c r="O49" t="s">
        <v>556</v>
      </c>
      <c r="P49" t="s">
        <v>556</v>
      </c>
      <c r="Q49">
        <v>0.71</v>
      </c>
      <c r="R49">
        <v>0.83</v>
      </c>
      <c r="S49">
        <v>0.73</v>
      </c>
      <c r="T49">
        <v>210</v>
      </c>
      <c r="U49">
        <v>180</v>
      </c>
      <c r="V49">
        <v>275</v>
      </c>
      <c r="W49">
        <v>1</v>
      </c>
      <c r="X49">
        <v>8</v>
      </c>
      <c r="Y49" t="str">
        <f t="shared" si="6"/>
        <v>18027521080.730.830.71900,000900,000800,000115200145</v>
      </c>
      <c r="Z49">
        <f t="shared" si="7"/>
        <v>1</v>
      </c>
      <c r="AA49" s="20">
        <v>10</v>
      </c>
      <c r="AB49" s="20">
        <v>80</v>
      </c>
      <c r="AC49" s="20">
        <v>15</v>
      </c>
      <c r="AD49" t="str">
        <f t="shared" si="8"/>
        <v>108015</v>
      </c>
      <c r="AE49">
        <f t="shared" si="9"/>
        <v>1</v>
      </c>
    </row>
    <row r="50" spans="1:31" x14ac:dyDescent="0.25">
      <c r="A50" t="s">
        <v>54</v>
      </c>
      <c r="B50" t="s">
        <v>53</v>
      </c>
      <c r="C50">
        <v>115206048</v>
      </c>
      <c r="D50" t="str">
        <f t="shared" si="3"/>
        <v>Balcı, Erdem-115206048</v>
      </c>
      <c r="E50">
        <v>87</v>
      </c>
      <c r="F50">
        <v>100</v>
      </c>
      <c r="G50">
        <v>8</v>
      </c>
      <c r="H50">
        <v>9</v>
      </c>
      <c r="I50" t="str">
        <f t="shared" si="4"/>
        <v>8710089</v>
      </c>
      <c r="J50">
        <f t="shared" si="5"/>
        <v>1</v>
      </c>
      <c r="K50">
        <v>115</v>
      </c>
      <c r="L50">
        <v>195</v>
      </c>
      <c r="M50">
        <v>135</v>
      </c>
      <c r="N50" t="s">
        <v>555</v>
      </c>
      <c r="O50" t="s">
        <v>556</v>
      </c>
      <c r="P50" t="s">
        <v>553</v>
      </c>
      <c r="Q50">
        <v>0.75</v>
      </c>
      <c r="R50">
        <v>0.71</v>
      </c>
      <c r="S50">
        <v>0.82</v>
      </c>
      <c r="T50">
        <v>225</v>
      </c>
      <c r="U50">
        <v>175</v>
      </c>
      <c r="V50">
        <v>260</v>
      </c>
      <c r="W50">
        <v>1</v>
      </c>
      <c r="X50">
        <v>8</v>
      </c>
      <c r="Y50" t="str">
        <f t="shared" si="6"/>
        <v>17526022580.820.710.75500,000900,000700,000135195115</v>
      </c>
      <c r="Z50">
        <f t="shared" si="7"/>
        <v>1</v>
      </c>
      <c r="AA50" s="20">
        <v>11</v>
      </c>
      <c r="AB50" s="20">
        <v>37</v>
      </c>
      <c r="AC50" s="20">
        <v>23</v>
      </c>
      <c r="AD50" t="str">
        <f t="shared" si="8"/>
        <v>113723</v>
      </c>
      <c r="AE50">
        <f t="shared" si="9"/>
        <v>1</v>
      </c>
    </row>
    <row r="51" spans="1:31" x14ac:dyDescent="0.25">
      <c r="A51" t="s">
        <v>164</v>
      </c>
      <c r="B51" t="s">
        <v>330</v>
      </c>
      <c r="C51">
        <v>115206066</v>
      </c>
      <c r="D51" t="str">
        <f t="shared" si="3"/>
        <v>Baran, Yasin-115206066</v>
      </c>
      <c r="E51">
        <v>78</v>
      </c>
      <c r="F51">
        <v>150</v>
      </c>
      <c r="G51">
        <v>7</v>
      </c>
      <c r="H51">
        <v>5</v>
      </c>
      <c r="I51" t="str">
        <f t="shared" si="4"/>
        <v>7815075</v>
      </c>
      <c r="J51">
        <f t="shared" si="5"/>
        <v>1</v>
      </c>
      <c r="K51">
        <v>105</v>
      </c>
      <c r="L51">
        <v>205</v>
      </c>
      <c r="M51">
        <v>125</v>
      </c>
      <c r="N51" t="s">
        <v>557</v>
      </c>
      <c r="O51" t="s">
        <v>553</v>
      </c>
      <c r="P51" t="s">
        <v>556</v>
      </c>
      <c r="Q51">
        <v>0.76</v>
      </c>
      <c r="R51">
        <v>0.81</v>
      </c>
      <c r="S51">
        <v>0.75</v>
      </c>
      <c r="T51">
        <v>240</v>
      </c>
      <c r="U51">
        <v>175</v>
      </c>
      <c r="V51">
        <v>270</v>
      </c>
      <c r="W51">
        <v>2</v>
      </c>
      <c r="X51">
        <v>10</v>
      </c>
      <c r="Y51" t="str">
        <f t="shared" si="6"/>
        <v>175270240100.750.810.76900,000500,000600,000125205105</v>
      </c>
      <c r="Z51">
        <f t="shared" si="7"/>
        <v>1</v>
      </c>
      <c r="AA51" s="20">
        <v>6</v>
      </c>
      <c r="AB51" s="20">
        <v>59</v>
      </c>
      <c r="AC51" s="20">
        <v>7</v>
      </c>
      <c r="AD51" t="str">
        <f t="shared" si="8"/>
        <v>6597</v>
      </c>
      <c r="AE51">
        <f t="shared" si="9"/>
        <v>1</v>
      </c>
    </row>
    <row r="52" spans="1:31" x14ac:dyDescent="0.25">
      <c r="A52" t="s">
        <v>56</v>
      </c>
      <c r="B52" t="s">
        <v>55</v>
      </c>
      <c r="C52">
        <v>113206042</v>
      </c>
      <c r="D52" t="str">
        <f t="shared" si="3"/>
        <v>Barut, Uğurcan-113206042</v>
      </c>
      <c r="E52">
        <v>72</v>
      </c>
      <c r="F52">
        <v>146</v>
      </c>
      <c r="G52">
        <v>6</v>
      </c>
      <c r="H52">
        <v>7</v>
      </c>
      <c r="I52" t="str">
        <f t="shared" si="4"/>
        <v>7214667</v>
      </c>
      <c r="J52">
        <f t="shared" si="5"/>
        <v>1</v>
      </c>
      <c r="K52">
        <v>120</v>
      </c>
      <c r="L52">
        <v>175</v>
      </c>
      <c r="M52">
        <v>130</v>
      </c>
      <c r="N52" t="s">
        <v>554</v>
      </c>
      <c r="O52" t="s">
        <v>556</v>
      </c>
      <c r="P52" t="s">
        <v>557</v>
      </c>
      <c r="Q52">
        <v>0.85</v>
      </c>
      <c r="R52">
        <v>0.78</v>
      </c>
      <c r="S52">
        <v>0.75</v>
      </c>
      <c r="T52">
        <v>225</v>
      </c>
      <c r="U52">
        <v>155</v>
      </c>
      <c r="V52">
        <v>230</v>
      </c>
      <c r="W52">
        <v>1</v>
      </c>
      <c r="X52">
        <v>8</v>
      </c>
      <c r="Y52" t="str">
        <f t="shared" si="6"/>
        <v>15523022580.750.780.85600,000900,000800,000130175120</v>
      </c>
      <c r="Z52">
        <f t="shared" si="7"/>
        <v>1</v>
      </c>
      <c r="AA52" s="20">
        <v>9</v>
      </c>
      <c r="AB52" s="20">
        <v>50</v>
      </c>
      <c r="AC52" s="20">
        <v>15</v>
      </c>
      <c r="AD52" t="str">
        <f t="shared" si="8"/>
        <v>95015</v>
      </c>
      <c r="AE52">
        <f t="shared" si="9"/>
        <v>1</v>
      </c>
    </row>
    <row r="53" spans="1:31" x14ac:dyDescent="0.25">
      <c r="A53" t="s">
        <v>58</v>
      </c>
      <c r="B53" t="s">
        <v>57</v>
      </c>
      <c r="C53">
        <v>115206036</v>
      </c>
      <c r="D53" t="str">
        <f t="shared" si="3"/>
        <v>Bayezid, Elif-115206036</v>
      </c>
      <c r="E53">
        <v>75</v>
      </c>
      <c r="F53">
        <v>144</v>
      </c>
      <c r="G53">
        <v>9</v>
      </c>
      <c r="H53">
        <v>8</v>
      </c>
      <c r="I53" t="str">
        <f t="shared" si="4"/>
        <v>7514498</v>
      </c>
      <c r="J53">
        <f t="shared" si="5"/>
        <v>1</v>
      </c>
      <c r="K53">
        <v>130</v>
      </c>
      <c r="L53">
        <v>235</v>
      </c>
      <c r="M53">
        <v>110</v>
      </c>
      <c r="N53" t="s">
        <v>556</v>
      </c>
      <c r="O53" t="s">
        <v>556</v>
      </c>
      <c r="P53" t="s">
        <v>553</v>
      </c>
      <c r="Q53">
        <v>0.83</v>
      </c>
      <c r="R53">
        <v>0.71</v>
      </c>
      <c r="S53">
        <v>0.71</v>
      </c>
      <c r="T53">
        <v>300</v>
      </c>
      <c r="U53">
        <v>200</v>
      </c>
      <c r="V53">
        <v>210</v>
      </c>
      <c r="W53">
        <v>3</v>
      </c>
      <c r="X53">
        <v>15</v>
      </c>
      <c r="Y53" t="str">
        <f t="shared" si="6"/>
        <v>200210300150.710.710.83500,000900,000900,000110235130</v>
      </c>
      <c r="Z53">
        <f t="shared" si="7"/>
        <v>1</v>
      </c>
      <c r="AA53" s="20">
        <v>14</v>
      </c>
      <c r="AB53" s="20">
        <v>53</v>
      </c>
      <c r="AC53" s="20">
        <v>22</v>
      </c>
      <c r="AD53" t="str">
        <f t="shared" si="8"/>
        <v>145322</v>
      </c>
      <c r="AE53">
        <f t="shared" si="9"/>
        <v>1</v>
      </c>
    </row>
    <row r="54" spans="1:31" x14ac:dyDescent="0.25">
      <c r="A54" t="s">
        <v>332</v>
      </c>
      <c r="B54" t="s">
        <v>331</v>
      </c>
      <c r="C54">
        <v>115204037</v>
      </c>
      <c r="D54" t="str">
        <f t="shared" si="3"/>
        <v>Baykal, Kemal-115204037</v>
      </c>
      <c r="E54">
        <v>83</v>
      </c>
      <c r="F54">
        <v>115</v>
      </c>
      <c r="G54">
        <v>8</v>
      </c>
      <c r="H54">
        <v>8</v>
      </c>
      <c r="I54" t="str">
        <f t="shared" si="4"/>
        <v>8311588</v>
      </c>
      <c r="J54">
        <f t="shared" si="5"/>
        <v>1</v>
      </c>
      <c r="K54">
        <v>120</v>
      </c>
      <c r="L54">
        <v>250</v>
      </c>
      <c r="M54">
        <v>125</v>
      </c>
      <c r="N54" t="s">
        <v>554</v>
      </c>
      <c r="O54" t="s">
        <v>557</v>
      </c>
      <c r="P54" t="s">
        <v>554</v>
      </c>
      <c r="Q54">
        <v>0.82</v>
      </c>
      <c r="R54">
        <v>0.73</v>
      </c>
      <c r="S54">
        <v>0.76</v>
      </c>
      <c r="T54">
        <v>270</v>
      </c>
      <c r="U54">
        <v>210</v>
      </c>
      <c r="V54">
        <v>210</v>
      </c>
      <c r="W54">
        <v>3</v>
      </c>
      <c r="X54">
        <v>15</v>
      </c>
      <c r="Y54" t="str">
        <f t="shared" si="6"/>
        <v>210210270150.760.730.82800,000600,000800,000125250120</v>
      </c>
      <c r="Z54">
        <f t="shared" si="7"/>
        <v>1</v>
      </c>
      <c r="AA54" s="20">
        <v>6</v>
      </c>
      <c r="AB54" s="20">
        <v>40</v>
      </c>
      <c r="AC54" s="20">
        <v>8</v>
      </c>
      <c r="AD54" t="str">
        <f t="shared" si="8"/>
        <v>6408</v>
      </c>
      <c r="AE54">
        <f t="shared" si="9"/>
        <v>1</v>
      </c>
    </row>
    <row r="55" spans="1:31" x14ac:dyDescent="0.25">
      <c r="A55" t="s">
        <v>60</v>
      </c>
      <c r="B55" t="s">
        <v>59</v>
      </c>
      <c r="C55">
        <v>115200043</v>
      </c>
      <c r="D55" t="str">
        <f t="shared" si="3"/>
        <v>Bayraktar, Ahmet Faruk-115200043</v>
      </c>
      <c r="E55">
        <v>76</v>
      </c>
      <c r="F55">
        <v>100</v>
      </c>
      <c r="G55">
        <v>5</v>
      </c>
      <c r="H55">
        <v>9</v>
      </c>
      <c r="I55" t="str">
        <f t="shared" si="4"/>
        <v>7610059</v>
      </c>
      <c r="J55">
        <f t="shared" si="5"/>
        <v>1</v>
      </c>
      <c r="K55">
        <v>150</v>
      </c>
      <c r="L55">
        <v>175</v>
      </c>
      <c r="M55">
        <v>150</v>
      </c>
      <c r="N55" t="s">
        <v>556</v>
      </c>
      <c r="O55" t="s">
        <v>557</v>
      </c>
      <c r="P55" t="s">
        <v>555</v>
      </c>
      <c r="Q55">
        <v>0.77</v>
      </c>
      <c r="R55">
        <v>0.82</v>
      </c>
      <c r="S55">
        <v>0.71</v>
      </c>
      <c r="T55">
        <v>295</v>
      </c>
      <c r="U55">
        <v>135</v>
      </c>
      <c r="V55">
        <v>235</v>
      </c>
      <c r="W55">
        <v>3</v>
      </c>
      <c r="X55">
        <v>15</v>
      </c>
      <c r="Y55" t="str">
        <f t="shared" si="6"/>
        <v>135235295150.710.820.77700,000600,000900,000150175150</v>
      </c>
      <c r="Z55">
        <f t="shared" si="7"/>
        <v>1</v>
      </c>
      <c r="AA55" s="20">
        <v>5</v>
      </c>
      <c r="AB55" s="20">
        <v>68</v>
      </c>
      <c r="AC55" s="20">
        <v>10</v>
      </c>
      <c r="AD55" t="str">
        <f t="shared" si="8"/>
        <v>56810</v>
      </c>
      <c r="AE55">
        <f t="shared" si="9"/>
        <v>1</v>
      </c>
    </row>
    <row r="56" spans="1:31" x14ac:dyDescent="0.25">
      <c r="A56" t="s">
        <v>61</v>
      </c>
      <c r="B56" t="s">
        <v>37</v>
      </c>
      <c r="C56">
        <v>114202042</v>
      </c>
      <c r="D56" t="str">
        <f t="shared" si="3"/>
        <v>Bayram, Berkay-114202042</v>
      </c>
      <c r="E56">
        <v>89</v>
      </c>
      <c r="F56">
        <v>142</v>
      </c>
      <c r="G56">
        <v>9</v>
      </c>
      <c r="H56">
        <v>6</v>
      </c>
      <c r="I56" t="str">
        <f t="shared" si="4"/>
        <v>8914296</v>
      </c>
      <c r="J56">
        <f t="shared" si="5"/>
        <v>1</v>
      </c>
      <c r="K56">
        <v>105</v>
      </c>
      <c r="L56">
        <v>180</v>
      </c>
      <c r="M56">
        <v>125</v>
      </c>
      <c r="N56" t="s">
        <v>554</v>
      </c>
      <c r="O56" t="s">
        <v>556</v>
      </c>
      <c r="P56" t="s">
        <v>555</v>
      </c>
      <c r="Q56">
        <v>0.78</v>
      </c>
      <c r="R56">
        <v>0.8</v>
      </c>
      <c r="S56">
        <v>0.72</v>
      </c>
      <c r="T56">
        <v>245</v>
      </c>
      <c r="U56">
        <v>160</v>
      </c>
      <c r="V56">
        <v>250</v>
      </c>
      <c r="W56">
        <v>3</v>
      </c>
      <c r="X56">
        <v>15</v>
      </c>
      <c r="Y56" t="str">
        <f t="shared" si="6"/>
        <v>160250245150.720.80.78700,000900,000800,000125180105</v>
      </c>
      <c r="Z56">
        <f t="shared" si="7"/>
        <v>1</v>
      </c>
      <c r="AA56" s="20">
        <v>14</v>
      </c>
      <c r="AB56" s="20">
        <v>35</v>
      </c>
      <c r="AC56" s="20">
        <v>9</v>
      </c>
      <c r="AD56" t="str">
        <f t="shared" si="8"/>
        <v>14359</v>
      </c>
      <c r="AE56">
        <f t="shared" si="9"/>
        <v>1</v>
      </c>
    </row>
    <row r="57" spans="1:31" x14ac:dyDescent="0.25">
      <c r="A57" t="s">
        <v>61</v>
      </c>
      <c r="B57" t="s">
        <v>62</v>
      </c>
      <c r="C57">
        <v>115200129</v>
      </c>
      <c r="D57" t="str">
        <f t="shared" si="3"/>
        <v>Bayram, Oğuzhan-115200129</v>
      </c>
      <c r="E57">
        <v>87</v>
      </c>
      <c r="F57">
        <v>107</v>
      </c>
      <c r="G57">
        <v>8</v>
      </c>
      <c r="H57">
        <v>8</v>
      </c>
      <c r="I57" t="str">
        <f t="shared" si="4"/>
        <v>8710788</v>
      </c>
      <c r="J57">
        <f t="shared" si="5"/>
        <v>1</v>
      </c>
      <c r="K57">
        <v>115</v>
      </c>
      <c r="L57">
        <v>220</v>
      </c>
      <c r="M57">
        <v>130</v>
      </c>
      <c r="N57" t="s">
        <v>557</v>
      </c>
      <c r="O57" t="s">
        <v>554</v>
      </c>
      <c r="P57" t="s">
        <v>556</v>
      </c>
      <c r="Q57">
        <v>0.79</v>
      </c>
      <c r="R57">
        <v>0.77</v>
      </c>
      <c r="S57">
        <v>0.78</v>
      </c>
      <c r="T57">
        <v>220</v>
      </c>
      <c r="U57">
        <v>195</v>
      </c>
      <c r="V57">
        <v>260</v>
      </c>
      <c r="W57">
        <v>1</v>
      </c>
      <c r="X57">
        <v>8</v>
      </c>
      <c r="Y57" t="str">
        <f t="shared" si="6"/>
        <v>19526022080.780.770.79900,000800,000600,000130220115</v>
      </c>
      <c r="Z57">
        <f t="shared" si="7"/>
        <v>1</v>
      </c>
      <c r="AA57" s="20">
        <v>10</v>
      </c>
      <c r="AB57" s="20">
        <v>79</v>
      </c>
      <c r="AC57" s="20">
        <v>15</v>
      </c>
      <c r="AD57" t="str">
        <f t="shared" si="8"/>
        <v>107915</v>
      </c>
      <c r="AE57">
        <f t="shared" si="9"/>
        <v>1</v>
      </c>
    </row>
    <row r="58" spans="1:31" x14ac:dyDescent="0.25">
      <c r="A58" t="s">
        <v>64</v>
      </c>
      <c r="B58" t="s">
        <v>63</v>
      </c>
      <c r="C58">
        <v>115203084</v>
      </c>
      <c r="D58" t="str">
        <f t="shared" si="3"/>
        <v>Bennani Ziatni, Dilara-115203084</v>
      </c>
      <c r="E58">
        <v>83</v>
      </c>
      <c r="F58">
        <v>143</v>
      </c>
      <c r="G58">
        <v>5</v>
      </c>
      <c r="H58">
        <v>8</v>
      </c>
      <c r="I58" t="str">
        <f t="shared" si="4"/>
        <v>8314358</v>
      </c>
      <c r="J58">
        <f t="shared" si="5"/>
        <v>1</v>
      </c>
      <c r="K58">
        <v>110</v>
      </c>
      <c r="L58">
        <v>150</v>
      </c>
      <c r="M58">
        <v>120</v>
      </c>
      <c r="N58" t="s">
        <v>555</v>
      </c>
      <c r="O58" t="s">
        <v>557</v>
      </c>
      <c r="P58" t="s">
        <v>557</v>
      </c>
      <c r="Q58">
        <v>0.83</v>
      </c>
      <c r="R58">
        <v>0.83</v>
      </c>
      <c r="S58">
        <v>0.7</v>
      </c>
      <c r="T58">
        <v>190</v>
      </c>
      <c r="U58">
        <v>125</v>
      </c>
      <c r="V58">
        <v>300</v>
      </c>
      <c r="W58">
        <v>3</v>
      </c>
      <c r="X58">
        <v>15</v>
      </c>
      <c r="Y58" t="str">
        <f t="shared" si="6"/>
        <v>125300190150.70.830.83600,000600,000700,000120150110</v>
      </c>
      <c r="Z58">
        <f t="shared" si="7"/>
        <v>1</v>
      </c>
      <c r="AA58" s="20">
        <v>14</v>
      </c>
      <c r="AB58" s="20">
        <v>57</v>
      </c>
      <c r="AC58" s="20">
        <v>7</v>
      </c>
      <c r="AD58" t="str">
        <f t="shared" si="8"/>
        <v>14577</v>
      </c>
      <c r="AE58">
        <f t="shared" si="9"/>
        <v>1</v>
      </c>
    </row>
    <row r="59" spans="1:31" x14ac:dyDescent="0.25">
      <c r="A59" t="s">
        <v>336</v>
      </c>
      <c r="B59" t="s">
        <v>335</v>
      </c>
      <c r="C59">
        <v>116203164</v>
      </c>
      <c r="D59" t="str">
        <f t="shared" si="3"/>
        <v>Biçer, Senanur-116203164</v>
      </c>
      <c r="E59">
        <v>81</v>
      </c>
      <c r="F59">
        <v>119</v>
      </c>
      <c r="G59">
        <v>9</v>
      </c>
      <c r="H59">
        <v>8</v>
      </c>
      <c r="I59" t="str">
        <f t="shared" si="4"/>
        <v>8111998</v>
      </c>
      <c r="J59">
        <f t="shared" si="5"/>
        <v>1</v>
      </c>
      <c r="K59">
        <v>115</v>
      </c>
      <c r="L59">
        <v>170</v>
      </c>
      <c r="M59">
        <v>115</v>
      </c>
      <c r="N59" t="s">
        <v>557</v>
      </c>
      <c r="O59" t="s">
        <v>556</v>
      </c>
      <c r="P59" t="s">
        <v>557</v>
      </c>
      <c r="Q59">
        <v>0.82</v>
      </c>
      <c r="R59">
        <v>0.7</v>
      </c>
      <c r="S59">
        <v>0.79</v>
      </c>
      <c r="T59">
        <v>255</v>
      </c>
      <c r="U59">
        <v>150</v>
      </c>
      <c r="V59">
        <v>215</v>
      </c>
      <c r="W59">
        <v>1</v>
      </c>
      <c r="X59">
        <v>8</v>
      </c>
      <c r="Y59" t="str">
        <f t="shared" si="6"/>
        <v>15021525580.790.70.82600,000900,000600,000115170115</v>
      </c>
      <c r="Z59">
        <f t="shared" si="7"/>
        <v>1</v>
      </c>
      <c r="AA59" s="20">
        <v>14</v>
      </c>
      <c r="AB59" s="20">
        <v>46</v>
      </c>
      <c r="AC59" s="20">
        <v>15</v>
      </c>
      <c r="AD59" t="str">
        <f t="shared" si="8"/>
        <v>144615</v>
      </c>
      <c r="AE59">
        <f t="shared" si="9"/>
        <v>1</v>
      </c>
    </row>
    <row r="60" spans="1:31" x14ac:dyDescent="0.25">
      <c r="A60" t="s">
        <v>334</v>
      </c>
      <c r="B60" t="s">
        <v>333</v>
      </c>
      <c r="C60">
        <v>115203052</v>
      </c>
      <c r="D60" t="str">
        <f t="shared" si="3"/>
        <v>Bici, Şeyda Nur-115203052</v>
      </c>
      <c r="E60">
        <v>85</v>
      </c>
      <c r="F60">
        <v>121</v>
      </c>
      <c r="G60">
        <v>7</v>
      </c>
      <c r="H60">
        <v>6</v>
      </c>
      <c r="I60" t="str">
        <f t="shared" si="4"/>
        <v>8512176</v>
      </c>
      <c r="J60">
        <f t="shared" si="5"/>
        <v>1</v>
      </c>
      <c r="K60">
        <v>110</v>
      </c>
      <c r="L60">
        <v>150</v>
      </c>
      <c r="M60">
        <v>110</v>
      </c>
      <c r="N60" t="s">
        <v>555</v>
      </c>
      <c r="O60" t="s">
        <v>557</v>
      </c>
      <c r="P60" t="s">
        <v>554</v>
      </c>
      <c r="Q60">
        <v>0.82</v>
      </c>
      <c r="R60">
        <v>0.77</v>
      </c>
      <c r="S60">
        <v>0.71</v>
      </c>
      <c r="T60">
        <v>300</v>
      </c>
      <c r="U60">
        <v>115</v>
      </c>
      <c r="V60">
        <v>265</v>
      </c>
      <c r="W60">
        <v>3</v>
      </c>
      <c r="X60">
        <v>15</v>
      </c>
      <c r="Y60" t="str">
        <f t="shared" si="6"/>
        <v>115265300150.710.770.82800,000600,000700,000110150110</v>
      </c>
      <c r="Z60">
        <f t="shared" si="7"/>
        <v>1</v>
      </c>
      <c r="AA60" s="20">
        <v>5</v>
      </c>
      <c r="AB60" s="20">
        <v>65</v>
      </c>
      <c r="AC60" s="20">
        <v>25</v>
      </c>
      <c r="AD60" t="str">
        <f t="shared" si="8"/>
        <v>56525</v>
      </c>
      <c r="AE60">
        <f t="shared" si="9"/>
        <v>1</v>
      </c>
    </row>
    <row r="61" spans="1:31" x14ac:dyDescent="0.25">
      <c r="A61" t="s">
        <v>338</v>
      </c>
      <c r="B61" t="s">
        <v>337</v>
      </c>
      <c r="C61">
        <v>113205043</v>
      </c>
      <c r="D61" t="str">
        <f t="shared" si="3"/>
        <v>Birkalan, Barış Can-113205043</v>
      </c>
      <c r="E61">
        <v>83</v>
      </c>
      <c r="F61">
        <v>121</v>
      </c>
      <c r="G61">
        <v>8</v>
      </c>
      <c r="H61">
        <v>6</v>
      </c>
      <c r="I61" t="str">
        <f t="shared" si="4"/>
        <v>8312186</v>
      </c>
      <c r="J61">
        <f t="shared" si="5"/>
        <v>1</v>
      </c>
      <c r="K61">
        <v>105</v>
      </c>
      <c r="L61">
        <v>245</v>
      </c>
      <c r="M61">
        <v>135</v>
      </c>
      <c r="N61" t="s">
        <v>556</v>
      </c>
      <c r="O61" t="s">
        <v>555</v>
      </c>
      <c r="P61" t="s">
        <v>557</v>
      </c>
      <c r="Q61">
        <v>0.78</v>
      </c>
      <c r="R61">
        <v>0.76</v>
      </c>
      <c r="S61">
        <v>0.82</v>
      </c>
      <c r="T61">
        <v>190</v>
      </c>
      <c r="U61">
        <v>205</v>
      </c>
      <c r="V61">
        <v>235</v>
      </c>
      <c r="W61">
        <v>1</v>
      </c>
      <c r="X61">
        <v>8</v>
      </c>
      <c r="Y61" t="str">
        <f t="shared" si="6"/>
        <v>20523519080.820.760.78600,000700,000900,000135245105</v>
      </c>
      <c r="Z61">
        <f t="shared" si="7"/>
        <v>1</v>
      </c>
      <c r="AA61" s="20">
        <v>14</v>
      </c>
      <c r="AB61" s="20">
        <v>36</v>
      </c>
      <c r="AC61" s="20">
        <v>18</v>
      </c>
      <c r="AD61" t="str">
        <f t="shared" si="8"/>
        <v>143618</v>
      </c>
      <c r="AE61">
        <f t="shared" si="9"/>
        <v>1</v>
      </c>
    </row>
    <row r="62" spans="1:31" x14ac:dyDescent="0.25">
      <c r="A62" t="s">
        <v>339</v>
      </c>
      <c r="B62" t="s">
        <v>302</v>
      </c>
      <c r="C62">
        <v>114205026</v>
      </c>
      <c r="D62" t="str">
        <f t="shared" si="3"/>
        <v>Bozbaş, Kerem-114205026</v>
      </c>
      <c r="E62">
        <v>82</v>
      </c>
      <c r="F62">
        <v>124</v>
      </c>
      <c r="G62">
        <v>9</v>
      </c>
      <c r="H62">
        <v>6</v>
      </c>
      <c r="I62" t="str">
        <f t="shared" si="4"/>
        <v>8212496</v>
      </c>
      <c r="J62">
        <f t="shared" si="5"/>
        <v>1</v>
      </c>
      <c r="K62">
        <v>120</v>
      </c>
      <c r="L62">
        <v>190</v>
      </c>
      <c r="M62">
        <v>135</v>
      </c>
      <c r="N62" t="s">
        <v>555</v>
      </c>
      <c r="O62" t="s">
        <v>556</v>
      </c>
      <c r="P62" t="s">
        <v>554</v>
      </c>
      <c r="Q62">
        <v>0.76</v>
      </c>
      <c r="R62">
        <v>0.73</v>
      </c>
      <c r="S62">
        <v>0.78</v>
      </c>
      <c r="T62">
        <v>205</v>
      </c>
      <c r="U62">
        <v>155</v>
      </c>
      <c r="V62">
        <v>200</v>
      </c>
      <c r="W62">
        <v>3</v>
      </c>
      <c r="X62">
        <v>15</v>
      </c>
      <c r="Y62" t="str">
        <f t="shared" si="6"/>
        <v>155200205150.780.730.76800,000900,000700,000135190120</v>
      </c>
      <c r="Z62">
        <f t="shared" si="7"/>
        <v>1</v>
      </c>
      <c r="AA62" s="20">
        <v>6</v>
      </c>
      <c r="AB62" s="20">
        <v>32</v>
      </c>
      <c r="AC62" s="20">
        <v>24</v>
      </c>
      <c r="AD62" t="str">
        <f t="shared" si="8"/>
        <v>63224</v>
      </c>
      <c r="AE62">
        <f t="shared" si="9"/>
        <v>1</v>
      </c>
    </row>
    <row r="63" spans="1:31" x14ac:dyDescent="0.25">
      <c r="A63" t="s">
        <v>66</v>
      </c>
      <c r="B63" t="s">
        <v>65</v>
      </c>
      <c r="C63">
        <v>114200027</v>
      </c>
      <c r="D63" t="str">
        <f t="shared" si="3"/>
        <v>Bozkaya, Onur-114200027</v>
      </c>
      <c r="E63">
        <v>90</v>
      </c>
      <c r="F63">
        <v>122</v>
      </c>
      <c r="G63">
        <v>9</v>
      </c>
      <c r="H63">
        <v>8</v>
      </c>
      <c r="I63" t="str">
        <f t="shared" si="4"/>
        <v>9012298</v>
      </c>
      <c r="J63">
        <f t="shared" si="5"/>
        <v>1</v>
      </c>
      <c r="K63">
        <v>145</v>
      </c>
      <c r="L63">
        <v>185</v>
      </c>
      <c r="M63">
        <v>135</v>
      </c>
      <c r="N63" t="s">
        <v>553</v>
      </c>
      <c r="O63" t="s">
        <v>553</v>
      </c>
      <c r="P63" t="s">
        <v>556</v>
      </c>
      <c r="Q63">
        <v>0.77</v>
      </c>
      <c r="R63">
        <v>0.75</v>
      </c>
      <c r="S63">
        <v>0.75</v>
      </c>
      <c r="T63">
        <v>265</v>
      </c>
      <c r="U63">
        <v>160</v>
      </c>
      <c r="V63">
        <v>275</v>
      </c>
      <c r="W63">
        <v>1</v>
      </c>
      <c r="X63">
        <v>8</v>
      </c>
      <c r="Y63" t="str">
        <f t="shared" si="6"/>
        <v>16027526580.750.750.77900,000500,000500,000135185145</v>
      </c>
      <c r="Z63">
        <f t="shared" si="7"/>
        <v>1</v>
      </c>
      <c r="AA63" s="20">
        <v>7</v>
      </c>
      <c r="AB63" s="20">
        <v>48</v>
      </c>
      <c r="AC63" s="20">
        <v>25</v>
      </c>
      <c r="AD63" t="str">
        <f t="shared" si="8"/>
        <v>74825</v>
      </c>
      <c r="AE63">
        <f t="shared" si="9"/>
        <v>1</v>
      </c>
    </row>
    <row r="64" spans="1:31" x14ac:dyDescent="0.25">
      <c r="A64" t="s">
        <v>68</v>
      </c>
      <c r="B64" t="s">
        <v>67</v>
      </c>
      <c r="C64">
        <v>116200055</v>
      </c>
      <c r="D64" t="str">
        <f t="shared" si="3"/>
        <v>Bozkurt, Selin-116200055</v>
      </c>
      <c r="E64">
        <v>78</v>
      </c>
      <c r="F64">
        <v>149</v>
      </c>
      <c r="G64">
        <v>5</v>
      </c>
      <c r="H64">
        <v>6</v>
      </c>
      <c r="I64" t="str">
        <f t="shared" si="4"/>
        <v>7814956</v>
      </c>
      <c r="J64">
        <f t="shared" si="5"/>
        <v>1</v>
      </c>
      <c r="K64">
        <v>135</v>
      </c>
      <c r="L64">
        <v>165</v>
      </c>
      <c r="M64">
        <v>110</v>
      </c>
      <c r="N64" t="s">
        <v>554</v>
      </c>
      <c r="O64" t="s">
        <v>554</v>
      </c>
      <c r="P64" t="s">
        <v>556</v>
      </c>
      <c r="Q64">
        <v>0.85</v>
      </c>
      <c r="R64">
        <v>0.85</v>
      </c>
      <c r="S64">
        <v>0.7</v>
      </c>
      <c r="T64">
        <v>285</v>
      </c>
      <c r="U64">
        <v>130</v>
      </c>
      <c r="V64">
        <v>250</v>
      </c>
      <c r="W64">
        <v>1</v>
      </c>
      <c r="X64">
        <v>8</v>
      </c>
      <c r="Y64" t="str">
        <f t="shared" si="6"/>
        <v>13025028580.70.850.85900,000800,000800,000110165135</v>
      </c>
      <c r="Z64">
        <f t="shared" si="7"/>
        <v>1</v>
      </c>
      <c r="AA64" s="20">
        <v>8</v>
      </c>
      <c r="AB64" s="20">
        <v>70</v>
      </c>
      <c r="AC64" s="20">
        <v>18</v>
      </c>
      <c r="AD64" t="str">
        <f t="shared" si="8"/>
        <v>87018</v>
      </c>
      <c r="AE64">
        <f t="shared" si="9"/>
        <v>1</v>
      </c>
    </row>
    <row r="65" spans="1:31" x14ac:dyDescent="0.25">
      <c r="A65" t="s">
        <v>70</v>
      </c>
      <c r="B65" t="s">
        <v>69</v>
      </c>
      <c r="C65">
        <v>115203075</v>
      </c>
      <c r="D65" t="str">
        <f t="shared" si="3"/>
        <v>Budak, Mehmet-115203075</v>
      </c>
      <c r="E65">
        <v>86</v>
      </c>
      <c r="F65">
        <v>142</v>
      </c>
      <c r="G65">
        <v>9</v>
      </c>
      <c r="H65">
        <v>9</v>
      </c>
      <c r="I65" t="str">
        <f t="shared" si="4"/>
        <v>8614299</v>
      </c>
      <c r="J65">
        <f t="shared" si="5"/>
        <v>1</v>
      </c>
      <c r="K65">
        <v>115</v>
      </c>
      <c r="L65">
        <v>155</v>
      </c>
      <c r="M65">
        <v>100</v>
      </c>
      <c r="N65" t="s">
        <v>557</v>
      </c>
      <c r="O65" t="s">
        <v>557</v>
      </c>
      <c r="P65" t="s">
        <v>557</v>
      </c>
      <c r="Q65">
        <v>0.81</v>
      </c>
      <c r="R65">
        <v>0.78</v>
      </c>
      <c r="S65">
        <v>0.78</v>
      </c>
      <c r="T65">
        <v>195</v>
      </c>
      <c r="U65">
        <v>135</v>
      </c>
      <c r="V65">
        <v>185</v>
      </c>
      <c r="W65">
        <v>3</v>
      </c>
      <c r="X65">
        <v>15</v>
      </c>
      <c r="Y65" t="str">
        <f t="shared" si="6"/>
        <v>135185195150.780.780.81600,000600,000600,000100155115</v>
      </c>
      <c r="Z65">
        <f t="shared" si="7"/>
        <v>1</v>
      </c>
      <c r="AA65" s="20">
        <v>13</v>
      </c>
      <c r="AB65" s="20">
        <v>87</v>
      </c>
      <c r="AC65" s="20">
        <v>18</v>
      </c>
      <c r="AD65" t="str">
        <f t="shared" si="8"/>
        <v>138718</v>
      </c>
      <c r="AE65">
        <f t="shared" si="9"/>
        <v>1</v>
      </c>
    </row>
    <row r="66" spans="1:31" x14ac:dyDescent="0.25">
      <c r="A66" t="s">
        <v>341</v>
      </c>
      <c r="B66" t="s">
        <v>340</v>
      </c>
      <c r="C66">
        <v>115206025</v>
      </c>
      <c r="D66" t="str">
        <f t="shared" si="3"/>
        <v>Buğdaycı, Merihcan-115206025</v>
      </c>
      <c r="E66">
        <v>71</v>
      </c>
      <c r="F66">
        <v>104</v>
      </c>
      <c r="G66">
        <v>9</v>
      </c>
      <c r="H66">
        <v>9</v>
      </c>
      <c r="I66" t="str">
        <f t="shared" si="4"/>
        <v>7110499</v>
      </c>
      <c r="J66">
        <f t="shared" si="5"/>
        <v>1</v>
      </c>
      <c r="K66">
        <v>140</v>
      </c>
      <c r="L66">
        <v>155</v>
      </c>
      <c r="M66">
        <v>110</v>
      </c>
      <c r="N66" t="s">
        <v>554</v>
      </c>
      <c r="O66" t="s">
        <v>553</v>
      </c>
      <c r="P66" t="s">
        <v>553</v>
      </c>
      <c r="Q66">
        <v>0.77</v>
      </c>
      <c r="R66">
        <v>0.81</v>
      </c>
      <c r="S66">
        <v>0.75</v>
      </c>
      <c r="T66">
        <v>180</v>
      </c>
      <c r="U66">
        <v>120</v>
      </c>
      <c r="V66">
        <v>290</v>
      </c>
      <c r="W66">
        <v>3</v>
      </c>
      <c r="X66">
        <v>15</v>
      </c>
      <c r="Y66" t="str">
        <f t="shared" si="6"/>
        <v>120290180150.750.810.77500,000500,000800,000110155140</v>
      </c>
      <c r="Z66">
        <f t="shared" si="7"/>
        <v>1</v>
      </c>
      <c r="AA66" s="20">
        <v>9</v>
      </c>
      <c r="AB66" s="20">
        <v>30</v>
      </c>
      <c r="AC66" s="20">
        <v>25</v>
      </c>
      <c r="AD66" t="str">
        <f t="shared" si="8"/>
        <v>93025</v>
      </c>
      <c r="AE66">
        <f t="shared" si="9"/>
        <v>1</v>
      </c>
    </row>
    <row r="67" spans="1:31" x14ac:dyDescent="0.25">
      <c r="A67" t="s">
        <v>343</v>
      </c>
      <c r="B67" t="s">
        <v>342</v>
      </c>
      <c r="C67">
        <v>116203017</v>
      </c>
      <c r="D67" t="str">
        <f t="shared" si="3"/>
        <v>Büyüközkan, Alp-116203017</v>
      </c>
      <c r="E67">
        <v>83</v>
      </c>
      <c r="F67">
        <v>119</v>
      </c>
      <c r="G67">
        <v>8</v>
      </c>
      <c r="H67">
        <v>6</v>
      </c>
      <c r="I67" t="str">
        <f t="shared" si="4"/>
        <v>8311986</v>
      </c>
      <c r="J67">
        <f t="shared" si="5"/>
        <v>1</v>
      </c>
      <c r="K67">
        <v>120</v>
      </c>
      <c r="L67">
        <v>250</v>
      </c>
      <c r="M67">
        <v>140</v>
      </c>
      <c r="N67" t="s">
        <v>555</v>
      </c>
      <c r="O67" t="s">
        <v>553</v>
      </c>
      <c r="P67" t="s">
        <v>554</v>
      </c>
      <c r="Q67">
        <v>0.84</v>
      </c>
      <c r="R67">
        <v>0.74</v>
      </c>
      <c r="S67">
        <v>0.81</v>
      </c>
      <c r="T67">
        <v>275</v>
      </c>
      <c r="U67">
        <v>225</v>
      </c>
      <c r="V67">
        <v>215</v>
      </c>
      <c r="W67">
        <v>3</v>
      </c>
      <c r="X67">
        <v>15</v>
      </c>
      <c r="Y67" t="str">
        <f t="shared" si="6"/>
        <v>225215275150.810.740.84800,000500,000700,000140250120</v>
      </c>
      <c r="Z67">
        <f t="shared" si="7"/>
        <v>1</v>
      </c>
      <c r="AA67" s="20">
        <v>7</v>
      </c>
      <c r="AB67" s="20">
        <v>60</v>
      </c>
      <c r="AC67" s="20">
        <v>13</v>
      </c>
      <c r="AD67" t="str">
        <f t="shared" si="8"/>
        <v>76013</v>
      </c>
      <c r="AE67">
        <f t="shared" si="9"/>
        <v>1</v>
      </c>
    </row>
    <row r="68" spans="1:31" x14ac:dyDescent="0.25">
      <c r="A68" t="s">
        <v>79</v>
      </c>
      <c r="B68" t="s">
        <v>78</v>
      </c>
      <c r="C68">
        <v>115203014</v>
      </c>
      <c r="D68" t="str">
        <f t="shared" ref="D68:D131" si="10">A68&amp;", "&amp;B68&amp;"-"&amp;C68</f>
        <v>Çağlar, Mehmet Fatih-115203014</v>
      </c>
      <c r="E68">
        <v>85</v>
      </c>
      <c r="F68">
        <v>129</v>
      </c>
      <c r="G68">
        <v>6</v>
      </c>
      <c r="H68">
        <v>5</v>
      </c>
      <c r="I68" t="str">
        <f t="shared" si="4"/>
        <v>8512965</v>
      </c>
      <c r="J68">
        <f t="shared" si="5"/>
        <v>1</v>
      </c>
      <c r="K68">
        <v>135</v>
      </c>
      <c r="L68">
        <v>180</v>
      </c>
      <c r="M68">
        <v>140</v>
      </c>
      <c r="N68" t="s">
        <v>553</v>
      </c>
      <c r="O68" t="s">
        <v>555</v>
      </c>
      <c r="P68" t="s">
        <v>554</v>
      </c>
      <c r="Q68">
        <v>0.71</v>
      </c>
      <c r="R68">
        <v>0.82</v>
      </c>
      <c r="S68">
        <v>0.81</v>
      </c>
      <c r="T68">
        <v>230</v>
      </c>
      <c r="U68">
        <v>140</v>
      </c>
      <c r="V68">
        <v>215</v>
      </c>
      <c r="W68">
        <v>1</v>
      </c>
      <c r="X68">
        <v>8</v>
      </c>
      <c r="Y68" t="str">
        <f t="shared" si="6"/>
        <v>14021523080.810.820.71800,000700,000500,000140180135</v>
      </c>
      <c r="Z68">
        <f t="shared" si="7"/>
        <v>1</v>
      </c>
      <c r="AA68" s="20">
        <v>9</v>
      </c>
      <c r="AB68" s="20">
        <v>31</v>
      </c>
      <c r="AC68" s="20">
        <v>6</v>
      </c>
      <c r="AD68" t="str">
        <f t="shared" si="8"/>
        <v>9316</v>
      </c>
      <c r="AE68">
        <f t="shared" si="9"/>
        <v>1</v>
      </c>
    </row>
    <row r="69" spans="1:31" x14ac:dyDescent="0.25">
      <c r="A69" t="s">
        <v>348</v>
      </c>
      <c r="B69" t="s">
        <v>347</v>
      </c>
      <c r="C69">
        <v>114201012</v>
      </c>
      <c r="D69" t="str">
        <f t="shared" si="10"/>
        <v>Çakırsoy, Didem-114201012</v>
      </c>
      <c r="E69">
        <v>87</v>
      </c>
      <c r="F69">
        <v>106</v>
      </c>
      <c r="G69">
        <v>8</v>
      </c>
      <c r="H69">
        <v>8</v>
      </c>
      <c r="I69" t="str">
        <f t="shared" ref="I69:I132" si="11">E69&amp;F69&amp;G69&amp;H69</f>
        <v>8710688</v>
      </c>
      <c r="J69">
        <f t="shared" ref="J69:J132" si="12">COUNTIF($I$4:$I$317,I69)</f>
        <v>1</v>
      </c>
      <c r="K69">
        <v>100</v>
      </c>
      <c r="L69">
        <v>165</v>
      </c>
      <c r="M69">
        <v>150</v>
      </c>
      <c r="N69" t="s">
        <v>555</v>
      </c>
      <c r="O69" t="s">
        <v>553</v>
      </c>
      <c r="P69" t="s">
        <v>557</v>
      </c>
      <c r="Q69">
        <v>0.77</v>
      </c>
      <c r="R69">
        <v>0.74</v>
      </c>
      <c r="S69">
        <v>0.77</v>
      </c>
      <c r="T69">
        <v>175</v>
      </c>
      <c r="U69">
        <v>140</v>
      </c>
      <c r="V69">
        <v>195</v>
      </c>
      <c r="W69">
        <v>3</v>
      </c>
      <c r="X69">
        <v>15</v>
      </c>
      <c r="Y69" t="str">
        <f t="shared" ref="Y69:Y132" si="13">U69&amp;V69&amp;T69&amp;X69&amp;S69&amp;R69&amp;Q69&amp;P69&amp;O69&amp;N69&amp;M69&amp;L69&amp;K69</f>
        <v>140195175150.770.740.77600,000500,000700,000150165100</v>
      </c>
      <c r="Z69">
        <f t="shared" ref="Z69:Z132" si="14">COUNTIF($Y$4:$Y$317,Y69)</f>
        <v>1</v>
      </c>
      <c r="AA69" s="20">
        <v>13</v>
      </c>
      <c r="AB69" s="20">
        <v>59</v>
      </c>
      <c r="AC69" s="20">
        <v>22</v>
      </c>
      <c r="AD69" t="str">
        <f t="shared" ref="AD69:AD132" si="15">AA69&amp;AB69&amp;AC69</f>
        <v>135922</v>
      </c>
      <c r="AE69">
        <f t="shared" ref="AE69:AE132" si="16">COUNTIF($AD$4:$AD$317,AD69)</f>
        <v>1</v>
      </c>
    </row>
    <row r="70" spans="1:31" x14ac:dyDescent="0.25">
      <c r="A70" t="s">
        <v>81</v>
      </c>
      <c r="B70" t="s">
        <v>80</v>
      </c>
      <c r="C70">
        <v>115204043</v>
      </c>
      <c r="D70" t="str">
        <f t="shared" si="10"/>
        <v>Çalışır, Eymen-115204043</v>
      </c>
      <c r="E70">
        <v>85</v>
      </c>
      <c r="F70">
        <v>146</v>
      </c>
      <c r="G70">
        <v>9</v>
      </c>
      <c r="H70">
        <v>6</v>
      </c>
      <c r="I70" t="str">
        <f t="shared" si="11"/>
        <v>8514696</v>
      </c>
      <c r="J70">
        <f t="shared" si="12"/>
        <v>1</v>
      </c>
      <c r="K70">
        <v>115</v>
      </c>
      <c r="L70">
        <v>250</v>
      </c>
      <c r="M70">
        <v>130</v>
      </c>
      <c r="N70" t="s">
        <v>555</v>
      </c>
      <c r="O70" t="s">
        <v>554</v>
      </c>
      <c r="P70" t="s">
        <v>553</v>
      </c>
      <c r="Q70">
        <v>0.74</v>
      </c>
      <c r="R70">
        <v>0.7</v>
      </c>
      <c r="S70">
        <v>0.77</v>
      </c>
      <c r="T70">
        <v>180</v>
      </c>
      <c r="U70">
        <v>225</v>
      </c>
      <c r="V70">
        <v>230</v>
      </c>
      <c r="W70">
        <v>1</v>
      </c>
      <c r="X70">
        <v>8</v>
      </c>
      <c r="Y70" t="str">
        <f t="shared" si="13"/>
        <v>22523018080.770.70.74500,000800,000700,000130250115</v>
      </c>
      <c r="Z70">
        <f t="shared" si="14"/>
        <v>1</v>
      </c>
      <c r="AA70" s="20">
        <v>7</v>
      </c>
      <c r="AB70" s="20">
        <v>37</v>
      </c>
      <c r="AC70" s="20">
        <v>9</v>
      </c>
      <c r="AD70" t="str">
        <f t="shared" si="15"/>
        <v>7379</v>
      </c>
      <c r="AE70">
        <f t="shared" si="16"/>
        <v>1</v>
      </c>
    </row>
    <row r="71" spans="1:31" x14ac:dyDescent="0.25">
      <c r="A71" t="s">
        <v>350</v>
      </c>
      <c r="B71" t="s">
        <v>349</v>
      </c>
      <c r="C71">
        <v>115203078</v>
      </c>
      <c r="D71" t="str">
        <f t="shared" si="10"/>
        <v>Çalışkan, Damla-115203078</v>
      </c>
      <c r="E71">
        <v>79</v>
      </c>
      <c r="F71">
        <v>139</v>
      </c>
      <c r="G71">
        <v>7</v>
      </c>
      <c r="H71">
        <v>5</v>
      </c>
      <c r="I71" t="str">
        <f t="shared" si="11"/>
        <v>7913975</v>
      </c>
      <c r="J71">
        <f t="shared" si="12"/>
        <v>1</v>
      </c>
      <c r="K71">
        <v>145</v>
      </c>
      <c r="L71">
        <v>215</v>
      </c>
      <c r="M71">
        <v>135</v>
      </c>
      <c r="N71" t="s">
        <v>553</v>
      </c>
      <c r="O71" t="s">
        <v>556</v>
      </c>
      <c r="P71" t="s">
        <v>555</v>
      </c>
      <c r="Q71">
        <v>0.7</v>
      </c>
      <c r="R71">
        <v>0.81</v>
      </c>
      <c r="S71">
        <v>0.81</v>
      </c>
      <c r="T71">
        <v>175</v>
      </c>
      <c r="U71">
        <v>195</v>
      </c>
      <c r="V71">
        <v>220</v>
      </c>
      <c r="W71">
        <v>2</v>
      </c>
      <c r="X71">
        <v>10</v>
      </c>
      <c r="Y71" t="str">
        <f t="shared" si="13"/>
        <v>195220175100.810.810.7700,000900,000500,000135215145</v>
      </c>
      <c r="Z71">
        <f t="shared" si="14"/>
        <v>1</v>
      </c>
      <c r="AA71" s="20">
        <v>9</v>
      </c>
      <c r="AB71" s="20">
        <v>45</v>
      </c>
      <c r="AC71" s="20">
        <v>17</v>
      </c>
      <c r="AD71" t="str">
        <f t="shared" si="15"/>
        <v>94517</v>
      </c>
      <c r="AE71">
        <f t="shared" si="16"/>
        <v>1</v>
      </c>
    </row>
    <row r="72" spans="1:31" x14ac:dyDescent="0.25">
      <c r="A72" t="s">
        <v>83</v>
      </c>
      <c r="B72" t="s">
        <v>82</v>
      </c>
      <c r="C72">
        <v>116203028</v>
      </c>
      <c r="D72" t="str">
        <f t="shared" si="10"/>
        <v>Çamlıbel, Berke-116203028</v>
      </c>
      <c r="E72">
        <v>84</v>
      </c>
      <c r="F72">
        <v>135</v>
      </c>
      <c r="G72">
        <v>6</v>
      </c>
      <c r="H72">
        <v>9</v>
      </c>
      <c r="I72" t="str">
        <f t="shared" si="11"/>
        <v>8413569</v>
      </c>
      <c r="J72">
        <f t="shared" si="12"/>
        <v>1</v>
      </c>
      <c r="K72">
        <v>110</v>
      </c>
      <c r="L72">
        <v>175</v>
      </c>
      <c r="M72">
        <v>135</v>
      </c>
      <c r="N72" t="s">
        <v>557</v>
      </c>
      <c r="O72" t="s">
        <v>554</v>
      </c>
      <c r="P72" t="s">
        <v>556</v>
      </c>
      <c r="Q72">
        <v>0.77</v>
      </c>
      <c r="R72">
        <v>0.71</v>
      </c>
      <c r="S72">
        <v>0.75</v>
      </c>
      <c r="T72">
        <v>245</v>
      </c>
      <c r="U72">
        <v>145</v>
      </c>
      <c r="V72">
        <v>180</v>
      </c>
      <c r="W72">
        <v>3</v>
      </c>
      <c r="X72">
        <v>15</v>
      </c>
      <c r="Y72" t="str">
        <f t="shared" si="13"/>
        <v>145180245150.750.710.77900,000800,000600,000135175110</v>
      </c>
      <c r="Z72">
        <f t="shared" si="14"/>
        <v>1</v>
      </c>
      <c r="AA72" s="20">
        <v>13</v>
      </c>
      <c r="AB72" s="20">
        <v>40</v>
      </c>
      <c r="AC72" s="20">
        <v>22</v>
      </c>
      <c r="AD72" t="str">
        <f t="shared" si="15"/>
        <v>134022</v>
      </c>
      <c r="AE72">
        <f t="shared" si="16"/>
        <v>1</v>
      </c>
    </row>
    <row r="73" spans="1:31" x14ac:dyDescent="0.25">
      <c r="A73" t="s">
        <v>85</v>
      </c>
      <c r="B73" t="s">
        <v>84</v>
      </c>
      <c r="C73">
        <v>113201023</v>
      </c>
      <c r="D73" t="str">
        <f t="shared" si="10"/>
        <v>Çatana, Banu Zeynep-113201023</v>
      </c>
      <c r="E73">
        <v>75</v>
      </c>
      <c r="F73">
        <v>138</v>
      </c>
      <c r="G73">
        <v>7</v>
      </c>
      <c r="H73">
        <v>9</v>
      </c>
      <c r="I73" t="str">
        <f t="shared" si="11"/>
        <v>7513879</v>
      </c>
      <c r="J73">
        <f t="shared" si="12"/>
        <v>1</v>
      </c>
      <c r="K73">
        <v>135</v>
      </c>
      <c r="L73">
        <v>180</v>
      </c>
      <c r="M73">
        <v>145</v>
      </c>
      <c r="N73" t="s">
        <v>553</v>
      </c>
      <c r="O73" t="s">
        <v>553</v>
      </c>
      <c r="P73" t="s">
        <v>553</v>
      </c>
      <c r="Q73">
        <v>0.81</v>
      </c>
      <c r="R73">
        <v>0.71</v>
      </c>
      <c r="S73">
        <v>0.75</v>
      </c>
      <c r="T73">
        <v>285</v>
      </c>
      <c r="U73">
        <v>150</v>
      </c>
      <c r="V73">
        <v>245</v>
      </c>
      <c r="W73">
        <v>1</v>
      </c>
      <c r="X73">
        <v>8</v>
      </c>
      <c r="Y73" t="str">
        <f t="shared" si="13"/>
        <v>15024528580.750.710.81500,000500,000500,000145180135</v>
      </c>
      <c r="Z73">
        <f t="shared" si="14"/>
        <v>1</v>
      </c>
      <c r="AA73" s="20">
        <v>15</v>
      </c>
      <c r="AB73" s="20">
        <v>51</v>
      </c>
      <c r="AC73" s="20">
        <v>24</v>
      </c>
      <c r="AD73" t="str">
        <f t="shared" si="15"/>
        <v>155124</v>
      </c>
      <c r="AE73">
        <f t="shared" si="16"/>
        <v>1</v>
      </c>
    </row>
    <row r="74" spans="1:31" x14ac:dyDescent="0.25">
      <c r="A74" t="s">
        <v>352</v>
      </c>
      <c r="B74" t="s">
        <v>351</v>
      </c>
      <c r="C74">
        <v>115204013</v>
      </c>
      <c r="D74" t="str">
        <f t="shared" si="10"/>
        <v>Çelebi, Jülide Müşerref-115204013</v>
      </c>
      <c r="E74">
        <v>70</v>
      </c>
      <c r="F74">
        <v>129</v>
      </c>
      <c r="G74">
        <v>8</v>
      </c>
      <c r="H74">
        <v>7</v>
      </c>
      <c r="I74" t="str">
        <f t="shared" si="11"/>
        <v>7012987</v>
      </c>
      <c r="J74">
        <f t="shared" si="12"/>
        <v>1</v>
      </c>
      <c r="K74">
        <v>110</v>
      </c>
      <c r="L74">
        <v>210</v>
      </c>
      <c r="M74">
        <v>125</v>
      </c>
      <c r="N74" t="s">
        <v>554</v>
      </c>
      <c r="O74" t="s">
        <v>553</v>
      </c>
      <c r="P74" t="s">
        <v>553</v>
      </c>
      <c r="Q74">
        <v>0.71</v>
      </c>
      <c r="R74">
        <v>0.76</v>
      </c>
      <c r="S74">
        <v>0.78</v>
      </c>
      <c r="T74">
        <v>275</v>
      </c>
      <c r="U74">
        <v>170</v>
      </c>
      <c r="V74">
        <v>235</v>
      </c>
      <c r="W74">
        <v>1</v>
      </c>
      <c r="X74">
        <v>8</v>
      </c>
      <c r="Y74" t="str">
        <f t="shared" si="13"/>
        <v>17023527580.780.760.71500,000500,000800,000125210110</v>
      </c>
      <c r="Z74">
        <f t="shared" si="14"/>
        <v>1</v>
      </c>
      <c r="AA74" s="20">
        <v>7</v>
      </c>
      <c r="AB74" s="20">
        <v>38</v>
      </c>
      <c r="AC74" s="20">
        <v>16</v>
      </c>
      <c r="AD74" t="str">
        <f t="shared" si="15"/>
        <v>73816</v>
      </c>
      <c r="AE74">
        <f t="shared" si="16"/>
        <v>1</v>
      </c>
    </row>
    <row r="75" spans="1:31" x14ac:dyDescent="0.25">
      <c r="A75" t="s">
        <v>87</v>
      </c>
      <c r="B75" t="s">
        <v>86</v>
      </c>
      <c r="C75">
        <v>114204029</v>
      </c>
      <c r="D75" t="str">
        <f t="shared" si="10"/>
        <v>Çelik, Ahmet Cansın-114204029</v>
      </c>
      <c r="E75">
        <v>79</v>
      </c>
      <c r="F75">
        <v>145</v>
      </c>
      <c r="G75">
        <v>5</v>
      </c>
      <c r="H75">
        <v>9</v>
      </c>
      <c r="I75" t="str">
        <f t="shared" si="11"/>
        <v>7914559</v>
      </c>
      <c r="J75">
        <f t="shared" si="12"/>
        <v>1</v>
      </c>
      <c r="K75">
        <v>140</v>
      </c>
      <c r="L75">
        <v>160</v>
      </c>
      <c r="M75">
        <v>120</v>
      </c>
      <c r="N75" t="s">
        <v>554</v>
      </c>
      <c r="O75" t="s">
        <v>557</v>
      </c>
      <c r="P75" t="s">
        <v>557</v>
      </c>
      <c r="Q75">
        <v>0.78</v>
      </c>
      <c r="R75">
        <v>0.74</v>
      </c>
      <c r="S75">
        <v>0.71</v>
      </c>
      <c r="T75">
        <v>200</v>
      </c>
      <c r="U75">
        <v>125</v>
      </c>
      <c r="V75">
        <v>225</v>
      </c>
      <c r="W75">
        <v>1</v>
      </c>
      <c r="X75">
        <v>8</v>
      </c>
      <c r="Y75" t="str">
        <f t="shared" si="13"/>
        <v>12522520080.710.740.78600,000600,000800,000120160140</v>
      </c>
      <c r="Z75">
        <f t="shared" si="14"/>
        <v>1</v>
      </c>
      <c r="AA75" s="20">
        <v>15</v>
      </c>
      <c r="AB75" s="20">
        <v>40</v>
      </c>
      <c r="AC75" s="20">
        <v>12</v>
      </c>
      <c r="AD75" t="str">
        <f t="shared" si="15"/>
        <v>154012</v>
      </c>
      <c r="AE75">
        <f t="shared" si="16"/>
        <v>1</v>
      </c>
    </row>
    <row r="76" spans="1:31" x14ac:dyDescent="0.25">
      <c r="A76" t="s">
        <v>72</v>
      </c>
      <c r="B76" t="s">
        <v>71</v>
      </c>
      <c r="C76">
        <v>114207006</v>
      </c>
      <c r="D76" t="str">
        <f t="shared" si="10"/>
        <v>Cevizci, Semi-114207006</v>
      </c>
      <c r="E76">
        <v>85</v>
      </c>
      <c r="F76">
        <v>118</v>
      </c>
      <c r="G76">
        <v>9</v>
      </c>
      <c r="H76">
        <v>6</v>
      </c>
      <c r="I76" t="str">
        <f t="shared" si="11"/>
        <v>8511896</v>
      </c>
      <c r="J76">
        <f t="shared" si="12"/>
        <v>1</v>
      </c>
      <c r="K76">
        <v>125</v>
      </c>
      <c r="L76">
        <v>225</v>
      </c>
      <c r="M76">
        <v>100</v>
      </c>
      <c r="N76" t="s">
        <v>553</v>
      </c>
      <c r="O76" t="s">
        <v>554</v>
      </c>
      <c r="P76" t="s">
        <v>557</v>
      </c>
      <c r="Q76">
        <v>0.75</v>
      </c>
      <c r="R76">
        <v>0.74</v>
      </c>
      <c r="S76">
        <v>0.81</v>
      </c>
      <c r="T76">
        <v>175</v>
      </c>
      <c r="U76">
        <v>205</v>
      </c>
      <c r="V76">
        <v>275</v>
      </c>
      <c r="W76">
        <v>3</v>
      </c>
      <c r="X76">
        <v>15</v>
      </c>
      <c r="Y76" t="str">
        <f t="shared" si="13"/>
        <v>205275175150.810.740.75600,000800,000500,000100225125</v>
      </c>
      <c r="Z76">
        <f t="shared" si="14"/>
        <v>1</v>
      </c>
      <c r="AA76" s="20">
        <v>9</v>
      </c>
      <c r="AB76" s="20">
        <v>30</v>
      </c>
      <c r="AC76" s="20">
        <v>9</v>
      </c>
      <c r="AD76" t="str">
        <f t="shared" si="15"/>
        <v>9309</v>
      </c>
      <c r="AE76">
        <f t="shared" si="16"/>
        <v>1</v>
      </c>
    </row>
    <row r="77" spans="1:31" x14ac:dyDescent="0.25">
      <c r="A77" t="s">
        <v>345</v>
      </c>
      <c r="B77" t="s">
        <v>344</v>
      </c>
      <c r="C77">
        <v>116203190</v>
      </c>
      <c r="D77" t="str">
        <f t="shared" si="10"/>
        <v>Ceyhan, Efeaydın-116203190</v>
      </c>
      <c r="E77">
        <v>83</v>
      </c>
      <c r="F77">
        <v>148</v>
      </c>
      <c r="G77">
        <v>7</v>
      </c>
      <c r="H77">
        <v>8</v>
      </c>
      <c r="I77" t="str">
        <f t="shared" si="11"/>
        <v>8314878</v>
      </c>
      <c r="J77">
        <f t="shared" si="12"/>
        <v>1</v>
      </c>
      <c r="K77">
        <v>145</v>
      </c>
      <c r="L77">
        <v>175</v>
      </c>
      <c r="M77">
        <v>115</v>
      </c>
      <c r="N77" t="s">
        <v>554</v>
      </c>
      <c r="O77" t="s">
        <v>555</v>
      </c>
      <c r="P77" t="s">
        <v>553</v>
      </c>
      <c r="Q77">
        <v>0.73</v>
      </c>
      <c r="R77">
        <v>0.84</v>
      </c>
      <c r="S77">
        <v>0.74</v>
      </c>
      <c r="T77">
        <v>210</v>
      </c>
      <c r="U77">
        <v>145</v>
      </c>
      <c r="V77">
        <v>280</v>
      </c>
      <c r="W77">
        <v>2</v>
      </c>
      <c r="X77">
        <v>10</v>
      </c>
      <c r="Y77" t="str">
        <f t="shared" si="13"/>
        <v>145280210100.740.840.73500,000700,000800,000115175145</v>
      </c>
      <c r="Z77">
        <f t="shared" si="14"/>
        <v>1</v>
      </c>
      <c r="AA77" s="20">
        <v>5</v>
      </c>
      <c r="AB77" s="20">
        <v>56</v>
      </c>
      <c r="AC77" s="20">
        <v>12</v>
      </c>
      <c r="AD77" t="str">
        <f t="shared" si="15"/>
        <v>55612</v>
      </c>
      <c r="AE77">
        <f t="shared" si="16"/>
        <v>1</v>
      </c>
    </row>
    <row r="78" spans="1:31" x14ac:dyDescent="0.25">
      <c r="A78" t="s">
        <v>92</v>
      </c>
      <c r="B78" t="s">
        <v>91</v>
      </c>
      <c r="C78">
        <v>115203020</v>
      </c>
      <c r="D78" t="str">
        <f t="shared" si="10"/>
        <v>Çilek, Şebnem-115203020</v>
      </c>
      <c r="E78">
        <v>85</v>
      </c>
      <c r="F78">
        <v>124</v>
      </c>
      <c r="G78">
        <v>6</v>
      </c>
      <c r="H78">
        <v>8</v>
      </c>
      <c r="I78" t="str">
        <f t="shared" si="11"/>
        <v>8512468</v>
      </c>
      <c r="J78">
        <f t="shared" si="12"/>
        <v>1</v>
      </c>
      <c r="K78">
        <v>145</v>
      </c>
      <c r="L78">
        <v>180</v>
      </c>
      <c r="M78">
        <v>125</v>
      </c>
      <c r="N78" t="s">
        <v>556</v>
      </c>
      <c r="O78" t="s">
        <v>557</v>
      </c>
      <c r="P78" t="s">
        <v>553</v>
      </c>
      <c r="Q78">
        <v>0.76</v>
      </c>
      <c r="R78">
        <v>0.72</v>
      </c>
      <c r="S78">
        <v>0.84</v>
      </c>
      <c r="T78">
        <v>220</v>
      </c>
      <c r="U78">
        <v>155</v>
      </c>
      <c r="V78">
        <v>250</v>
      </c>
      <c r="W78">
        <v>3</v>
      </c>
      <c r="X78">
        <v>15</v>
      </c>
      <c r="Y78" t="str">
        <f t="shared" si="13"/>
        <v>155250220150.840.720.76500,000600,000900,000125180145</v>
      </c>
      <c r="Z78">
        <f t="shared" si="14"/>
        <v>1</v>
      </c>
      <c r="AA78" s="20">
        <v>12</v>
      </c>
      <c r="AB78" s="20">
        <v>69</v>
      </c>
      <c r="AC78" s="20">
        <v>16</v>
      </c>
      <c r="AD78" t="str">
        <f t="shared" si="15"/>
        <v>126916</v>
      </c>
      <c r="AE78">
        <f t="shared" si="16"/>
        <v>1</v>
      </c>
    </row>
    <row r="79" spans="1:31" x14ac:dyDescent="0.25">
      <c r="A79" t="s">
        <v>89</v>
      </c>
      <c r="B79" t="s">
        <v>353</v>
      </c>
      <c r="C79">
        <v>115201061</v>
      </c>
      <c r="D79" t="str">
        <f t="shared" si="10"/>
        <v>Çınar, Ezgi-115201061</v>
      </c>
      <c r="E79">
        <v>82</v>
      </c>
      <c r="F79">
        <v>132</v>
      </c>
      <c r="G79">
        <v>6</v>
      </c>
      <c r="H79">
        <v>6</v>
      </c>
      <c r="I79" t="str">
        <f t="shared" si="11"/>
        <v>8213266</v>
      </c>
      <c r="J79">
        <f t="shared" si="12"/>
        <v>1</v>
      </c>
      <c r="K79">
        <v>120</v>
      </c>
      <c r="L79">
        <v>205</v>
      </c>
      <c r="M79">
        <v>110</v>
      </c>
      <c r="N79" t="s">
        <v>553</v>
      </c>
      <c r="O79" t="s">
        <v>554</v>
      </c>
      <c r="P79" t="s">
        <v>557</v>
      </c>
      <c r="Q79">
        <v>0.83</v>
      </c>
      <c r="R79">
        <v>0.77</v>
      </c>
      <c r="S79">
        <v>0.71</v>
      </c>
      <c r="T79">
        <v>200</v>
      </c>
      <c r="U79">
        <v>170</v>
      </c>
      <c r="V79">
        <v>195</v>
      </c>
      <c r="W79">
        <v>3</v>
      </c>
      <c r="X79">
        <v>15</v>
      </c>
      <c r="Y79" t="str">
        <f t="shared" si="13"/>
        <v>170195200150.710.770.83600,000800,000500,000110205120</v>
      </c>
      <c r="Z79">
        <f t="shared" si="14"/>
        <v>1</v>
      </c>
      <c r="AA79" s="20">
        <v>11</v>
      </c>
      <c r="AB79" s="20">
        <v>37</v>
      </c>
      <c r="AC79" s="20">
        <v>10</v>
      </c>
      <c r="AD79" t="str">
        <f t="shared" si="15"/>
        <v>113710</v>
      </c>
      <c r="AE79">
        <f t="shared" si="16"/>
        <v>1</v>
      </c>
    </row>
    <row r="80" spans="1:31" x14ac:dyDescent="0.25">
      <c r="A80" t="s">
        <v>89</v>
      </c>
      <c r="B80" t="s">
        <v>88</v>
      </c>
      <c r="C80">
        <v>115203031</v>
      </c>
      <c r="D80" t="str">
        <f t="shared" si="10"/>
        <v>Çınar, Ferhat Görkem-115203031</v>
      </c>
      <c r="E80">
        <v>73</v>
      </c>
      <c r="F80">
        <v>108</v>
      </c>
      <c r="G80">
        <v>7</v>
      </c>
      <c r="H80">
        <v>6</v>
      </c>
      <c r="I80" t="str">
        <f t="shared" si="11"/>
        <v>7310876</v>
      </c>
      <c r="J80">
        <f t="shared" si="12"/>
        <v>1</v>
      </c>
      <c r="K80">
        <v>105</v>
      </c>
      <c r="L80">
        <v>180</v>
      </c>
      <c r="M80">
        <v>105</v>
      </c>
      <c r="N80" t="s">
        <v>557</v>
      </c>
      <c r="O80" t="s">
        <v>557</v>
      </c>
      <c r="P80" t="s">
        <v>557</v>
      </c>
      <c r="Q80">
        <v>0.75</v>
      </c>
      <c r="R80">
        <v>0.82</v>
      </c>
      <c r="S80">
        <v>0.85</v>
      </c>
      <c r="T80">
        <v>175</v>
      </c>
      <c r="U80">
        <v>140</v>
      </c>
      <c r="V80">
        <v>175</v>
      </c>
      <c r="W80">
        <v>2</v>
      </c>
      <c r="X80">
        <v>10</v>
      </c>
      <c r="Y80" t="str">
        <f t="shared" si="13"/>
        <v>140175175100.850.820.75600,000600,000600,000105180105</v>
      </c>
      <c r="Z80">
        <f t="shared" si="14"/>
        <v>1</v>
      </c>
      <c r="AA80" s="20">
        <v>5</v>
      </c>
      <c r="AB80" s="20">
        <v>30</v>
      </c>
      <c r="AC80" s="20">
        <v>9</v>
      </c>
      <c r="AD80" t="str">
        <f t="shared" si="15"/>
        <v>5309</v>
      </c>
      <c r="AE80">
        <f t="shared" si="16"/>
        <v>1</v>
      </c>
    </row>
    <row r="81" spans="1:31" x14ac:dyDescent="0.25">
      <c r="A81" t="s">
        <v>90</v>
      </c>
      <c r="B81" t="s">
        <v>45</v>
      </c>
      <c r="C81">
        <v>115204065</v>
      </c>
      <c r="D81" t="str">
        <f t="shared" si="10"/>
        <v>Çıtır, Tolga-115204065</v>
      </c>
      <c r="E81">
        <v>73</v>
      </c>
      <c r="F81">
        <v>142</v>
      </c>
      <c r="G81">
        <v>9</v>
      </c>
      <c r="H81">
        <v>6</v>
      </c>
      <c r="I81" t="str">
        <f t="shared" si="11"/>
        <v>7314296</v>
      </c>
      <c r="J81">
        <f t="shared" si="12"/>
        <v>1</v>
      </c>
      <c r="K81">
        <v>100</v>
      </c>
      <c r="L81">
        <v>210</v>
      </c>
      <c r="M81">
        <v>100</v>
      </c>
      <c r="N81" t="s">
        <v>555</v>
      </c>
      <c r="O81" t="s">
        <v>554</v>
      </c>
      <c r="P81" t="s">
        <v>553</v>
      </c>
      <c r="Q81">
        <v>0.78</v>
      </c>
      <c r="R81">
        <v>0.75</v>
      </c>
      <c r="S81">
        <v>0.82</v>
      </c>
      <c r="T81">
        <v>280</v>
      </c>
      <c r="U81">
        <v>190</v>
      </c>
      <c r="V81">
        <v>270</v>
      </c>
      <c r="W81">
        <v>3</v>
      </c>
      <c r="X81">
        <v>15</v>
      </c>
      <c r="Y81" t="str">
        <f t="shared" si="13"/>
        <v>190270280150.820.750.78500,000800,000700,000100210100</v>
      </c>
      <c r="Z81">
        <f t="shared" si="14"/>
        <v>1</v>
      </c>
      <c r="AA81" s="20">
        <v>13</v>
      </c>
      <c r="AB81" s="20">
        <v>62</v>
      </c>
      <c r="AC81" s="20">
        <v>22</v>
      </c>
      <c r="AD81" t="str">
        <f t="shared" si="15"/>
        <v>136222</v>
      </c>
      <c r="AE81">
        <f t="shared" si="16"/>
        <v>1</v>
      </c>
    </row>
    <row r="82" spans="1:31" x14ac:dyDescent="0.25">
      <c r="A82" t="s">
        <v>355</v>
      </c>
      <c r="B82" t="s">
        <v>354</v>
      </c>
      <c r="C82">
        <v>115203029</v>
      </c>
      <c r="D82" t="str">
        <f t="shared" si="10"/>
        <v>Çoban, Tutku-115203029</v>
      </c>
      <c r="E82">
        <v>86</v>
      </c>
      <c r="F82">
        <v>130</v>
      </c>
      <c r="G82">
        <v>7</v>
      </c>
      <c r="H82">
        <v>6</v>
      </c>
      <c r="I82" t="str">
        <f t="shared" si="11"/>
        <v>8613076</v>
      </c>
      <c r="J82">
        <f t="shared" si="12"/>
        <v>1</v>
      </c>
      <c r="K82">
        <v>110</v>
      </c>
      <c r="L82">
        <v>165</v>
      </c>
      <c r="M82">
        <v>130</v>
      </c>
      <c r="N82" t="s">
        <v>555</v>
      </c>
      <c r="O82" t="s">
        <v>555</v>
      </c>
      <c r="P82" t="s">
        <v>554</v>
      </c>
      <c r="Q82">
        <v>0.74</v>
      </c>
      <c r="R82">
        <v>0.8</v>
      </c>
      <c r="S82">
        <v>0.75</v>
      </c>
      <c r="T82">
        <v>215</v>
      </c>
      <c r="U82">
        <v>125</v>
      </c>
      <c r="V82">
        <v>295</v>
      </c>
      <c r="W82">
        <v>1</v>
      </c>
      <c r="X82">
        <v>8</v>
      </c>
      <c r="Y82" t="str">
        <f t="shared" si="13"/>
        <v>12529521580.750.80.74800,000700,000700,000130165110</v>
      </c>
      <c r="Z82">
        <f t="shared" si="14"/>
        <v>1</v>
      </c>
      <c r="AA82" s="20">
        <v>14</v>
      </c>
      <c r="AB82" s="20">
        <v>80</v>
      </c>
      <c r="AC82" s="20">
        <v>24</v>
      </c>
      <c r="AD82" t="str">
        <f t="shared" si="15"/>
        <v>148024</v>
      </c>
      <c r="AE82">
        <f t="shared" si="16"/>
        <v>1</v>
      </c>
    </row>
    <row r="83" spans="1:31" x14ac:dyDescent="0.25">
      <c r="A83" t="s">
        <v>578</v>
      </c>
      <c r="B83" t="s">
        <v>177</v>
      </c>
      <c r="C83">
        <v>116205108</v>
      </c>
      <c r="D83" t="str">
        <f t="shared" si="10"/>
        <v>Coşgun, Metin-116205108</v>
      </c>
      <c r="E83">
        <v>88</v>
      </c>
      <c r="F83">
        <v>114</v>
      </c>
      <c r="G83">
        <v>7</v>
      </c>
      <c r="H83">
        <v>5</v>
      </c>
      <c r="I83" t="str">
        <f t="shared" si="11"/>
        <v>8811475</v>
      </c>
      <c r="J83">
        <f t="shared" si="12"/>
        <v>1</v>
      </c>
      <c r="K83">
        <v>110</v>
      </c>
      <c r="L83">
        <v>170</v>
      </c>
      <c r="M83">
        <v>115</v>
      </c>
      <c r="N83" t="s">
        <v>554</v>
      </c>
      <c r="O83" t="s">
        <v>556</v>
      </c>
      <c r="P83" t="s">
        <v>556</v>
      </c>
      <c r="Q83">
        <v>0.78</v>
      </c>
      <c r="R83">
        <v>0.82</v>
      </c>
      <c r="S83">
        <v>0.79</v>
      </c>
      <c r="T83">
        <v>205</v>
      </c>
      <c r="U83">
        <v>150</v>
      </c>
      <c r="V83">
        <v>270</v>
      </c>
      <c r="W83">
        <v>3</v>
      </c>
      <c r="X83">
        <v>15</v>
      </c>
      <c r="Y83" t="str">
        <f t="shared" si="13"/>
        <v>150270205150.790.820.78900,000900,000800,000115170110</v>
      </c>
      <c r="Z83">
        <f t="shared" si="14"/>
        <v>1</v>
      </c>
      <c r="AA83" s="20">
        <v>6</v>
      </c>
      <c r="AB83" s="20">
        <v>46</v>
      </c>
      <c r="AC83" s="20">
        <v>21</v>
      </c>
      <c r="AD83" t="str">
        <f t="shared" si="15"/>
        <v>64621</v>
      </c>
      <c r="AE83">
        <f t="shared" si="16"/>
        <v>1</v>
      </c>
    </row>
    <row r="84" spans="1:31" x14ac:dyDescent="0.25">
      <c r="A84" t="s">
        <v>73</v>
      </c>
      <c r="B84" t="s">
        <v>346</v>
      </c>
      <c r="C84">
        <v>115203035</v>
      </c>
      <c r="D84" t="str">
        <f t="shared" si="10"/>
        <v>Coşkun, Abdullah Berhan-115203035</v>
      </c>
      <c r="E84">
        <v>71</v>
      </c>
      <c r="F84">
        <v>142</v>
      </c>
      <c r="G84">
        <v>7</v>
      </c>
      <c r="H84">
        <v>8</v>
      </c>
      <c r="I84" t="str">
        <f t="shared" si="11"/>
        <v>7114278</v>
      </c>
      <c r="J84">
        <f t="shared" si="12"/>
        <v>1</v>
      </c>
      <c r="K84">
        <v>130</v>
      </c>
      <c r="L84">
        <v>150</v>
      </c>
      <c r="M84">
        <v>145</v>
      </c>
      <c r="N84" t="s">
        <v>556</v>
      </c>
      <c r="O84" t="s">
        <v>554</v>
      </c>
      <c r="P84" t="s">
        <v>554</v>
      </c>
      <c r="Q84">
        <v>0.78</v>
      </c>
      <c r="R84">
        <v>0.74</v>
      </c>
      <c r="S84">
        <v>0.76</v>
      </c>
      <c r="T84">
        <v>285</v>
      </c>
      <c r="U84">
        <v>125</v>
      </c>
      <c r="V84">
        <v>245</v>
      </c>
      <c r="W84">
        <v>1</v>
      </c>
      <c r="X84">
        <v>8</v>
      </c>
      <c r="Y84" t="str">
        <f t="shared" si="13"/>
        <v>12524528580.760.740.78800,000800,000900,000145150130</v>
      </c>
      <c r="Z84">
        <f t="shared" si="14"/>
        <v>1</v>
      </c>
      <c r="AA84" s="20">
        <v>13</v>
      </c>
      <c r="AB84" s="20">
        <v>67</v>
      </c>
      <c r="AC84" s="20">
        <v>14</v>
      </c>
      <c r="AD84" t="str">
        <f t="shared" si="15"/>
        <v>136714</v>
      </c>
      <c r="AE84">
        <f t="shared" si="16"/>
        <v>1</v>
      </c>
    </row>
    <row r="85" spans="1:31" x14ac:dyDescent="0.25">
      <c r="A85" t="s">
        <v>73</v>
      </c>
      <c r="B85" t="s">
        <v>24</v>
      </c>
      <c r="C85">
        <v>115203081</v>
      </c>
      <c r="D85" t="str">
        <f t="shared" si="10"/>
        <v>Coşkun, İrem-115203081</v>
      </c>
      <c r="E85">
        <v>82</v>
      </c>
      <c r="F85">
        <v>104</v>
      </c>
      <c r="G85">
        <v>8</v>
      </c>
      <c r="H85">
        <v>9</v>
      </c>
      <c r="I85" t="str">
        <f t="shared" si="11"/>
        <v>8210489</v>
      </c>
      <c r="J85">
        <f t="shared" si="12"/>
        <v>1</v>
      </c>
      <c r="K85">
        <v>145</v>
      </c>
      <c r="L85">
        <v>215</v>
      </c>
      <c r="M85">
        <v>100</v>
      </c>
      <c r="N85" t="s">
        <v>555</v>
      </c>
      <c r="O85" t="s">
        <v>557</v>
      </c>
      <c r="P85" t="s">
        <v>555</v>
      </c>
      <c r="Q85">
        <v>0.78</v>
      </c>
      <c r="R85">
        <v>0.7</v>
      </c>
      <c r="S85">
        <v>0.85</v>
      </c>
      <c r="T85">
        <v>255</v>
      </c>
      <c r="U85">
        <v>185</v>
      </c>
      <c r="V85">
        <v>245</v>
      </c>
      <c r="W85">
        <v>1</v>
      </c>
      <c r="X85">
        <v>8</v>
      </c>
      <c r="Y85" t="str">
        <f t="shared" si="13"/>
        <v>18524525580.850.70.78700,000600,000700,000100215145</v>
      </c>
      <c r="Z85">
        <f t="shared" si="14"/>
        <v>1</v>
      </c>
      <c r="AA85" s="20">
        <v>8</v>
      </c>
      <c r="AB85" s="20">
        <v>80</v>
      </c>
      <c r="AC85" s="20">
        <v>11</v>
      </c>
      <c r="AD85" t="str">
        <f t="shared" si="15"/>
        <v>88011</v>
      </c>
      <c r="AE85">
        <f t="shared" si="16"/>
        <v>1</v>
      </c>
    </row>
    <row r="86" spans="1:31" x14ac:dyDescent="0.25">
      <c r="A86" t="s">
        <v>73</v>
      </c>
      <c r="B86" t="s">
        <v>74</v>
      </c>
      <c r="C86">
        <v>116203208</v>
      </c>
      <c r="D86" t="str">
        <f t="shared" si="10"/>
        <v>Coşkun, Özgür-116203208</v>
      </c>
      <c r="E86">
        <v>73</v>
      </c>
      <c r="F86">
        <v>150</v>
      </c>
      <c r="G86">
        <v>8</v>
      </c>
      <c r="H86">
        <v>7</v>
      </c>
      <c r="I86" t="str">
        <f t="shared" si="11"/>
        <v>7315087</v>
      </c>
      <c r="J86">
        <f t="shared" si="12"/>
        <v>1</v>
      </c>
      <c r="K86">
        <v>105</v>
      </c>
      <c r="L86">
        <v>155</v>
      </c>
      <c r="M86">
        <v>150</v>
      </c>
      <c r="N86" t="s">
        <v>553</v>
      </c>
      <c r="O86" t="s">
        <v>554</v>
      </c>
      <c r="P86" t="s">
        <v>554</v>
      </c>
      <c r="Q86">
        <v>0.81</v>
      </c>
      <c r="R86">
        <v>0.76</v>
      </c>
      <c r="S86">
        <v>0.73</v>
      </c>
      <c r="T86">
        <v>210</v>
      </c>
      <c r="U86">
        <v>120</v>
      </c>
      <c r="V86">
        <v>280</v>
      </c>
      <c r="W86">
        <v>1</v>
      </c>
      <c r="X86">
        <v>8</v>
      </c>
      <c r="Y86" t="str">
        <f t="shared" si="13"/>
        <v>12028021080.730.760.81800,000800,000500,000150155105</v>
      </c>
      <c r="Z86">
        <f t="shared" si="14"/>
        <v>1</v>
      </c>
      <c r="AA86" s="20">
        <v>13</v>
      </c>
      <c r="AB86" s="20">
        <v>41</v>
      </c>
      <c r="AC86" s="20">
        <v>21</v>
      </c>
      <c r="AD86" t="str">
        <f t="shared" si="15"/>
        <v>134121</v>
      </c>
      <c r="AE86">
        <f t="shared" si="16"/>
        <v>1</v>
      </c>
    </row>
    <row r="87" spans="1:31" x14ac:dyDescent="0.25">
      <c r="A87" t="s">
        <v>73</v>
      </c>
      <c r="B87" t="s">
        <v>75</v>
      </c>
      <c r="C87">
        <v>115203036</v>
      </c>
      <c r="D87" t="str">
        <f t="shared" si="10"/>
        <v>Coşkun, Utku Özer-115203036</v>
      </c>
      <c r="E87">
        <v>89</v>
      </c>
      <c r="F87">
        <v>108</v>
      </c>
      <c r="G87">
        <v>5</v>
      </c>
      <c r="H87">
        <v>6</v>
      </c>
      <c r="I87" t="str">
        <f t="shared" si="11"/>
        <v>8910856</v>
      </c>
      <c r="J87">
        <f t="shared" si="12"/>
        <v>1</v>
      </c>
      <c r="K87">
        <v>120</v>
      </c>
      <c r="L87">
        <v>210</v>
      </c>
      <c r="M87">
        <v>150</v>
      </c>
      <c r="N87" t="s">
        <v>553</v>
      </c>
      <c r="O87" t="s">
        <v>553</v>
      </c>
      <c r="P87" t="s">
        <v>554</v>
      </c>
      <c r="Q87">
        <v>0.7</v>
      </c>
      <c r="R87">
        <v>0.72</v>
      </c>
      <c r="S87">
        <v>0.81</v>
      </c>
      <c r="T87">
        <v>180</v>
      </c>
      <c r="U87">
        <v>190</v>
      </c>
      <c r="V87">
        <v>195</v>
      </c>
      <c r="W87">
        <v>3</v>
      </c>
      <c r="X87">
        <v>15</v>
      </c>
      <c r="Y87" t="str">
        <f t="shared" si="13"/>
        <v>190195180150.810.720.7800,000500,000500,000150210120</v>
      </c>
      <c r="Z87">
        <f t="shared" si="14"/>
        <v>1</v>
      </c>
      <c r="AA87" s="20">
        <v>6</v>
      </c>
      <c r="AB87" s="20">
        <v>88</v>
      </c>
      <c r="AC87" s="20">
        <v>22</v>
      </c>
      <c r="AD87" t="str">
        <f t="shared" si="15"/>
        <v>68822</v>
      </c>
      <c r="AE87">
        <f t="shared" si="16"/>
        <v>1</v>
      </c>
    </row>
    <row r="88" spans="1:31" x14ac:dyDescent="0.25">
      <c r="A88" t="s">
        <v>357</v>
      </c>
      <c r="B88" t="s">
        <v>356</v>
      </c>
      <c r="C88">
        <v>115204041</v>
      </c>
      <c r="D88" t="str">
        <f t="shared" si="10"/>
        <v>Çuhadar, Mehmet Onur-115204041</v>
      </c>
      <c r="E88">
        <v>70</v>
      </c>
      <c r="F88">
        <v>118</v>
      </c>
      <c r="G88">
        <v>5</v>
      </c>
      <c r="H88">
        <v>6</v>
      </c>
      <c r="I88" t="str">
        <f t="shared" si="11"/>
        <v>7011856</v>
      </c>
      <c r="J88">
        <f t="shared" si="12"/>
        <v>1</v>
      </c>
      <c r="K88">
        <v>105</v>
      </c>
      <c r="L88">
        <v>175</v>
      </c>
      <c r="M88">
        <v>125</v>
      </c>
      <c r="N88" t="s">
        <v>555</v>
      </c>
      <c r="O88" t="s">
        <v>554</v>
      </c>
      <c r="P88" t="s">
        <v>556</v>
      </c>
      <c r="Q88">
        <v>0.79</v>
      </c>
      <c r="R88">
        <v>0.79</v>
      </c>
      <c r="S88">
        <v>0.78</v>
      </c>
      <c r="T88">
        <v>275</v>
      </c>
      <c r="U88">
        <v>155</v>
      </c>
      <c r="V88">
        <v>245</v>
      </c>
      <c r="W88">
        <v>3</v>
      </c>
      <c r="X88">
        <v>15</v>
      </c>
      <c r="Y88" t="str">
        <f t="shared" si="13"/>
        <v>155245275150.780.790.79900,000800,000700,000125175105</v>
      </c>
      <c r="Z88">
        <f t="shared" si="14"/>
        <v>1</v>
      </c>
      <c r="AA88" s="20">
        <v>7</v>
      </c>
      <c r="AB88" s="20">
        <v>61</v>
      </c>
      <c r="AC88" s="20">
        <v>16</v>
      </c>
      <c r="AD88" t="str">
        <f t="shared" si="15"/>
        <v>76116</v>
      </c>
      <c r="AE88">
        <f t="shared" si="16"/>
        <v>1</v>
      </c>
    </row>
    <row r="89" spans="1:31" x14ac:dyDescent="0.25">
      <c r="A89" t="s">
        <v>94</v>
      </c>
      <c r="B89" t="s">
        <v>93</v>
      </c>
      <c r="C89">
        <v>114205027</v>
      </c>
      <c r="D89" t="str">
        <f t="shared" si="10"/>
        <v>Çukurova, Cihan-114205027</v>
      </c>
      <c r="E89">
        <v>76</v>
      </c>
      <c r="F89">
        <v>137</v>
      </c>
      <c r="G89">
        <v>6</v>
      </c>
      <c r="H89">
        <v>7</v>
      </c>
      <c r="I89" t="str">
        <f t="shared" si="11"/>
        <v>7613767</v>
      </c>
      <c r="J89">
        <f t="shared" si="12"/>
        <v>1</v>
      </c>
      <c r="K89">
        <v>110</v>
      </c>
      <c r="L89">
        <v>220</v>
      </c>
      <c r="M89">
        <v>135</v>
      </c>
      <c r="N89" t="s">
        <v>556</v>
      </c>
      <c r="O89" t="s">
        <v>553</v>
      </c>
      <c r="P89" t="s">
        <v>554</v>
      </c>
      <c r="Q89">
        <v>0.74</v>
      </c>
      <c r="R89">
        <v>0.76</v>
      </c>
      <c r="S89">
        <v>0.7</v>
      </c>
      <c r="T89">
        <v>205</v>
      </c>
      <c r="U89">
        <v>195</v>
      </c>
      <c r="V89">
        <v>190</v>
      </c>
      <c r="W89">
        <v>1</v>
      </c>
      <c r="X89">
        <v>8</v>
      </c>
      <c r="Y89" t="str">
        <f t="shared" si="13"/>
        <v>19519020580.70.760.74800,000500,000900,000135220110</v>
      </c>
      <c r="Z89">
        <f t="shared" si="14"/>
        <v>1</v>
      </c>
      <c r="AA89" s="20">
        <v>5</v>
      </c>
      <c r="AB89" s="20">
        <v>32</v>
      </c>
      <c r="AC89" s="20">
        <v>14</v>
      </c>
      <c r="AD89" t="str">
        <f t="shared" si="15"/>
        <v>53214</v>
      </c>
      <c r="AE89">
        <f t="shared" si="16"/>
        <v>1</v>
      </c>
    </row>
    <row r="90" spans="1:31" x14ac:dyDescent="0.25">
      <c r="A90" t="s">
        <v>96</v>
      </c>
      <c r="B90" t="s">
        <v>95</v>
      </c>
      <c r="C90">
        <v>116203033</v>
      </c>
      <c r="D90" t="str">
        <f t="shared" si="10"/>
        <v>Çullas, Kağıltay-116203033</v>
      </c>
      <c r="E90">
        <v>89</v>
      </c>
      <c r="F90">
        <v>138</v>
      </c>
      <c r="G90">
        <v>9</v>
      </c>
      <c r="H90">
        <v>5</v>
      </c>
      <c r="I90" t="str">
        <f t="shared" si="11"/>
        <v>8913895</v>
      </c>
      <c r="J90">
        <f t="shared" si="12"/>
        <v>1</v>
      </c>
      <c r="K90">
        <v>115</v>
      </c>
      <c r="L90">
        <v>215</v>
      </c>
      <c r="M90">
        <v>150</v>
      </c>
      <c r="N90" t="s">
        <v>553</v>
      </c>
      <c r="O90" t="s">
        <v>557</v>
      </c>
      <c r="P90" t="s">
        <v>554</v>
      </c>
      <c r="Q90">
        <v>0.79</v>
      </c>
      <c r="R90">
        <v>0.82</v>
      </c>
      <c r="S90">
        <v>0.74</v>
      </c>
      <c r="T90">
        <v>295</v>
      </c>
      <c r="U90">
        <v>175</v>
      </c>
      <c r="V90">
        <v>235</v>
      </c>
      <c r="W90">
        <v>3</v>
      </c>
      <c r="X90">
        <v>15</v>
      </c>
      <c r="Y90" t="str">
        <f t="shared" si="13"/>
        <v>175235295150.740.820.79800,000600,000500,000150215115</v>
      </c>
      <c r="Z90">
        <f t="shared" si="14"/>
        <v>1</v>
      </c>
      <c r="AA90" s="20">
        <v>9</v>
      </c>
      <c r="AB90" s="20">
        <v>32</v>
      </c>
      <c r="AC90" s="20">
        <v>13</v>
      </c>
      <c r="AD90" t="str">
        <f t="shared" si="15"/>
        <v>93213</v>
      </c>
      <c r="AE90">
        <f t="shared" si="16"/>
        <v>1</v>
      </c>
    </row>
    <row r="91" spans="1:31" x14ac:dyDescent="0.25">
      <c r="A91" t="s">
        <v>77</v>
      </c>
      <c r="B91" t="s">
        <v>76</v>
      </c>
      <c r="C91">
        <v>116203036</v>
      </c>
      <c r="D91" t="str">
        <f t="shared" si="10"/>
        <v>Cürgül, Şelale Yaren-116203036</v>
      </c>
      <c r="E91">
        <v>83</v>
      </c>
      <c r="F91">
        <v>100</v>
      </c>
      <c r="G91">
        <v>6</v>
      </c>
      <c r="H91">
        <v>7</v>
      </c>
      <c r="I91" t="str">
        <f t="shared" si="11"/>
        <v>8310067</v>
      </c>
      <c r="J91">
        <f t="shared" si="12"/>
        <v>1</v>
      </c>
      <c r="K91">
        <v>100</v>
      </c>
      <c r="L91">
        <v>200</v>
      </c>
      <c r="M91">
        <v>100</v>
      </c>
      <c r="N91" t="s">
        <v>555</v>
      </c>
      <c r="O91" t="s">
        <v>555</v>
      </c>
      <c r="P91" t="s">
        <v>553</v>
      </c>
      <c r="Q91">
        <v>0.76</v>
      </c>
      <c r="R91">
        <v>0.76</v>
      </c>
      <c r="S91">
        <v>0.76</v>
      </c>
      <c r="T91">
        <v>285</v>
      </c>
      <c r="U91">
        <v>175</v>
      </c>
      <c r="V91">
        <v>225</v>
      </c>
      <c r="W91">
        <v>2</v>
      </c>
      <c r="X91">
        <v>10</v>
      </c>
      <c r="Y91" t="str">
        <f t="shared" si="13"/>
        <v>175225285100.760.760.76500,000700,000700,000100200100</v>
      </c>
      <c r="Z91">
        <f t="shared" si="14"/>
        <v>1</v>
      </c>
      <c r="AA91" s="20">
        <v>13</v>
      </c>
      <c r="AB91" s="20">
        <v>58</v>
      </c>
      <c r="AC91" s="20">
        <v>11</v>
      </c>
      <c r="AD91" t="str">
        <f t="shared" si="15"/>
        <v>135811</v>
      </c>
      <c r="AE91">
        <f t="shared" si="16"/>
        <v>1</v>
      </c>
    </row>
    <row r="92" spans="1:31" x14ac:dyDescent="0.25">
      <c r="A92" t="s">
        <v>359</v>
      </c>
      <c r="B92" t="s">
        <v>358</v>
      </c>
      <c r="C92">
        <v>113206071</v>
      </c>
      <c r="D92" t="str">
        <f t="shared" si="10"/>
        <v>Dağ, Mustafa-113206071</v>
      </c>
      <c r="E92">
        <v>77</v>
      </c>
      <c r="F92">
        <v>103</v>
      </c>
      <c r="G92">
        <v>7</v>
      </c>
      <c r="H92">
        <v>5</v>
      </c>
      <c r="I92" t="str">
        <f t="shared" si="11"/>
        <v>7710375</v>
      </c>
      <c r="J92">
        <f t="shared" si="12"/>
        <v>1</v>
      </c>
      <c r="K92">
        <v>130</v>
      </c>
      <c r="L92">
        <v>210</v>
      </c>
      <c r="M92">
        <v>130</v>
      </c>
      <c r="N92" t="s">
        <v>557</v>
      </c>
      <c r="O92" t="s">
        <v>554</v>
      </c>
      <c r="P92" t="s">
        <v>557</v>
      </c>
      <c r="Q92">
        <v>0.7</v>
      </c>
      <c r="R92">
        <v>0.78</v>
      </c>
      <c r="S92">
        <v>0.72</v>
      </c>
      <c r="T92">
        <v>215</v>
      </c>
      <c r="U92">
        <v>175</v>
      </c>
      <c r="V92">
        <v>265</v>
      </c>
      <c r="W92">
        <v>2</v>
      </c>
      <c r="X92">
        <v>10</v>
      </c>
      <c r="Y92" t="str">
        <f t="shared" si="13"/>
        <v>175265215100.720.780.7600,000800,000600,000130210130</v>
      </c>
      <c r="Z92">
        <f t="shared" si="14"/>
        <v>1</v>
      </c>
      <c r="AA92" s="20">
        <v>9</v>
      </c>
      <c r="AB92" s="20">
        <v>78</v>
      </c>
      <c r="AC92" s="20">
        <v>14</v>
      </c>
      <c r="AD92" t="str">
        <f t="shared" si="15"/>
        <v>97814</v>
      </c>
      <c r="AE92">
        <f t="shared" si="16"/>
        <v>1</v>
      </c>
    </row>
    <row r="93" spans="1:31" x14ac:dyDescent="0.25">
      <c r="A93" t="s">
        <v>98</v>
      </c>
      <c r="B93" t="s">
        <v>97</v>
      </c>
      <c r="C93">
        <v>111202022</v>
      </c>
      <c r="D93" t="str">
        <f t="shared" si="10"/>
        <v>Dağlı, Arda-111202022</v>
      </c>
      <c r="E93">
        <v>84</v>
      </c>
      <c r="F93">
        <v>115</v>
      </c>
      <c r="G93">
        <v>5</v>
      </c>
      <c r="H93">
        <v>8</v>
      </c>
      <c r="I93" t="str">
        <f t="shared" si="11"/>
        <v>8411558</v>
      </c>
      <c r="J93">
        <f t="shared" si="12"/>
        <v>1</v>
      </c>
      <c r="K93">
        <v>100</v>
      </c>
      <c r="L93">
        <v>180</v>
      </c>
      <c r="M93">
        <v>120</v>
      </c>
      <c r="N93" t="s">
        <v>554</v>
      </c>
      <c r="O93" t="s">
        <v>557</v>
      </c>
      <c r="P93" t="s">
        <v>556</v>
      </c>
      <c r="Q93">
        <v>0.74</v>
      </c>
      <c r="R93">
        <v>0.84</v>
      </c>
      <c r="S93">
        <v>0.85</v>
      </c>
      <c r="T93">
        <v>240</v>
      </c>
      <c r="U93">
        <v>140</v>
      </c>
      <c r="V93">
        <v>195</v>
      </c>
      <c r="W93">
        <v>1</v>
      </c>
      <c r="X93">
        <v>8</v>
      </c>
      <c r="Y93" t="str">
        <f t="shared" si="13"/>
        <v>14019524080.850.840.74900,000600,000800,000120180100</v>
      </c>
      <c r="Z93">
        <f t="shared" si="14"/>
        <v>1</v>
      </c>
      <c r="AA93" s="20">
        <v>13</v>
      </c>
      <c r="AB93" s="20">
        <v>51</v>
      </c>
      <c r="AC93" s="20">
        <v>17</v>
      </c>
      <c r="AD93" t="str">
        <f t="shared" si="15"/>
        <v>135117</v>
      </c>
      <c r="AE93">
        <f t="shared" si="16"/>
        <v>1</v>
      </c>
    </row>
    <row r="94" spans="1:31" x14ac:dyDescent="0.25">
      <c r="A94" t="s">
        <v>98</v>
      </c>
      <c r="B94" t="s">
        <v>99</v>
      </c>
      <c r="C94">
        <v>112202023</v>
      </c>
      <c r="D94" t="str">
        <f t="shared" si="10"/>
        <v>Dağlı, Cem-112202023</v>
      </c>
      <c r="E94">
        <v>70</v>
      </c>
      <c r="F94">
        <v>143</v>
      </c>
      <c r="G94">
        <v>9</v>
      </c>
      <c r="H94">
        <v>5</v>
      </c>
      <c r="I94" t="str">
        <f t="shared" si="11"/>
        <v>7014395</v>
      </c>
      <c r="J94">
        <f t="shared" si="12"/>
        <v>1</v>
      </c>
      <c r="K94">
        <v>150</v>
      </c>
      <c r="L94">
        <v>230</v>
      </c>
      <c r="M94">
        <v>120</v>
      </c>
      <c r="N94" t="s">
        <v>557</v>
      </c>
      <c r="O94" t="s">
        <v>557</v>
      </c>
      <c r="P94" t="s">
        <v>557</v>
      </c>
      <c r="Q94">
        <v>0.8</v>
      </c>
      <c r="R94">
        <v>0.8</v>
      </c>
      <c r="S94">
        <v>0.75</v>
      </c>
      <c r="T94">
        <v>175</v>
      </c>
      <c r="U94">
        <v>200</v>
      </c>
      <c r="V94">
        <v>250</v>
      </c>
      <c r="W94">
        <v>2</v>
      </c>
      <c r="X94">
        <v>10</v>
      </c>
      <c r="Y94" t="str">
        <f t="shared" si="13"/>
        <v>200250175100.750.80.8600,000600,000600,000120230150</v>
      </c>
      <c r="Z94">
        <f t="shared" si="14"/>
        <v>1</v>
      </c>
      <c r="AA94" s="20">
        <v>11</v>
      </c>
      <c r="AB94" s="20">
        <v>48</v>
      </c>
      <c r="AC94" s="20">
        <v>17</v>
      </c>
      <c r="AD94" t="str">
        <f t="shared" si="15"/>
        <v>114817</v>
      </c>
      <c r="AE94">
        <f t="shared" si="16"/>
        <v>1</v>
      </c>
    </row>
    <row r="95" spans="1:31" x14ac:dyDescent="0.25">
      <c r="A95" t="s">
        <v>101</v>
      </c>
      <c r="B95" t="s">
        <v>100</v>
      </c>
      <c r="C95">
        <v>116202086</v>
      </c>
      <c r="D95" t="str">
        <f t="shared" si="10"/>
        <v>Darkal, Anas-116202086</v>
      </c>
      <c r="E95">
        <v>77</v>
      </c>
      <c r="F95">
        <v>125</v>
      </c>
      <c r="G95">
        <v>5</v>
      </c>
      <c r="H95">
        <v>8</v>
      </c>
      <c r="I95" t="str">
        <f t="shared" si="11"/>
        <v>7712558</v>
      </c>
      <c r="J95">
        <f t="shared" si="12"/>
        <v>1</v>
      </c>
      <c r="K95">
        <v>130</v>
      </c>
      <c r="L95">
        <v>150</v>
      </c>
      <c r="M95">
        <v>135</v>
      </c>
      <c r="N95" t="s">
        <v>553</v>
      </c>
      <c r="O95" t="s">
        <v>557</v>
      </c>
      <c r="P95" t="s">
        <v>556</v>
      </c>
      <c r="Q95">
        <v>0.84</v>
      </c>
      <c r="R95">
        <v>0.75</v>
      </c>
      <c r="S95">
        <v>0.79</v>
      </c>
      <c r="T95">
        <v>185</v>
      </c>
      <c r="U95">
        <v>120</v>
      </c>
      <c r="V95">
        <v>200</v>
      </c>
      <c r="W95">
        <v>3</v>
      </c>
      <c r="X95">
        <v>15</v>
      </c>
      <c r="Y95" t="str">
        <f t="shared" si="13"/>
        <v>120200185150.790.750.84900,000600,000500,000135150130</v>
      </c>
      <c r="Z95">
        <f t="shared" si="14"/>
        <v>1</v>
      </c>
      <c r="AA95" s="20">
        <v>11</v>
      </c>
      <c r="AB95" s="20">
        <v>47</v>
      </c>
      <c r="AC95" s="20">
        <v>24</v>
      </c>
      <c r="AD95" t="str">
        <f t="shared" si="15"/>
        <v>114724</v>
      </c>
      <c r="AE95">
        <f t="shared" si="16"/>
        <v>1</v>
      </c>
    </row>
    <row r="96" spans="1:31" x14ac:dyDescent="0.25">
      <c r="A96" t="s">
        <v>361</v>
      </c>
      <c r="B96" t="s">
        <v>360</v>
      </c>
      <c r="C96">
        <v>111204019</v>
      </c>
      <c r="D96" t="str">
        <f t="shared" si="10"/>
        <v>Dayı, Kaan İsmail-111204019</v>
      </c>
      <c r="E96">
        <v>73</v>
      </c>
      <c r="F96">
        <v>102</v>
      </c>
      <c r="G96">
        <v>9</v>
      </c>
      <c r="H96">
        <v>6</v>
      </c>
      <c r="I96" t="str">
        <f t="shared" si="11"/>
        <v>7310296</v>
      </c>
      <c r="J96">
        <f t="shared" si="12"/>
        <v>1</v>
      </c>
      <c r="K96">
        <v>100</v>
      </c>
      <c r="L96">
        <v>175</v>
      </c>
      <c r="M96">
        <v>130</v>
      </c>
      <c r="N96" t="s">
        <v>557</v>
      </c>
      <c r="O96" t="s">
        <v>556</v>
      </c>
      <c r="P96" t="s">
        <v>556</v>
      </c>
      <c r="Q96">
        <v>0.78</v>
      </c>
      <c r="R96">
        <v>0.78</v>
      </c>
      <c r="S96">
        <v>0.82</v>
      </c>
      <c r="T96">
        <v>295</v>
      </c>
      <c r="U96">
        <v>135</v>
      </c>
      <c r="V96">
        <v>295</v>
      </c>
      <c r="W96">
        <v>1</v>
      </c>
      <c r="X96">
        <v>8</v>
      </c>
      <c r="Y96" t="str">
        <f t="shared" si="13"/>
        <v>13529529580.820.780.78900,000900,000600,000130175100</v>
      </c>
      <c r="Z96">
        <f t="shared" si="14"/>
        <v>1</v>
      </c>
      <c r="AA96" s="20">
        <v>7</v>
      </c>
      <c r="AB96" s="20">
        <v>48</v>
      </c>
      <c r="AC96" s="20">
        <v>19</v>
      </c>
      <c r="AD96" t="str">
        <f t="shared" si="15"/>
        <v>74819</v>
      </c>
      <c r="AE96">
        <f t="shared" si="16"/>
        <v>1</v>
      </c>
    </row>
    <row r="97" spans="1:31" x14ac:dyDescent="0.25">
      <c r="A97" t="s">
        <v>103</v>
      </c>
      <c r="B97" t="s">
        <v>102</v>
      </c>
      <c r="C97">
        <v>115206072</v>
      </c>
      <c r="D97" t="str">
        <f t="shared" si="10"/>
        <v>Değer, Kerem Ozan-115206072</v>
      </c>
      <c r="E97">
        <v>78</v>
      </c>
      <c r="F97">
        <v>147</v>
      </c>
      <c r="G97">
        <v>5</v>
      </c>
      <c r="H97">
        <v>9</v>
      </c>
      <c r="I97" t="str">
        <f t="shared" si="11"/>
        <v>7814759</v>
      </c>
      <c r="J97">
        <f t="shared" si="12"/>
        <v>1</v>
      </c>
      <c r="K97">
        <v>130</v>
      </c>
      <c r="L97">
        <v>195</v>
      </c>
      <c r="M97">
        <v>115</v>
      </c>
      <c r="N97" t="s">
        <v>554</v>
      </c>
      <c r="O97" t="s">
        <v>553</v>
      </c>
      <c r="P97" t="s">
        <v>557</v>
      </c>
      <c r="Q97">
        <v>0.74</v>
      </c>
      <c r="R97">
        <v>0.7</v>
      </c>
      <c r="S97">
        <v>0.81</v>
      </c>
      <c r="T97">
        <v>230</v>
      </c>
      <c r="U97">
        <v>165</v>
      </c>
      <c r="V97">
        <v>220</v>
      </c>
      <c r="W97">
        <v>1</v>
      </c>
      <c r="X97">
        <v>8</v>
      </c>
      <c r="Y97" t="str">
        <f t="shared" si="13"/>
        <v>16522023080.810.70.74600,000500,000800,000115195130</v>
      </c>
      <c r="Z97">
        <f t="shared" si="14"/>
        <v>1</v>
      </c>
      <c r="AA97" s="20">
        <v>7</v>
      </c>
      <c r="AB97" s="20">
        <v>58</v>
      </c>
      <c r="AC97" s="20">
        <v>12</v>
      </c>
      <c r="AD97" t="str">
        <f t="shared" si="15"/>
        <v>75812</v>
      </c>
      <c r="AE97">
        <f t="shared" si="16"/>
        <v>1</v>
      </c>
    </row>
    <row r="98" spans="1:31" x14ac:dyDescent="0.25">
      <c r="A98" t="s">
        <v>363</v>
      </c>
      <c r="B98" t="s">
        <v>362</v>
      </c>
      <c r="C98">
        <v>114205034</v>
      </c>
      <c r="D98" t="str">
        <f t="shared" si="10"/>
        <v>Demer, Beril-114205034</v>
      </c>
      <c r="E98">
        <v>82</v>
      </c>
      <c r="F98">
        <v>149</v>
      </c>
      <c r="G98">
        <v>9</v>
      </c>
      <c r="H98">
        <v>8</v>
      </c>
      <c r="I98" t="str">
        <f t="shared" si="11"/>
        <v>8214998</v>
      </c>
      <c r="J98">
        <f t="shared" si="12"/>
        <v>1</v>
      </c>
      <c r="K98">
        <v>100</v>
      </c>
      <c r="L98">
        <v>200</v>
      </c>
      <c r="M98">
        <v>105</v>
      </c>
      <c r="N98" t="s">
        <v>557</v>
      </c>
      <c r="O98" t="s">
        <v>553</v>
      </c>
      <c r="P98" t="s">
        <v>554</v>
      </c>
      <c r="Q98">
        <v>0.84</v>
      </c>
      <c r="R98">
        <v>0.81</v>
      </c>
      <c r="S98">
        <v>0.77</v>
      </c>
      <c r="T98">
        <v>285</v>
      </c>
      <c r="U98">
        <v>170</v>
      </c>
      <c r="V98">
        <v>185</v>
      </c>
      <c r="W98">
        <v>1</v>
      </c>
      <c r="X98">
        <v>8</v>
      </c>
      <c r="Y98" t="str">
        <f t="shared" si="13"/>
        <v>17018528580.770.810.84800,000500,000600,000105200100</v>
      </c>
      <c r="Z98">
        <f t="shared" si="14"/>
        <v>1</v>
      </c>
      <c r="AA98" s="20">
        <v>7</v>
      </c>
      <c r="AB98" s="20">
        <v>78</v>
      </c>
      <c r="AC98" s="20">
        <v>14</v>
      </c>
      <c r="AD98" t="str">
        <f t="shared" si="15"/>
        <v>77814</v>
      </c>
      <c r="AE98">
        <f t="shared" si="16"/>
        <v>1</v>
      </c>
    </row>
    <row r="99" spans="1:31" x14ac:dyDescent="0.25">
      <c r="A99" t="s">
        <v>104</v>
      </c>
      <c r="B99" t="s">
        <v>16</v>
      </c>
      <c r="C99">
        <v>113204011</v>
      </c>
      <c r="D99" t="str">
        <f t="shared" si="10"/>
        <v>Demir, Emre-113204011</v>
      </c>
      <c r="E99">
        <v>86</v>
      </c>
      <c r="F99">
        <v>110</v>
      </c>
      <c r="G99">
        <v>9</v>
      </c>
      <c r="H99">
        <v>8</v>
      </c>
      <c r="I99" t="str">
        <f t="shared" si="11"/>
        <v>8611098</v>
      </c>
      <c r="J99">
        <f t="shared" si="12"/>
        <v>1</v>
      </c>
      <c r="K99">
        <v>150</v>
      </c>
      <c r="L99">
        <v>210</v>
      </c>
      <c r="M99">
        <v>140</v>
      </c>
      <c r="N99" t="s">
        <v>555</v>
      </c>
      <c r="O99" t="s">
        <v>557</v>
      </c>
      <c r="P99" t="s">
        <v>556</v>
      </c>
      <c r="Q99">
        <v>0.82</v>
      </c>
      <c r="R99">
        <v>0.8</v>
      </c>
      <c r="S99">
        <v>0.71</v>
      </c>
      <c r="T99">
        <v>270</v>
      </c>
      <c r="U99">
        <v>185</v>
      </c>
      <c r="V99">
        <v>230</v>
      </c>
      <c r="W99">
        <v>2</v>
      </c>
      <c r="X99">
        <v>10</v>
      </c>
      <c r="Y99" t="str">
        <f t="shared" si="13"/>
        <v>185230270100.710.80.82900,000600,000700,000140210150</v>
      </c>
      <c r="Z99">
        <f t="shared" si="14"/>
        <v>1</v>
      </c>
      <c r="AA99" s="20">
        <v>15</v>
      </c>
      <c r="AB99" s="20">
        <v>34</v>
      </c>
      <c r="AC99" s="20">
        <v>6</v>
      </c>
      <c r="AD99" t="str">
        <f t="shared" si="15"/>
        <v>15346</v>
      </c>
      <c r="AE99">
        <f t="shared" si="16"/>
        <v>1</v>
      </c>
    </row>
    <row r="100" spans="1:31" x14ac:dyDescent="0.25">
      <c r="A100" t="s">
        <v>106</v>
      </c>
      <c r="B100" t="s">
        <v>105</v>
      </c>
      <c r="C100">
        <v>116203048</v>
      </c>
      <c r="D100" t="str">
        <f t="shared" si="10"/>
        <v>Demirbaş, Ege-116203048</v>
      </c>
      <c r="E100">
        <v>90</v>
      </c>
      <c r="F100">
        <v>145</v>
      </c>
      <c r="G100">
        <v>6</v>
      </c>
      <c r="H100">
        <v>6</v>
      </c>
      <c r="I100" t="str">
        <f t="shared" si="11"/>
        <v>9014566</v>
      </c>
      <c r="J100">
        <f t="shared" si="12"/>
        <v>1</v>
      </c>
      <c r="K100">
        <v>125</v>
      </c>
      <c r="L100">
        <v>165</v>
      </c>
      <c r="M100">
        <v>130</v>
      </c>
      <c r="N100" t="s">
        <v>553</v>
      </c>
      <c r="O100" t="s">
        <v>557</v>
      </c>
      <c r="P100" t="s">
        <v>557</v>
      </c>
      <c r="Q100">
        <v>0.76</v>
      </c>
      <c r="R100">
        <v>0.73</v>
      </c>
      <c r="S100">
        <v>0.85</v>
      </c>
      <c r="T100">
        <v>280</v>
      </c>
      <c r="U100">
        <v>145</v>
      </c>
      <c r="V100">
        <v>205</v>
      </c>
      <c r="W100">
        <v>3</v>
      </c>
      <c r="X100">
        <v>15</v>
      </c>
      <c r="Y100" t="str">
        <f t="shared" si="13"/>
        <v>145205280150.850.730.76600,000600,000500,000130165125</v>
      </c>
      <c r="Z100">
        <f t="shared" si="14"/>
        <v>1</v>
      </c>
      <c r="AA100" s="20">
        <v>5</v>
      </c>
      <c r="AB100" s="20">
        <v>72</v>
      </c>
      <c r="AC100" s="20">
        <v>25</v>
      </c>
      <c r="AD100" t="str">
        <f t="shared" si="15"/>
        <v>57225</v>
      </c>
      <c r="AE100">
        <f t="shared" si="16"/>
        <v>1</v>
      </c>
    </row>
    <row r="101" spans="1:31" x14ac:dyDescent="0.25">
      <c r="A101" t="s">
        <v>108</v>
      </c>
      <c r="B101" t="s">
        <v>107</v>
      </c>
      <c r="C101">
        <v>115200132</v>
      </c>
      <c r="D101" t="str">
        <f t="shared" si="10"/>
        <v>Demirbay, Rasim-115200132</v>
      </c>
      <c r="E101">
        <v>88</v>
      </c>
      <c r="F101">
        <v>110</v>
      </c>
      <c r="G101">
        <v>8</v>
      </c>
      <c r="H101">
        <v>9</v>
      </c>
      <c r="I101" t="str">
        <f t="shared" si="11"/>
        <v>8811089</v>
      </c>
      <c r="J101">
        <f t="shared" si="12"/>
        <v>1</v>
      </c>
      <c r="K101">
        <v>115</v>
      </c>
      <c r="L101">
        <v>150</v>
      </c>
      <c r="M101">
        <v>110</v>
      </c>
      <c r="N101" t="s">
        <v>554</v>
      </c>
      <c r="O101" t="s">
        <v>555</v>
      </c>
      <c r="P101" t="s">
        <v>557</v>
      </c>
      <c r="Q101">
        <v>0.7</v>
      </c>
      <c r="R101">
        <v>0.72</v>
      </c>
      <c r="S101">
        <v>0.79</v>
      </c>
      <c r="T101">
        <v>205</v>
      </c>
      <c r="U101">
        <v>120</v>
      </c>
      <c r="V101">
        <v>210</v>
      </c>
      <c r="W101">
        <v>1</v>
      </c>
      <c r="X101">
        <v>8</v>
      </c>
      <c r="Y101" t="str">
        <f t="shared" si="13"/>
        <v>12021020580.790.720.7600,000700,000800,000110150115</v>
      </c>
      <c r="Z101">
        <f t="shared" si="14"/>
        <v>1</v>
      </c>
      <c r="AA101" s="20">
        <v>11</v>
      </c>
      <c r="AB101" s="20">
        <v>67</v>
      </c>
      <c r="AC101" s="20">
        <v>17</v>
      </c>
      <c r="AD101" t="str">
        <f t="shared" si="15"/>
        <v>116717</v>
      </c>
      <c r="AE101">
        <f t="shared" si="16"/>
        <v>1</v>
      </c>
    </row>
    <row r="102" spans="1:31" x14ac:dyDescent="0.25">
      <c r="A102" t="s">
        <v>365</v>
      </c>
      <c r="B102" t="s">
        <v>364</v>
      </c>
      <c r="C102">
        <v>115203083</v>
      </c>
      <c r="D102" t="str">
        <f t="shared" si="10"/>
        <v>Demircioğlu, Sarp Berk-115203083</v>
      </c>
      <c r="E102">
        <v>81</v>
      </c>
      <c r="F102">
        <v>148</v>
      </c>
      <c r="G102">
        <v>5</v>
      </c>
      <c r="H102">
        <v>9</v>
      </c>
      <c r="I102" t="str">
        <f t="shared" si="11"/>
        <v>8114859</v>
      </c>
      <c r="J102">
        <f t="shared" si="12"/>
        <v>1</v>
      </c>
      <c r="K102">
        <v>105</v>
      </c>
      <c r="L102">
        <v>160</v>
      </c>
      <c r="M102">
        <v>145</v>
      </c>
      <c r="N102" t="s">
        <v>557</v>
      </c>
      <c r="O102" t="s">
        <v>554</v>
      </c>
      <c r="P102" t="s">
        <v>557</v>
      </c>
      <c r="Q102">
        <v>0.7</v>
      </c>
      <c r="R102">
        <v>0.82</v>
      </c>
      <c r="S102">
        <v>0.75</v>
      </c>
      <c r="T102">
        <v>275</v>
      </c>
      <c r="U102">
        <v>120</v>
      </c>
      <c r="V102">
        <v>245</v>
      </c>
      <c r="W102">
        <v>3</v>
      </c>
      <c r="X102">
        <v>15</v>
      </c>
      <c r="Y102" t="str">
        <f t="shared" si="13"/>
        <v>120245275150.750.820.7600,000800,000600,000145160105</v>
      </c>
      <c r="Z102">
        <f t="shared" si="14"/>
        <v>1</v>
      </c>
      <c r="AA102" s="20">
        <v>12</v>
      </c>
      <c r="AB102" s="20">
        <v>45</v>
      </c>
      <c r="AC102" s="20">
        <v>14</v>
      </c>
      <c r="AD102" t="str">
        <f t="shared" si="15"/>
        <v>124514</v>
      </c>
      <c r="AE102">
        <f t="shared" si="16"/>
        <v>1</v>
      </c>
    </row>
    <row r="103" spans="1:31" x14ac:dyDescent="0.25">
      <c r="A103" t="s">
        <v>367</v>
      </c>
      <c r="B103" t="s">
        <v>366</v>
      </c>
      <c r="C103">
        <v>116201149</v>
      </c>
      <c r="D103" t="str">
        <f t="shared" si="10"/>
        <v>Demirkol, Nihal-116201149</v>
      </c>
      <c r="E103">
        <v>88</v>
      </c>
      <c r="F103">
        <v>101</v>
      </c>
      <c r="G103">
        <v>8</v>
      </c>
      <c r="H103">
        <v>7</v>
      </c>
      <c r="I103" t="str">
        <f t="shared" si="11"/>
        <v>8810187</v>
      </c>
      <c r="J103">
        <f t="shared" si="12"/>
        <v>1</v>
      </c>
      <c r="K103">
        <v>100</v>
      </c>
      <c r="L103">
        <v>205</v>
      </c>
      <c r="M103">
        <v>125</v>
      </c>
      <c r="N103" t="s">
        <v>557</v>
      </c>
      <c r="O103" t="s">
        <v>553</v>
      </c>
      <c r="P103" t="s">
        <v>557</v>
      </c>
      <c r="Q103">
        <v>0.77</v>
      </c>
      <c r="R103">
        <v>0.78</v>
      </c>
      <c r="S103">
        <v>0.74</v>
      </c>
      <c r="T103">
        <v>275</v>
      </c>
      <c r="U103">
        <v>165</v>
      </c>
      <c r="V103">
        <v>300</v>
      </c>
      <c r="W103">
        <v>3</v>
      </c>
      <c r="X103">
        <v>15</v>
      </c>
      <c r="Y103" t="str">
        <f t="shared" si="13"/>
        <v>165300275150.740.780.77600,000500,000600,000125205100</v>
      </c>
      <c r="Z103">
        <f t="shared" si="14"/>
        <v>1</v>
      </c>
      <c r="AA103" s="20">
        <v>6</v>
      </c>
      <c r="AB103" s="20">
        <v>48</v>
      </c>
      <c r="AC103" s="20">
        <v>22</v>
      </c>
      <c r="AD103" t="str">
        <f t="shared" si="15"/>
        <v>64822</v>
      </c>
      <c r="AE103">
        <f t="shared" si="16"/>
        <v>1</v>
      </c>
    </row>
    <row r="104" spans="1:31" x14ac:dyDescent="0.25">
      <c r="A104" t="s">
        <v>110</v>
      </c>
      <c r="B104" t="s">
        <v>109</v>
      </c>
      <c r="C104">
        <v>115204002</v>
      </c>
      <c r="D104" t="str">
        <f t="shared" si="10"/>
        <v>Diken, Fırat-115204002</v>
      </c>
      <c r="E104">
        <v>85</v>
      </c>
      <c r="F104">
        <v>141</v>
      </c>
      <c r="G104">
        <v>9</v>
      </c>
      <c r="H104">
        <v>8</v>
      </c>
      <c r="I104" t="str">
        <f t="shared" si="11"/>
        <v>8514198</v>
      </c>
      <c r="J104">
        <f t="shared" si="12"/>
        <v>1</v>
      </c>
      <c r="K104">
        <v>105</v>
      </c>
      <c r="L104">
        <v>185</v>
      </c>
      <c r="M104">
        <v>115</v>
      </c>
      <c r="N104" t="s">
        <v>555</v>
      </c>
      <c r="O104" t="s">
        <v>555</v>
      </c>
      <c r="P104" t="s">
        <v>553</v>
      </c>
      <c r="Q104">
        <v>0.8</v>
      </c>
      <c r="R104">
        <v>0.76</v>
      </c>
      <c r="S104">
        <v>0.81</v>
      </c>
      <c r="T104">
        <v>205</v>
      </c>
      <c r="U104">
        <v>160</v>
      </c>
      <c r="V104">
        <v>275</v>
      </c>
      <c r="W104">
        <v>2</v>
      </c>
      <c r="X104">
        <v>10</v>
      </c>
      <c r="Y104" t="str">
        <f t="shared" si="13"/>
        <v>160275205100.810.760.8500,000700,000700,000115185105</v>
      </c>
      <c r="Z104">
        <f t="shared" si="14"/>
        <v>1</v>
      </c>
      <c r="AA104" s="20">
        <v>5</v>
      </c>
      <c r="AB104" s="20">
        <v>41</v>
      </c>
      <c r="AC104" s="20">
        <v>15</v>
      </c>
      <c r="AD104" t="str">
        <f t="shared" si="15"/>
        <v>54115</v>
      </c>
      <c r="AE104">
        <f t="shared" si="16"/>
        <v>1</v>
      </c>
    </row>
    <row r="105" spans="1:31" x14ac:dyDescent="0.25">
      <c r="A105" t="s">
        <v>369</v>
      </c>
      <c r="B105" t="s">
        <v>368</v>
      </c>
      <c r="C105">
        <v>116203084</v>
      </c>
      <c r="D105" t="str">
        <f t="shared" si="10"/>
        <v>Diriker, Çağla-116203084</v>
      </c>
      <c r="E105">
        <v>80</v>
      </c>
      <c r="F105">
        <v>122</v>
      </c>
      <c r="G105">
        <v>6</v>
      </c>
      <c r="H105">
        <v>7</v>
      </c>
      <c r="I105" t="str">
        <f t="shared" si="11"/>
        <v>8012267</v>
      </c>
      <c r="J105">
        <f t="shared" si="12"/>
        <v>1</v>
      </c>
      <c r="K105">
        <v>145</v>
      </c>
      <c r="L105">
        <v>150</v>
      </c>
      <c r="M105">
        <v>120</v>
      </c>
      <c r="N105" t="s">
        <v>555</v>
      </c>
      <c r="O105" t="s">
        <v>553</v>
      </c>
      <c r="P105" t="s">
        <v>555</v>
      </c>
      <c r="Q105">
        <v>0.74</v>
      </c>
      <c r="R105">
        <v>0.71</v>
      </c>
      <c r="S105">
        <v>0.76</v>
      </c>
      <c r="T105">
        <v>200</v>
      </c>
      <c r="U105">
        <v>110</v>
      </c>
      <c r="V105">
        <v>175</v>
      </c>
      <c r="W105">
        <v>1</v>
      </c>
      <c r="X105">
        <v>8</v>
      </c>
      <c r="Y105" t="str">
        <f t="shared" si="13"/>
        <v>11017520080.760.710.74700,000500,000700,000120150145</v>
      </c>
      <c r="Z105">
        <f t="shared" si="14"/>
        <v>1</v>
      </c>
      <c r="AA105" s="20">
        <v>5</v>
      </c>
      <c r="AB105" s="20">
        <v>88</v>
      </c>
      <c r="AC105" s="20">
        <v>12</v>
      </c>
      <c r="AD105" t="str">
        <f t="shared" si="15"/>
        <v>58812</v>
      </c>
      <c r="AE105">
        <f t="shared" si="16"/>
        <v>1</v>
      </c>
    </row>
    <row r="106" spans="1:31" x14ac:dyDescent="0.25">
      <c r="A106" t="s">
        <v>371</v>
      </c>
      <c r="B106" t="s">
        <v>370</v>
      </c>
      <c r="C106">
        <v>114200081</v>
      </c>
      <c r="D106" t="str">
        <f t="shared" si="10"/>
        <v>Doğan, Ekim-114200081</v>
      </c>
      <c r="E106">
        <v>84</v>
      </c>
      <c r="F106">
        <v>136</v>
      </c>
      <c r="G106">
        <v>6</v>
      </c>
      <c r="H106">
        <v>5</v>
      </c>
      <c r="I106" t="str">
        <f t="shared" si="11"/>
        <v>8413665</v>
      </c>
      <c r="J106">
        <f t="shared" si="12"/>
        <v>1</v>
      </c>
      <c r="K106">
        <v>105</v>
      </c>
      <c r="L106">
        <v>200</v>
      </c>
      <c r="M106">
        <v>150</v>
      </c>
      <c r="N106" t="s">
        <v>555</v>
      </c>
      <c r="O106" t="s">
        <v>555</v>
      </c>
      <c r="P106" t="s">
        <v>557</v>
      </c>
      <c r="Q106">
        <v>0.74</v>
      </c>
      <c r="R106">
        <v>0.7</v>
      </c>
      <c r="S106">
        <v>0.71</v>
      </c>
      <c r="T106">
        <v>280</v>
      </c>
      <c r="U106">
        <v>165</v>
      </c>
      <c r="V106">
        <v>290</v>
      </c>
      <c r="W106">
        <v>2</v>
      </c>
      <c r="X106">
        <v>10</v>
      </c>
      <c r="Y106" t="str">
        <f t="shared" si="13"/>
        <v>165290280100.710.70.74600,000700,000700,000150200105</v>
      </c>
      <c r="Z106">
        <f t="shared" si="14"/>
        <v>1</v>
      </c>
      <c r="AA106" s="20">
        <v>11</v>
      </c>
      <c r="AB106" s="20">
        <v>44</v>
      </c>
      <c r="AC106" s="20">
        <v>12</v>
      </c>
      <c r="AD106" t="str">
        <f t="shared" si="15"/>
        <v>114412</v>
      </c>
      <c r="AE106">
        <f t="shared" si="16"/>
        <v>1</v>
      </c>
    </row>
    <row r="107" spans="1:31" x14ac:dyDescent="0.25">
      <c r="A107" t="s">
        <v>372</v>
      </c>
      <c r="B107" t="s">
        <v>16</v>
      </c>
      <c r="C107">
        <v>114205022</v>
      </c>
      <c r="D107" t="str">
        <f t="shared" si="10"/>
        <v>Doğmuş, Emre-114205022</v>
      </c>
      <c r="E107">
        <v>87</v>
      </c>
      <c r="F107">
        <v>141</v>
      </c>
      <c r="G107">
        <v>5</v>
      </c>
      <c r="H107">
        <v>9</v>
      </c>
      <c r="I107" t="str">
        <f t="shared" si="11"/>
        <v>8714159</v>
      </c>
      <c r="J107">
        <f t="shared" si="12"/>
        <v>1</v>
      </c>
      <c r="K107">
        <v>130</v>
      </c>
      <c r="L107">
        <v>190</v>
      </c>
      <c r="M107">
        <v>145</v>
      </c>
      <c r="N107" t="s">
        <v>553</v>
      </c>
      <c r="O107" t="s">
        <v>553</v>
      </c>
      <c r="P107" t="s">
        <v>553</v>
      </c>
      <c r="Q107">
        <v>0.81</v>
      </c>
      <c r="R107">
        <v>0.8</v>
      </c>
      <c r="S107">
        <v>0.78</v>
      </c>
      <c r="T107">
        <v>215</v>
      </c>
      <c r="U107">
        <v>165</v>
      </c>
      <c r="V107">
        <v>290</v>
      </c>
      <c r="W107">
        <v>1</v>
      </c>
      <c r="X107">
        <v>8</v>
      </c>
      <c r="Y107" t="str">
        <f t="shared" si="13"/>
        <v>16529021580.780.80.81500,000500,000500,000145190130</v>
      </c>
      <c r="Z107">
        <f t="shared" si="14"/>
        <v>1</v>
      </c>
      <c r="AA107" s="20">
        <v>7</v>
      </c>
      <c r="AB107" s="20">
        <v>59</v>
      </c>
      <c r="AC107" s="20">
        <v>13</v>
      </c>
      <c r="AD107" t="str">
        <f t="shared" si="15"/>
        <v>75913</v>
      </c>
      <c r="AE107">
        <f t="shared" si="16"/>
        <v>1</v>
      </c>
    </row>
    <row r="108" spans="1:31" x14ac:dyDescent="0.25">
      <c r="A108" t="s">
        <v>373</v>
      </c>
      <c r="B108" t="s">
        <v>258</v>
      </c>
      <c r="C108">
        <v>115205052</v>
      </c>
      <c r="D108" t="str">
        <f t="shared" si="10"/>
        <v>Dondurmacı, Can-115205052</v>
      </c>
      <c r="E108">
        <v>73</v>
      </c>
      <c r="F108">
        <v>126</v>
      </c>
      <c r="G108">
        <v>6</v>
      </c>
      <c r="H108">
        <v>8</v>
      </c>
      <c r="I108" t="str">
        <f t="shared" si="11"/>
        <v>7312668</v>
      </c>
      <c r="J108">
        <f t="shared" si="12"/>
        <v>1</v>
      </c>
      <c r="K108">
        <v>140</v>
      </c>
      <c r="L108">
        <v>190</v>
      </c>
      <c r="M108">
        <v>145</v>
      </c>
      <c r="N108" t="s">
        <v>554</v>
      </c>
      <c r="O108" t="s">
        <v>557</v>
      </c>
      <c r="P108" t="s">
        <v>555</v>
      </c>
      <c r="Q108">
        <v>0.76</v>
      </c>
      <c r="R108">
        <v>0.78</v>
      </c>
      <c r="S108">
        <v>0.8</v>
      </c>
      <c r="T108">
        <v>230</v>
      </c>
      <c r="U108">
        <v>150</v>
      </c>
      <c r="V108">
        <v>255</v>
      </c>
      <c r="W108">
        <v>2</v>
      </c>
      <c r="X108">
        <v>10</v>
      </c>
      <c r="Y108" t="str">
        <f t="shared" si="13"/>
        <v>150255230100.80.780.76700,000600,000800,000145190140</v>
      </c>
      <c r="Z108">
        <f t="shared" si="14"/>
        <v>1</v>
      </c>
      <c r="AA108" s="20">
        <v>14</v>
      </c>
      <c r="AB108" s="20">
        <v>31</v>
      </c>
      <c r="AC108" s="20">
        <v>13</v>
      </c>
      <c r="AD108" t="str">
        <f t="shared" si="15"/>
        <v>143113</v>
      </c>
      <c r="AE108">
        <f t="shared" si="16"/>
        <v>1</v>
      </c>
    </row>
    <row r="109" spans="1:31" x14ac:dyDescent="0.25">
      <c r="A109" t="s">
        <v>112</v>
      </c>
      <c r="B109" t="s">
        <v>111</v>
      </c>
      <c r="C109">
        <v>115204021</v>
      </c>
      <c r="D109" t="str">
        <f t="shared" si="10"/>
        <v>Duymaz, Adem-115204021</v>
      </c>
      <c r="E109">
        <v>73</v>
      </c>
      <c r="F109">
        <v>110</v>
      </c>
      <c r="G109">
        <v>8</v>
      </c>
      <c r="H109">
        <v>5</v>
      </c>
      <c r="I109" t="str">
        <f t="shared" si="11"/>
        <v>7311085</v>
      </c>
      <c r="J109">
        <f t="shared" si="12"/>
        <v>1</v>
      </c>
      <c r="K109">
        <v>130</v>
      </c>
      <c r="L109">
        <v>215</v>
      </c>
      <c r="M109">
        <v>140</v>
      </c>
      <c r="N109" t="s">
        <v>554</v>
      </c>
      <c r="O109" t="s">
        <v>553</v>
      </c>
      <c r="P109" t="s">
        <v>553</v>
      </c>
      <c r="Q109">
        <v>0.79</v>
      </c>
      <c r="R109">
        <v>0.7</v>
      </c>
      <c r="S109">
        <v>0.75</v>
      </c>
      <c r="T109">
        <v>250</v>
      </c>
      <c r="U109">
        <v>180</v>
      </c>
      <c r="V109">
        <v>285</v>
      </c>
      <c r="W109">
        <v>1</v>
      </c>
      <c r="X109">
        <v>8</v>
      </c>
      <c r="Y109" t="str">
        <f t="shared" si="13"/>
        <v>18028525080.750.70.79500,000500,000800,000140215130</v>
      </c>
      <c r="Z109">
        <f t="shared" si="14"/>
        <v>1</v>
      </c>
      <c r="AA109" s="20">
        <v>6</v>
      </c>
      <c r="AB109" s="20">
        <v>83</v>
      </c>
      <c r="AC109" s="20">
        <v>25</v>
      </c>
      <c r="AD109" t="str">
        <f t="shared" si="15"/>
        <v>68325</v>
      </c>
      <c r="AE109">
        <f t="shared" si="16"/>
        <v>1</v>
      </c>
    </row>
    <row r="110" spans="1:31" x14ac:dyDescent="0.25">
      <c r="A110" t="s">
        <v>114</v>
      </c>
      <c r="B110" t="s">
        <v>113</v>
      </c>
      <c r="C110">
        <v>114207005</v>
      </c>
      <c r="D110" t="str">
        <f t="shared" si="10"/>
        <v>Ebiller, Halit Ege-114207005</v>
      </c>
      <c r="E110">
        <v>79</v>
      </c>
      <c r="F110">
        <v>118</v>
      </c>
      <c r="G110">
        <v>8</v>
      </c>
      <c r="H110">
        <v>5</v>
      </c>
      <c r="I110" t="str">
        <f t="shared" si="11"/>
        <v>7911885</v>
      </c>
      <c r="J110">
        <f t="shared" si="12"/>
        <v>1</v>
      </c>
      <c r="K110">
        <v>110</v>
      </c>
      <c r="L110">
        <v>215</v>
      </c>
      <c r="M110">
        <v>115</v>
      </c>
      <c r="N110" t="s">
        <v>557</v>
      </c>
      <c r="O110" t="s">
        <v>556</v>
      </c>
      <c r="P110" t="s">
        <v>556</v>
      </c>
      <c r="Q110">
        <v>0.77</v>
      </c>
      <c r="R110">
        <v>0.77</v>
      </c>
      <c r="S110">
        <v>0.82</v>
      </c>
      <c r="T110">
        <v>190</v>
      </c>
      <c r="U110">
        <v>175</v>
      </c>
      <c r="V110">
        <v>200</v>
      </c>
      <c r="W110">
        <v>1</v>
      </c>
      <c r="X110">
        <v>8</v>
      </c>
      <c r="Y110" t="str">
        <f t="shared" si="13"/>
        <v>17520019080.820.770.77900,000900,000600,000115215110</v>
      </c>
      <c r="Z110">
        <f t="shared" si="14"/>
        <v>1</v>
      </c>
      <c r="AA110" s="20">
        <v>14</v>
      </c>
      <c r="AB110" s="20">
        <v>33</v>
      </c>
      <c r="AC110" s="20">
        <v>8</v>
      </c>
      <c r="AD110" t="str">
        <f t="shared" si="15"/>
        <v>14338</v>
      </c>
      <c r="AE110">
        <f t="shared" si="16"/>
        <v>1</v>
      </c>
    </row>
    <row r="111" spans="1:31" x14ac:dyDescent="0.25">
      <c r="A111" t="s">
        <v>116</v>
      </c>
      <c r="B111" t="s">
        <v>115</v>
      </c>
      <c r="C111">
        <v>116203021</v>
      </c>
      <c r="D111" t="str">
        <f t="shared" si="10"/>
        <v>Ecesoy, Zeynep-116203021</v>
      </c>
      <c r="E111">
        <v>70</v>
      </c>
      <c r="F111">
        <v>113</v>
      </c>
      <c r="G111">
        <v>5</v>
      </c>
      <c r="H111">
        <v>8</v>
      </c>
      <c r="I111" t="str">
        <f t="shared" si="11"/>
        <v>7011358</v>
      </c>
      <c r="J111">
        <f t="shared" si="12"/>
        <v>1</v>
      </c>
      <c r="K111">
        <v>100</v>
      </c>
      <c r="L111">
        <v>250</v>
      </c>
      <c r="M111">
        <v>100</v>
      </c>
      <c r="N111" t="s">
        <v>553</v>
      </c>
      <c r="O111" t="s">
        <v>553</v>
      </c>
      <c r="P111" t="s">
        <v>555</v>
      </c>
      <c r="Q111">
        <v>0.72</v>
      </c>
      <c r="R111">
        <v>0.77</v>
      </c>
      <c r="S111">
        <v>0.84</v>
      </c>
      <c r="T111">
        <v>225</v>
      </c>
      <c r="U111">
        <v>225</v>
      </c>
      <c r="V111">
        <v>285</v>
      </c>
      <c r="W111">
        <v>2</v>
      </c>
      <c r="X111">
        <v>10</v>
      </c>
      <c r="Y111" t="str">
        <f t="shared" si="13"/>
        <v>225285225100.840.770.72700,000500,000500,000100250100</v>
      </c>
      <c r="Z111">
        <f t="shared" si="14"/>
        <v>1</v>
      </c>
      <c r="AA111" s="20">
        <v>6</v>
      </c>
      <c r="AB111" s="20">
        <v>75</v>
      </c>
      <c r="AC111" s="20">
        <v>21</v>
      </c>
      <c r="AD111" t="str">
        <f t="shared" si="15"/>
        <v>67521</v>
      </c>
      <c r="AE111">
        <f t="shared" si="16"/>
        <v>1</v>
      </c>
    </row>
    <row r="112" spans="1:31" x14ac:dyDescent="0.25">
      <c r="A112" t="s">
        <v>374</v>
      </c>
      <c r="B112" t="s">
        <v>20</v>
      </c>
      <c r="C112">
        <v>115207041</v>
      </c>
      <c r="D112" t="str">
        <f t="shared" si="10"/>
        <v>Eldem, Berk-115207041</v>
      </c>
      <c r="E112">
        <v>71</v>
      </c>
      <c r="F112">
        <v>107</v>
      </c>
      <c r="G112">
        <v>7</v>
      </c>
      <c r="H112">
        <v>8</v>
      </c>
      <c r="I112" t="str">
        <f t="shared" si="11"/>
        <v>7110778</v>
      </c>
      <c r="J112">
        <f t="shared" si="12"/>
        <v>1</v>
      </c>
      <c r="K112">
        <v>100</v>
      </c>
      <c r="L112">
        <v>225</v>
      </c>
      <c r="M112">
        <v>145</v>
      </c>
      <c r="N112" t="s">
        <v>555</v>
      </c>
      <c r="O112" t="s">
        <v>553</v>
      </c>
      <c r="P112" t="s">
        <v>554</v>
      </c>
      <c r="Q112">
        <v>0.85</v>
      </c>
      <c r="R112">
        <v>0.75</v>
      </c>
      <c r="S112">
        <v>0.78</v>
      </c>
      <c r="T112">
        <v>260</v>
      </c>
      <c r="U112">
        <v>185</v>
      </c>
      <c r="V112">
        <v>240</v>
      </c>
      <c r="W112">
        <v>3</v>
      </c>
      <c r="X112">
        <v>15</v>
      </c>
      <c r="Y112" t="str">
        <f t="shared" si="13"/>
        <v>185240260150.780.750.85800,000500,000700,000145225100</v>
      </c>
      <c r="Z112">
        <f t="shared" si="14"/>
        <v>1</v>
      </c>
      <c r="AA112" s="20">
        <v>5</v>
      </c>
      <c r="AB112" s="20">
        <v>54</v>
      </c>
      <c r="AC112" s="20">
        <v>23</v>
      </c>
      <c r="AD112" t="str">
        <f t="shared" si="15"/>
        <v>55423</v>
      </c>
      <c r="AE112">
        <f t="shared" si="16"/>
        <v>1</v>
      </c>
    </row>
    <row r="113" spans="1:31" x14ac:dyDescent="0.25">
      <c r="A113" t="s">
        <v>376</v>
      </c>
      <c r="B113" t="s">
        <v>375</v>
      </c>
      <c r="C113">
        <v>114200015</v>
      </c>
      <c r="D113" t="str">
        <f t="shared" si="10"/>
        <v>Emecen, Utku-114200015</v>
      </c>
      <c r="E113">
        <v>76</v>
      </c>
      <c r="F113">
        <v>122</v>
      </c>
      <c r="G113">
        <v>5</v>
      </c>
      <c r="H113">
        <v>7</v>
      </c>
      <c r="I113" t="str">
        <f t="shared" si="11"/>
        <v>7612257</v>
      </c>
      <c r="J113">
        <f t="shared" si="12"/>
        <v>1</v>
      </c>
      <c r="K113">
        <v>135</v>
      </c>
      <c r="L113">
        <v>200</v>
      </c>
      <c r="M113">
        <v>110</v>
      </c>
      <c r="N113" t="s">
        <v>553</v>
      </c>
      <c r="O113" t="s">
        <v>555</v>
      </c>
      <c r="P113" t="s">
        <v>556</v>
      </c>
      <c r="Q113">
        <v>0.79</v>
      </c>
      <c r="R113">
        <v>0.72</v>
      </c>
      <c r="S113">
        <v>0.84</v>
      </c>
      <c r="T113">
        <v>190</v>
      </c>
      <c r="U113">
        <v>170</v>
      </c>
      <c r="V113">
        <v>210</v>
      </c>
      <c r="W113">
        <v>3</v>
      </c>
      <c r="X113">
        <v>15</v>
      </c>
      <c r="Y113" t="str">
        <f t="shared" si="13"/>
        <v>170210190150.840.720.79900,000700,000500,000110200135</v>
      </c>
      <c r="Z113">
        <f t="shared" si="14"/>
        <v>1</v>
      </c>
      <c r="AA113" s="20">
        <v>9</v>
      </c>
      <c r="AB113" s="20">
        <v>46</v>
      </c>
      <c r="AC113" s="20">
        <v>16</v>
      </c>
      <c r="AD113" t="str">
        <f t="shared" si="15"/>
        <v>94616</v>
      </c>
      <c r="AE113">
        <f t="shared" si="16"/>
        <v>1</v>
      </c>
    </row>
    <row r="114" spans="1:31" x14ac:dyDescent="0.25">
      <c r="A114" t="s">
        <v>118</v>
      </c>
      <c r="B114" t="s">
        <v>117</v>
      </c>
      <c r="C114">
        <v>114207010</v>
      </c>
      <c r="D114" t="str">
        <f t="shared" si="10"/>
        <v>Enderer, Berkan-114207010</v>
      </c>
      <c r="E114">
        <v>89</v>
      </c>
      <c r="F114">
        <v>122</v>
      </c>
      <c r="G114">
        <v>8</v>
      </c>
      <c r="H114">
        <v>8</v>
      </c>
      <c r="I114" t="str">
        <f t="shared" si="11"/>
        <v>8912288</v>
      </c>
      <c r="J114">
        <f t="shared" si="12"/>
        <v>1</v>
      </c>
      <c r="K114">
        <v>135</v>
      </c>
      <c r="L114">
        <v>245</v>
      </c>
      <c r="M114">
        <v>110</v>
      </c>
      <c r="N114" t="s">
        <v>557</v>
      </c>
      <c r="O114" t="s">
        <v>553</v>
      </c>
      <c r="P114" t="s">
        <v>555</v>
      </c>
      <c r="Q114">
        <v>0.81</v>
      </c>
      <c r="R114">
        <v>0.84</v>
      </c>
      <c r="S114">
        <v>0.83</v>
      </c>
      <c r="T114">
        <v>185</v>
      </c>
      <c r="U114">
        <v>205</v>
      </c>
      <c r="V114">
        <v>185</v>
      </c>
      <c r="W114">
        <v>3</v>
      </c>
      <c r="X114">
        <v>15</v>
      </c>
      <c r="Y114" t="str">
        <f t="shared" si="13"/>
        <v>205185185150.830.840.81700,000500,000600,000110245135</v>
      </c>
      <c r="Z114">
        <f t="shared" si="14"/>
        <v>1</v>
      </c>
      <c r="AA114" s="20">
        <v>9</v>
      </c>
      <c r="AB114" s="20">
        <v>51</v>
      </c>
      <c r="AC114" s="20">
        <v>11</v>
      </c>
      <c r="AD114" t="str">
        <f t="shared" si="15"/>
        <v>95111</v>
      </c>
      <c r="AE114">
        <f t="shared" si="16"/>
        <v>1</v>
      </c>
    </row>
    <row r="115" spans="1:31" x14ac:dyDescent="0.25">
      <c r="A115" t="s">
        <v>120</v>
      </c>
      <c r="B115" t="s">
        <v>119</v>
      </c>
      <c r="C115">
        <v>114200070</v>
      </c>
      <c r="D115" t="str">
        <f t="shared" si="10"/>
        <v>Ercan, Eda-114200070</v>
      </c>
      <c r="E115">
        <v>87</v>
      </c>
      <c r="F115">
        <v>143</v>
      </c>
      <c r="G115">
        <v>9</v>
      </c>
      <c r="H115">
        <v>6</v>
      </c>
      <c r="I115" t="str">
        <f t="shared" si="11"/>
        <v>8714396</v>
      </c>
      <c r="J115">
        <f t="shared" si="12"/>
        <v>1</v>
      </c>
      <c r="K115">
        <v>135</v>
      </c>
      <c r="L115">
        <v>225</v>
      </c>
      <c r="M115">
        <v>110</v>
      </c>
      <c r="N115" t="s">
        <v>553</v>
      </c>
      <c r="O115" t="s">
        <v>553</v>
      </c>
      <c r="P115" t="s">
        <v>557</v>
      </c>
      <c r="Q115">
        <v>0.82</v>
      </c>
      <c r="R115">
        <v>0.84</v>
      </c>
      <c r="S115">
        <v>0.71</v>
      </c>
      <c r="T115">
        <v>195</v>
      </c>
      <c r="U115">
        <v>185</v>
      </c>
      <c r="V115">
        <v>175</v>
      </c>
      <c r="W115">
        <v>2</v>
      </c>
      <c r="X115">
        <v>10</v>
      </c>
      <c r="Y115" t="str">
        <f t="shared" si="13"/>
        <v>185175195100.710.840.82600,000500,000500,000110225135</v>
      </c>
      <c r="Z115">
        <f t="shared" si="14"/>
        <v>1</v>
      </c>
      <c r="AA115" s="20">
        <v>6</v>
      </c>
      <c r="AB115" s="20">
        <v>50</v>
      </c>
      <c r="AC115" s="20">
        <v>24</v>
      </c>
      <c r="AD115" t="str">
        <f t="shared" si="15"/>
        <v>65024</v>
      </c>
      <c r="AE115">
        <f t="shared" si="16"/>
        <v>1</v>
      </c>
    </row>
    <row r="116" spans="1:31" x14ac:dyDescent="0.25">
      <c r="A116" t="s">
        <v>122</v>
      </c>
      <c r="B116" t="s">
        <v>121</v>
      </c>
      <c r="C116">
        <v>115205062</v>
      </c>
      <c r="D116" t="str">
        <f t="shared" si="10"/>
        <v>Erdoğan, Burak-115205062</v>
      </c>
      <c r="E116">
        <v>81</v>
      </c>
      <c r="F116">
        <v>138</v>
      </c>
      <c r="G116">
        <v>6</v>
      </c>
      <c r="H116">
        <v>5</v>
      </c>
      <c r="I116" t="str">
        <f t="shared" si="11"/>
        <v>8113865</v>
      </c>
      <c r="J116">
        <f t="shared" si="12"/>
        <v>1</v>
      </c>
      <c r="K116">
        <v>100</v>
      </c>
      <c r="L116">
        <v>180</v>
      </c>
      <c r="M116">
        <v>130</v>
      </c>
      <c r="N116" t="s">
        <v>554</v>
      </c>
      <c r="O116" t="s">
        <v>555</v>
      </c>
      <c r="P116" t="s">
        <v>556</v>
      </c>
      <c r="Q116">
        <v>0.75</v>
      </c>
      <c r="R116">
        <v>0.7</v>
      </c>
      <c r="S116">
        <v>0.78</v>
      </c>
      <c r="T116">
        <v>195</v>
      </c>
      <c r="U116">
        <v>145</v>
      </c>
      <c r="V116">
        <v>180</v>
      </c>
      <c r="W116">
        <v>3</v>
      </c>
      <c r="X116">
        <v>15</v>
      </c>
      <c r="Y116" t="str">
        <f t="shared" si="13"/>
        <v>145180195150.780.70.75900,000700,000800,000130180100</v>
      </c>
      <c r="Z116">
        <f t="shared" si="14"/>
        <v>1</v>
      </c>
      <c r="AA116" s="20">
        <v>6</v>
      </c>
      <c r="AB116" s="20">
        <v>79</v>
      </c>
      <c r="AC116" s="20">
        <v>22</v>
      </c>
      <c r="AD116" t="str">
        <f t="shared" si="15"/>
        <v>67922</v>
      </c>
      <c r="AE116">
        <f t="shared" si="16"/>
        <v>1</v>
      </c>
    </row>
    <row r="117" spans="1:31" x14ac:dyDescent="0.25">
      <c r="A117" t="s">
        <v>122</v>
      </c>
      <c r="B117" t="s">
        <v>123</v>
      </c>
      <c r="C117">
        <v>115200028</v>
      </c>
      <c r="D117" t="str">
        <f t="shared" si="10"/>
        <v>Erdoğan, Güney-115200028</v>
      </c>
      <c r="E117">
        <v>76</v>
      </c>
      <c r="F117">
        <v>108</v>
      </c>
      <c r="G117">
        <v>6</v>
      </c>
      <c r="H117">
        <v>8</v>
      </c>
      <c r="I117" t="str">
        <f t="shared" si="11"/>
        <v>7610868</v>
      </c>
      <c r="J117">
        <f t="shared" si="12"/>
        <v>1</v>
      </c>
      <c r="K117">
        <v>140</v>
      </c>
      <c r="L117">
        <v>180</v>
      </c>
      <c r="M117">
        <v>115</v>
      </c>
      <c r="N117" t="s">
        <v>556</v>
      </c>
      <c r="O117" t="s">
        <v>555</v>
      </c>
      <c r="P117" t="s">
        <v>555</v>
      </c>
      <c r="Q117">
        <v>0.78</v>
      </c>
      <c r="R117">
        <v>0.8</v>
      </c>
      <c r="S117">
        <v>0.75</v>
      </c>
      <c r="T117">
        <v>185</v>
      </c>
      <c r="U117">
        <v>150</v>
      </c>
      <c r="V117">
        <v>215</v>
      </c>
      <c r="W117">
        <v>1</v>
      </c>
      <c r="X117">
        <v>8</v>
      </c>
      <c r="Y117" t="str">
        <f t="shared" si="13"/>
        <v>15021518580.750.80.78700,000700,000900,000115180140</v>
      </c>
      <c r="Z117">
        <f t="shared" si="14"/>
        <v>1</v>
      </c>
      <c r="AA117" s="20">
        <v>8</v>
      </c>
      <c r="AB117" s="20">
        <v>87</v>
      </c>
      <c r="AC117" s="20">
        <v>7</v>
      </c>
      <c r="AD117" t="str">
        <f t="shared" si="15"/>
        <v>8877</v>
      </c>
      <c r="AE117">
        <f t="shared" si="16"/>
        <v>1</v>
      </c>
    </row>
    <row r="118" spans="1:31" x14ac:dyDescent="0.25">
      <c r="A118" t="s">
        <v>378</v>
      </c>
      <c r="B118" t="s">
        <v>377</v>
      </c>
      <c r="C118">
        <v>115205050</v>
      </c>
      <c r="D118" t="str">
        <f t="shared" si="10"/>
        <v>Ergen, Kaya-115205050</v>
      </c>
      <c r="E118">
        <v>89</v>
      </c>
      <c r="F118">
        <v>141</v>
      </c>
      <c r="G118">
        <v>7</v>
      </c>
      <c r="H118">
        <v>8</v>
      </c>
      <c r="I118" t="str">
        <f t="shared" si="11"/>
        <v>8914178</v>
      </c>
      <c r="J118">
        <f t="shared" si="12"/>
        <v>1</v>
      </c>
      <c r="K118">
        <v>145</v>
      </c>
      <c r="L118">
        <v>225</v>
      </c>
      <c r="M118">
        <v>120</v>
      </c>
      <c r="N118" t="s">
        <v>554</v>
      </c>
      <c r="O118" t="s">
        <v>556</v>
      </c>
      <c r="P118" t="s">
        <v>556</v>
      </c>
      <c r="Q118">
        <v>0.85</v>
      </c>
      <c r="R118">
        <v>0.81</v>
      </c>
      <c r="S118">
        <v>0.83</v>
      </c>
      <c r="T118">
        <v>265</v>
      </c>
      <c r="U118">
        <v>190</v>
      </c>
      <c r="V118">
        <v>225</v>
      </c>
      <c r="W118">
        <v>3</v>
      </c>
      <c r="X118">
        <v>15</v>
      </c>
      <c r="Y118" t="str">
        <f t="shared" si="13"/>
        <v>190225265150.830.810.85900,000900,000800,000120225145</v>
      </c>
      <c r="Z118">
        <f t="shared" si="14"/>
        <v>1</v>
      </c>
      <c r="AA118" s="20">
        <v>8</v>
      </c>
      <c r="AB118" s="20">
        <v>49</v>
      </c>
      <c r="AC118" s="20">
        <v>9</v>
      </c>
      <c r="AD118" t="str">
        <f t="shared" si="15"/>
        <v>8499</v>
      </c>
      <c r="AE118">
        <f t="shared" si="16"/>
        <v>1</v>
      </c>
    </row>
    <row r="119" spans="1:31" x14ac:dyDescent="0.25">
      <c r="A119" t="s">
        <v>125</v>
      </c>
      <c r="B119" t="s">
        <v>124</v>
      </c>
      <c r="C119">
        <v>115204009</v>
      </c>
      <c r="D119" t="str">
        <f t="shared" si="10"/>
        <v>Erhan, Ali Gökhan-115204009</v>
      </c>
      <c r="E119">
        <v>88</v>
      </c>
      <c r="F119">
        <v>119</v>
      </c>
      <c r="G119">
        <v>5</v>
      </c>
      <c r="H119">
        <v>7</v>
      </c>
      <c r="I119" t="str">
        <f t="shared" si="11"/>
        <v>8811957</v>
      </c>
      <c r="J119">
        <f t="shared" si="12"/>
        <v>1</v>
      </c>
      <c r="K119">
        <v>115</v>
      </c>
      <c r="L119">
        <v>215</v>
      </c>
      <c r="M119">
        <v>150</v>
      </c>
      <c r="N119" t="s">
        <v>554</v>
      </c>
      <c r="O119" t="s">
        <v>557</v>
      </c>
      <c r="P119" t="s">
        <v>557</v>
      </c>
      <c r="Q119">
        <v>0.7</v>
      </c>
      <c r="R119">
        <v>0.74</v>
      </c>
      <c r="S119">
        <v>0.74</v>
      </c>
      <c r="T119">
        <v>190</v>
      </c>
      <c r="U119">
        <v>185</v>
      </c>
      <c r="V119">
        <v>295</v>
      </c>
      <c r="W119">
        <v>3</v>
      </c>
      <c r="X119">
        <v>15</v>
      </c>
      <c r="Y119" t="str">
        <f t="shared" si="13"/>
        <v>185295190150.740.740.7600,000600,000800,000150215115</v>
      </c>
      <c r="Z119">
        <f t="shared" si="14"/>
        <v>1</v>
      </c>
      <c r="AA119" s="20">
        <v>6</v>
      </c>
      <c r="AB119" s="20">
        <v>52</v>
      </c>
      <c r="AC119" s="20">
        <v>7</v>
      </c>
      <c r="AD119" t="str">
        <f t="shared" si="15"/>
        <v>6527</v>
      </c>
      <c r="AE119">
        <f t="shared" si="16"/>
        <v>1</v>
      </c>
    </row>
    <row r="120" spans="1:31" x14ac:dyDescent="0.25">
      <c r="A120" t="s">
        <v>127</v>
      </c>
      <c r="B120" t="s">
        <v>126</v>
      </c>
      <c r="C120">
        <v>116203087</v>
      </c>
      <c r="D120" t="str">
        <f t="shared" si="10"/>
        <v>Eriman, Murat Deniz-116203087</v>
      </c>
      <c r="E120">
        <v>74</v>
      </c>
      <c r="F120">
        <v>121</v>
      </c>
      <c r="G120">
        <v>9</v>
      </c>
      <c r="H120">
        <v>7</v>
      </c>
      <c r="I120" t="str">
        <f t="shared" si="11"/>
        <v>7412197</v>
      </c>
      <c r="J120">
        <f t="shared" si="12"/>
        <v>1</v>
      </c>
      <c r="K120">
        <v>110</v>
      </c>
      <c r="L120">
        <v>175</v>
      </c>
      <c r="M120">
        <v>115</v>
      </c>
      <c r="N120" t="s">
        <v>556</v>
      </c>
      <c r="O120" t="s">
        <v>555</v>
      </c>
      <c r="P120" t="s">
        <v>555</v>
      </c>
      <c r="Q120">
        <v>0.77</v>
      </c>
      <c r="R120">
        <v>0.79</v>
      </c>
      <c r="S120">
        <v>0.79</v>
      </c>
      <c r="T120">
        <v>180</v>
      </c>
      <c r="U120">
        <v>150</v>
      </c>
      <c r="V120">
        <v>230</v>
      </c>
      <c r="W120">
        <v>1</v>
      </c>
      <c r="X120">
        <v>8</v>
      </c>
      <c r="Y120" t="str">
        <f t="shared" si="13"/>
        <v>15023018080.790.790.77700,000700,000900,000115175110</v>
      </c>
      <c r="Z120">
        <f t="shared" si="14"/>
        <v>1</v>
      </c>
      <c r="AA120" s="20">
        <v>15</v>
      </c>
      <c r="AB120" s="20">
        <v>90</v>
      </c>
      <c r="AC120" s="20">
        <v>18</v>
      </c>
      <c r="AD120" t="str">
        <f t="shared" si="15"/>
        <v>159018</v>
      </c>
      <c r="AE120">
        <f t="shared" si="16"/>
        <v>1</v>
      </c>
    </row>
    <row r="121" spans="1:31" x14ac:dyDescent="0.25">
      <c r="A121" t="s">
        <v>380</v>
      </c>
      <c r="B121" t="s">
        <v>379</v>
      </c>
      <c r="C121">
        <v>111201029</v>
      </c>
      <c r="D121" t="str">
        <f t="shared" si="10"/>
        <v>Erkal, Aslıhan-111201029</v>
      </c>
      <c r="E121">
        <v>74</v>
      </c>
      <c r="F121">
        <v>127</v>
      </c>
      <c r="G121">
        <v>7</v>
      </c>
      <c r="H121">
        <v>7</v>
      </c>
      <c r="I121" t="str">
        <f t="shared" si="11"/>
        <v>7412777</v>
      </c>
      <c r="J121">
        <f t="shared" si="12"/>
        <v>1</v>
      </c>
      <c r="K121">
        <v>110</v>
      </c>
      <c r="L121">
        <v>220</v>
      </c>
      <c r="M121">
        <v>150</v>
      </c>
      <c r="N121" t="s">
        <v>553</v>
      </c>
      <c r="O121" t="s">
        <v>556</v>
      </c>
      <c r="P121" t="s">
        <v>555</v>
      </c>
      <c r="Q121">
        <v>0.84</v>
      </c>
      <c r="R121">
        <v>0.79</v>
      </c>
      <c r="S121">
        <v>0.77</v>
      </c>
      <c r="T121">
        <v>175</v>
      </c>
      <c r="U121">
        <v>185</v>
      </c>
      <c r="V121">
        <v>265</v>
      </c>
      <c r="W121">
        <v>1</v>
      </c>
      <c r="X121">
        <v>8</v>
      </c>
      <c r="Y121" t="str">
        <f t="shared" si="13"/>
        <v>18526517580.770.790.84700,000900,000500,000150220110</v>
      </c>
      <c r="Z121">
        <f t="shared" si="14"/>
        <v>1</v>
      </c>
      <c r="AA121" s="20">
        <v>11</v>
      </c>
      <c r="AB121" s="20">
        <v>79</v>
      </c>
      <c r="AC121" s="20">
        <v>14</v>
      </c>
      <c r="AD121" t="str">
        <f t="shared" si="15"/>
        <v>117914</v>
      </c>
      <c r="AE121">
        <f t="shared" si="16"/>
        <v>1</v>
      </c>
    </row>
    <row r="122" spans="1:31" x14ac:dyDescent="0.25">
      <c r="A122" t="s">
        <v>382</v>
      </c>
      <c r="B122" t="s">
        <v>381</v>
      </c>
      <c r="C122">
        <v>115203054</v>
      </c>
      <c r="D122" t="str">
        <f t="shared" si="10"/>
        <v>Eruçan, Ökkeş-115203054</v>
      </c>
      <c r="E122">
        <v>83</v>
      </c>
      <c r="F122">
        <v>113</v>
      </c>
      <c r="G122">
        <v>6</v>
      </c>
      <c r="H122">
        <v>5</v>
      </c>
      <c r="I122" t="str">
        <f t="shared" si="11"/>
        <v>8311365</v>
      </c>
      <c r="J122">
        <f t="shared" si="12"/>
        <v>1</v>
      </c>
      <c r="K122">
        <v>105</v>
      </c>
      <c r="L122">
        <v>190</v>
      </c>
      <c r="M122">
        <v>140</v>
      </c>
      <c r="N122" t="s">
        <v>556</v>
      </c>
      <c r="O122" t="s">
        <v>554</v>
      </c>
      <c r="P122" t="s">
        <v>553</v>
      </c>
      <c r="Q122">
        <v>0.76</v>
      </c>
      <c r="R122">
        <v>0.75</v>
      </c>
      <c r="S122">
        <v>0.85</v>
      </c>
      <c r="T122">
        <v>275</v>
      </c>
      <c r="U122">
        <v>165</v>
      </c>
      <c r="V122">
        <v>215</v>
      </c>
      <c r="W122">
        <v>1</v>
      </c>
      <c r="X122">
        <v>8</v>
      </c>
      <c r="Y122" t="str">
        <f t="shared" si="13"/>
        <v>16521527580.850.750.76500,000800,000900,000140190105</v>
      </c>
      <c r="Z122">
        <f t="shared" si="14"/>
        <v>1</v>
      </c>
      <c r="AA122" s="20">
        <v>14</v>
      </c>
      <c r="AB122" s="20">
        <v>38</v>
      </c>
      <c r="AC122" s="20">
        <v>16</v>
      </c>
      <c r="AD122" t="str">
        <f t="shared" si="15"/>
        <v>143816</v>
      </c>
      <c r="AE122">
        <f t="shared" si="16"/>
        <v>1</v>
      </c>
    </row>
    <row r="123" spans="1:31" x14ac:dyDescent="0.25">
      <c r="A123" t="s">
        <v>109</v>
      </c>
      <c r="B123" t="s">
        <v>128</v>
      </c>
      <c r="C123">
        <v>113200054</v>
      </c>
      <c r="D123" t="str">
        <f t="shared" si="10"/>
        <v>Fırat, Dilan-113200054</v>
      </c>
      <c r="E123">
        <v>82</v>
      </c>
      <c r="F123">
        <v>114</v>
      </c>
      <c r="G123">
        <v>9</v>
      </c>
      <c r="H123">
        <v>7</v>
      </c>
      <c r="I123" t="str">
        <f t="shared" si="11"/>
        <v>8211497</v>
      </c>
      <c r="J123">
        <f t="shared" si="12"/>
        <v>1</v>
      </c>
      <c r="K123">
        <v>130</v>
      </c>
      <c r="L123">
        <v>235</v>
      </c>
      <c r="M123">
        <v>135</v>
      </c>
      <c r="N123" t="s">
        <v>556</v>
      </c>
      <c r="O123" t="s">
        <v>557</v>
      </c>
      <c r="P123" t="s">
        <v>557</v>
      </c>
      <c r="Q123">
        <v>0.73</v>
      </c>
      <c r="R123">
        <v>0.72</v>
      </c>
      <c r="S123">
        <v>0.83</v>
      </c>
      <c r="T123">
        <v>180</v>
      </c>
      <c r="U123">
        <v>195</v>
      </c>
      <c r="V123">
        <v>220</v>
      </c>
      <c r="W123">
        <v>3</v>
      </c>
      <c r="X123">
        <v>15</v>
      </c>
      <c r="Y123" t="str">
        <f t="shared" si="13"/>
        <v>195220180150.830.720.73600,000600,000900,000135235130</v>
      </c>
      <c r="Z123">
        <f t="shared" si="14"/>
        <v>1</v>
      </c>
      <c r="AA123" s="20">
        <v>10</v>
      </c>
      <c r="AB123" s="20">
        <v>88</v>
      </c>
      <c r="AC123" s="20">
        <v>8</v>
      </c>
      <c r="AD123" t="str">
        <f t="shared" si="15"/>
        <v>10888</v>
      </c>
      <c r="AE123">
        <f t="shared" si="16"/>
        <v>1</v>
      </c>
    </row>
    <row r="124" spans="1:31" x14ac:dyDescent="0.25">
      <c r="A124" t="s">
        <v>109</v>
      </c>
      <c r="B124" t="s">
        <v>383</v>
      </c>
      <c r="C124">
        <v>113204028</v>
      </c>
      <c r="D124" t="str">
        <f t="shared" si="10"/>
        <v>Fırat, Sena-113204028</v>
      </c>
      <c r="E124">
        <v>89</v>
      </c>
      <c r="F124">
        <v>116</v>
      </c>
      <c r="G124">
        <v>9</v>
      </c>
      <c r="H124">
        <v>8</v>
      </c>
      <c r="I124" t="str">
        <f t="shared" si="11"/>
        <v>8911698</v>
      </c>
      <c r="J124">
        <f t="shared" si="12"/>
        <v>1</v>
      </c>
      <c r="K124">
        <v>100</v>
      </c>
      <c r="L124">
        <v>155</v>
      </c>
      <c r="M124">
        <v>130</v>
      </c>
      <c r="N124" t="s">
        <v>556</v>
      </c>
      <c r="O124" t="s">
        <v>553</v>
      </c>
      <c r="P124" t="s">
        <v>555</v>
      </c>
      <c r="Q124">
        <v>0.73</v>
      </c>
      <c r="R124">
        <v>0.71</v>
      </c>
      <c r="S124">
        <v>0.78</v>
      </c>
      <c r="T124">
        <v>255</v>
      </c>
      <c r="U124">
        <v>125</v>
      </c>
      <c r="V124">
        <v>210</v>
      </c>
      <c r="W124">
        <v>1</v>
      </c>
      <c r="X124">
        <v>8</v>
      </c>
      <c r="Y124" t="str">
        <f t="shared" si="13"/>
        <v>12521025580.780.710.73700,000500,000900,000130155100</v>
      </c>
      <c r="Z124">
        <f t="shared" si="14"/>
        <v>1</v>
      </c>
      <c r="AA124" s="20">
        <v>12</v>
      </c>
      <c r="AB124" s="20">
        <v>37</v>
      </c>
      <c r="AC124" s="20">
        <v>7</v>
      </c>
      <c r="AD124" t="str">
        <f t="shared" si="15"/>
        <v>12377</v>
      </c>
      <c r="AE124">
        <f t="shared" si="16"/>
        <v>1</v>
      </c>
    </row>
    <row r="125" spans="1:31" x14ac:dyDescent="0.25">
      <c r="A125" t="s">
        <v>385</v>
      </c>
      <c r="B125" t="s">
        <v>384</v>
      </c>
      <c r="C125">
        <v>116206044</v>
      </c>
      <c r="D125" t="str">
        <f t="shared" si="10"/>
        <v>Gargoum, Nasiem A. Ragab-116206044</v>
      </c>
      <c r="E125">
        <v>76</v>
      </c>
      <c r="F125">
        <v>135</v>
      </c>
      <c r="G125">
        <v>8</v>
      </c>
      <c r="H125">
        <v>6</v>
      </c>
      <c r="I125" t="str">
        <f t="shared" si="11"/>
        <v>7613586</v>
      </c>
      <c r="J125">
        <f t="shared" si="12"/>
        <v>1</v>
      </c>
      <c r="K125">
        <v>135</v>
      </c>
      <c r="L125">
        <v>190</v>
      </c>
      <c r="M125">
        <v>110</v>
      </c>
      <c r="N125" t="s">
        <v>555</v>
      </c>
      <c r="O125" t="s">
        <v>553</v>
      </c>
      <c r="P125" t="s">
        <v>556</v>
      </c>
      <c r="Q125">
        <v>0.75</v>
      </c>
      <c r="R125">
        <v>0.8</v>
      </c>
      <c r="S125">
        <v>0.77</v>
      </c>
      <c r="T125">
        <v>245</v>
      </c>
      <c r="U125">
        <v>170</v>
      </c>
      <c r="V125">
        <v>220</v>
      </c>
      <c r="W125">
        <v>3</v>
      </c>
      <c r="X125">
        <v>15</v>
      </c>
      <c r="Y125" t="str">
        <f t="shared" si="13"/>
        <v>170220245150.770.80.75900,000500,000700,000110190135</v>
      </c>
      <c r="Z125">
        <f t="shared" si="14"/>
        <v>1</v>
      </c>
      <c r="AA125" s="20">
        <v>7</v>
      </c>
      <c r="AB125" s="20">
        <v>36</v>
      </c>
      <c r="AC125" s="20">
        <v>7</v>
      </c>
      <c r="AD125" t="str">
        <f t="shared" si="15"/>
        <v>7367</v>
      </c>
      <c r="AE125">
        <f t="shared" si="16"/>
        <v>1</v>
      </c>
    </row>
    <row r="126" spans="1:31" x14ac:dyDescent="0.25">
      <c r="A126" t="s">
        <v>129</v>
      </c>
      <c r="B126" t="s">
        <v>16</v>
      </c>
      <c r="C126">
        <v>114202019</v>
      </c>
      <c r="D126" t="str">
        <f t="shared" si="10"/>
        <v>Gedik, Emre-114202019</v>
      </c>
      <c r="E126">
        <v>77</v>
      </c>
      <c r="F126">
        <v>137</v>
      </c>
      <c r="G126">
        <v>6</v>
      </c>
      <c r="H126">
        <v>7</v>
      </c>
      <c r="I126" t="str">
        <f t="shared" si="11"/>
        <v>7713767</v>
      </c>
      <c r="J126">
        <f t="shared" si="12"/>
        <v>1</v>
      </c>
      <c r="K126">
        <v>100</v>
      </c>
      <c r="L126">
        <v>170</v>
      </c>
      <c r="M126">
        <v>125</v>
      </c>
      <c r="N126" t="s">
        <v>555</v>
      </c>
      <c r="O126" t="s">
        <v>556</v>
      </c>
      <c r="P126" t="s">
        <v>555</v>
      </c>
      <c r="Q126">
        <v>0.76</v>
      </c>
      <c r="R126">
        <v>0.71</v>
      </c>
      <c r="S126">
        <v>0.76</v>
      </c>
      <c r="T126">
        <v>265</v>
      </c>
      <c r="U126">
        <v>130</v>
      </c>
      <c r="V126">
        <v>230</v>
      </c>
      <c r="W126">
        <v>2</v>
      </c>
      <c r="X126">
        <v>10</v>
      </c>
      <c r="Y126" t="str">
        <f t="shared" si="13"/>
        <v>130230265100.760.710.76700,000900,000700,000125170100</v>
      </c>
      <c r="Z126">
        <f t="shared" si="14"/>
        <v>1</v>
      </c>
      <c r="AA126" s="20">
        <v>7</v>
      </c>
      <c r="AB126" s="20">
        <v>73</v>
      </c>
      <c r="AC126" s="20">
        <v>15</v>
      </c>
      <c r="AD126" t="str">
        <f t="shared" si="15"/>
        <v>77315</v>
      </c>
      <c r="AE126">
        <f t="shared" si="16"/>
        <v>1</v>
      </c>
    </row>
    <row r="127" spans="1:31" x14ac:dyDescent="0.25">
      <c r="A127" t="s">
        <v>130</v>
      </c>
      <c r="B127" t="s">
        <v>16</v>
      </c>
      <c r="C127">
        <v>115203021</v>
      </c>
      <c r="D127" t="str">
        <f t="shared" si="10"/>
        <v>Gelgeç, Emre-115203021</v>
      </c>
      <c r="E127">
        <v>90</v>
      </c>
      <c r="F127">
        <v>147</v>
      </c>
      <c r="G127">
        <v>8</v>
      </c>
      <c r="H127">
        <v>6</v>
      </c>
      <c r="I127" t="str">
        <f t="shared" si="11"/>
        <v>9014786</v>
      </c>
      <c r="J127">
        <f t="shared" si="12"/>
        <v>1</v>
      </c>
      <c r="K127">
        <v>135</v>
      </c>
      <c r="L127">
        <v>250</v>
      </c>
      <c r="M127">
        <v>150</v>
      </c>
      <c r="N127" t="s">
        <v>557</v>
      </c>
      <c r="O127" t="s">
        <v>557</v>
      </c>
      <c r="P127" t="s">
        <v>556</v>
      </c>
      <c r="Q127">
        <v>0.85</v>
      </c>
      <c r="R127">
        <v>0.78</v>
      </c>
      <c r="S127">
        <v>0.73</v>
      </c>
      <c r="T127">
        <v>205</v>
      </c>
      <c r="U127">
        <v>220</v>
      </c>
      <c r="V127">
        <v>275</v>
      </c>
      <c r="W127">
        <v>1</v>
      </c>
      <c r="X127">
        <v>8</v>
      </c>
      <c r="Y127" t="str">
        <f t="shared" si="13"/>
        <v>22027520580.730.780.85900,000600,000600,000150250135</v>
      </c>
      <c r="Z127">
        <f t="shared" si="14"/>
        <v>1</v>
      </c>
      <c r="AA127" s="20">
        <v>15</v>
      </c>
      <c r="AB127" s="20">
        <v>55</v>
      </c>
      <c r="AC127" s="20">
        <v>14</v>
      </c>
      <c r="AD127" t="str">
        <f t="shared" si="15"/>
        <v>155514</v>
      </c>
      <c r="AE127">
        <f t="shared" si="16"/>
        <v>1</v>
      </c>
    </row>
    <row r="128" spans="1:31" x14ac:dyDescent="0.25">
      <c r="A128" t="s">
        <v>387</v>
      </c>
      <c r="B128" t="s">
        <v>386</v>
      </c>
      <c r="C128">
        <v>115205071</v>
      </c>
      <c r="D128" t="str">
        <f t="shared" si="10"/>
        <v>Ghanem, Ahmad-115205071</v>
      </c>
      <c r="E128">
        <v>75</v>
      </c>
      <c r="F128">
        <v>117</v>
      </c>
      <c r="G128">
        <v>8</v>
      </c>
      <c r="H128">
        <v>5</v>
      </c>
      <c r="I128" t="str">
        <f t="shared" si="11"/>
        <v>7511785</v>
      </c>
      <c r="J128">
        <f t="shared" si="12"/>
        <v>1</v>
      </c>
      <c r="K128">
        <v>110</v>
      </c>
      <c r="L128">
        <v>210</v>
      </c>
      <c r="M128">
        <v>105</v>
      </c>
      <c r="N128" t="s">
        <v>555</v>
      </c>
      <c r="O128" t="s">
        <v>553</v>
      </c>
      <c r="P128" t="s">
        <v>557</v>
      </c>
      <c r="Q128">
        <v>0.76</v>
      </c>
      <c r="R128">
        <v>0.76</v>
      </c>
      <c r="S128">
        <v>0.77</v>
      </c>
      <c r="T128">
        <v>190</v>
      </c>
      <c r="U128">
        <v>180</v>
      </c>
      <c r="V128">
        <v>300</v>
      </c>
      <c r="W128">
        <v>1</v>
      </c>
      <c r="X128">
        <v>8</v>
      </c>
      <c r="Y128" t="str">
        <f t="shared" si="13"/>
        <v>18030019080.770.760.76600,000500,000700,000105210110</v>
      </c>
      <c r="Z128">
        <f t="shared" si="14"/>
        <v>1</v>
      </c>
      <c r="AA128" s="20">
        <v>14</v>
      </c>
      <c r="AB128" s="20">
        <v>74</v>
      </c>
      <c r="AC128" s="20">
        <v>13</v>
      </c>
      <c r="AD128" t="str">
        <f t="shared" si="15"/>
        <v>147413</v>
      </c>
      <c r="AE128">
        <f t="shared" si="16"/>
        <v>1</v>
      </c>
    </row>
    <row r="129" spans="1:31" x14ac:dyDescent="0.25">
      <c r="A129" t="s">
        <v>132</v>
      </c>
      <c r="B129" t="s">
        <v>131</v>
      </c>
      <c r="C129">
        <v>115202111</v>
      </c>
      <c r="D129" t="str">
        <f t="shared" si="10"/>
        <v>Göçer, Şafak-115202111</v>
      </c>
      <c r="E129">
        <v>81</v>
      </c>
      <c r="F129">
        <v>124</v>
      </c>
      <c r="G129">
        <v>8</v>
      </c>
      <c r="H129">
        <v>7</v>
      </c>
      <c r="I129" t="str">
        <f t="shared" si="11"/>
        <v>8112487</v>
      </c>
      <c r="J129">
        <f t="shared" si="12"/>
        <v>1</v>
      </c>
      <c r="K129">
        <v>150</v>
      </c>
      <c r="L129">
        <v>150</v>
      </c>
      <c r="M129">
        <v>135</v>
      </c>
      <c r="N129" t="s">
        <v>555</v>
      </c>
      <c r="O129" t="s">
        <v>556</v>
      </c>
      <c r="P129" t="s">
        <v>553</v>
      </c>
      <c r="Q129">
        <v>0.76</v>
      </c>
      <c r="R129">
        <v>0.71</v>
      </c>
      <c r="S129">
        <v>0.75</v>
      </c>
      <c r="T129">
        <v>265</v>
      </c>
      <c r="U129">
        <v>110</v>
      </c>
      <c r="V129">
        <v>185</v>
      </c>
      <c r="W129">
        <v>2</v>
      </c>
      <c r="X129">
        <v>10</v>
      </c>
      <c r="Y129" t="str">
        <f t="shared" si="13"/>
        <v>110185265100.750.710.76500,000900,000700,000135150150</v>
      </c>
      <c r="Z129">
        <f t="shared" si="14"/>
        <v>1</v>
      </c>
      <c r="AA129" s="20">
        <v>14</v>
      </c>
      <c r="AB129" s="20">
        <v>83</v>
      </c>
      <c r="AC129" s="20">
        <v>20</v>
      </c>
      <c r="AD129" t="str">
        <f t="shared" si="15"/>
        <v>148320</v>
      </c>
      <c r="AE129">
        <f t="shared" si="16"/>
        <v>1</v>
      </c>
    </row>
    <row r="130" spans="1:31" x14ac:dyDescent="0.25">
      <c r="A130" t="s">
        <v>133</v>
      </c>
      <c r="B130" t="s">
        <v>65</v>
      </c>
      <c r="C130">
        <v>114202017</v>
      </c>
      <c r="D130" t="str">
        <f t="shared" si="10"/>
        <v>Gökbaşı, Onur-114202017</v>
      </c>
      <c r="E130">
        <v>83</v>
      </c>
      <c r="F130">
        <v>144</v>
      </c>
      <c r="G130">
        <v>5</v>
      </c>
      <c r="H130">
        <v>5</v>
      </c>
      <c r="I130" t="str">
        <f t="shared" si="11"/>
        <v>8314455</v>
      </c>
      <c r="J130">
        <f t="shared" si="12"/>
        <v>1</v>
      </c>
      <c r="K130">
        <v>100</v>
      </c>
      <c r="L130">
        <v>185</v>
      </c>
      <c r="M130">
        <v>135</v>
      </c>
      <c r="N130" t="s">
        <v>555</v>
      </c>
      <c r="O130" t="s">
        <v>554</v>
      </c>
      <c r="P130" t="s">
        <v>553</v>
      </c>
      <c r="Q130">
        <v>0.72</v>
      </c>
      <c r="R130">
        <v>0.76</v>
      </c>
      <c r="S130">
        <v>0.72</v>
      </c>
      <c r="T130">
        <v>235</v>
      </c>
      <c r="U130">
        <v>145</v>
      </c>
      <c r="V130">
        <v>260</v>
      </c>
      <c r="W130">
        <v>3</v>
      </c>
      <c r="X130">
        <v>15</v>
      </c>
      <c r="Y130" t="str">
        <f t="shared" si="13"/>
        <v>145260235150.720.760.72500,000800,000700,000135185100</v>
      </c>
      <c r="Z130">
        <f t="shared" si="14"/>
        <v>1</v>
      </c>
      <c r="AA130" s="20">
        <v>9</v>
      </c>
      <c r="AB130" s="20">
        <v>56</v>
      </c>
      <c r="AC130" s="20">
        <v>9</v>
      </c>
      <c r="AD130" t="str">
        <f t="shared" si="15"/>
        <v>9569</v>
      </c>
      <c r="AE130">
        <f t="shared" si="16"/>
        <v>1</v>
      </c>
    </row>
    <row r="131" spans="1:31" x14ac:dyDescent="0.25">
      <c r="A131" t="s">
        <v>389</v>
      </c>
      <c r="B131" t="s">
        <v>388</v>
      </c>
      <c r="C131">
        <v>115203055</v>
      </c>
      <c r="D131" t="str">
        <f t="shared" si="10"/>
        <v>Gölcü, Halis-115203055</v>
      </c>
      <c r="E131">
        <v>78</v>
      </c>
      <c r="F131">
        <v>111</v>
      </c>
      <c r="G131">
        <v>5</v>
      </c>
      <c r="H131">
        <v>6</v>
      </c>
      <c r="I131" t="str">
        <f t="shared" si="11"/>
        <v>7811156</v>
      </c>
      <c r="J131">
        <f t="shared" si="12"/>
        <v>1</v>
      </c>
      <c r="K131">
        <v>130</v>
      </c>
      <c r="L131">
        <v>220</v>
      </c>
      <c r="M131">
        <v>150</v>
      </c>
      <c r="N131" t="s">
        <v>557</v>
      </c>
      <c r="O131" t="s">
        <v>557</v>
      </c>
      <c r="P131" t="s">
        <v>555</v>
      </c>
      <c r="Q131">
        <v>0.84</v>
      </c>
      <c r="R131">
        <v>0.78</v>
      </c>
      <c r="S131">
        <v>0.85</v>
      </c>
      <c r="T131">
        <v>205</v>
      </c>
      <c r="U131">
        <v>190</v>
      </c>
      <c r="V131">
        <v>265</v>
      </c>
      <c r="W131">
        <v>3</v>
      </c>
      <c r="X131">
        <v>15</v>
      </c>
      <c r="Y131" t="str">
        <f t="shared" si="13"/>
        <v>190265205150.850.780.84700,000600,000600,000150220130</v>
      </c>
      <c r="Z131">
        <f t="shared" si="14"/>
        <v>1</v>
      </c>
      <c r="AA131" s="20">
        <v>12</v>
      </c>
      <c r="AB131" s="20">
        <v>81</v>
      </c>
      <c r="AC131" s="20">
        <v>8</v>
      </c>
      <c r="AD131" t="str">
        <f t="shared" si="15"/>
        <v>12818</v>
      </c>
      <c r="AE131">
        <f t="shared" si="16"/>
        <v>1</v>
      </c>
    </row>
    <row r="132" spans="1:31" x14ac:dyDescent="0.25">
      <c r="A132" t="s">
        <v>135</v>
      </c>
      <c r="B132" t="s">
        <v>134</v>
      </c>
      <c r="C132">
        <v>117203087</v>
      </c>
      <c r="D132" t="str">
        <f t="shared" ref="D132:D195" si="17">A132&amp;", "&amp;B132&amp;"-"&amp;C132</f>
        <v>Göncü, Helin-117203087</v>
      </c>
      <c r="E132">
        <v>73</v>
      </c>
      <c r="F132">
        <v>130</v>
      </c>
      <c r="G132">
        <v>7</v>
      </c>
      <c r="H132">
        <v>5</v>
      </c>
      <c r="I132" t="str">
        <f t="shared" si="11"/>
        <v>7313075</v>
      </c>
      <c r="J132">
        <f t="shared" si="12"/>
        <v>1</v>
      </c>
      <c r="K132">
        <v>135</v>
      </c>
      <c r="L132">
        <v>235</v>
      </c>
      <c r="M132">
        <v>115</v>
      </c>
      <c r="N132" t="s">
        <v>556</v>
      </c>
      <c r="O132" t="s">
        <v>554</v>
      </c>
      <c r="P132" t="s">
        <v>556</v>
      </c>
      <c r="Q132">
        <v>0.76</v>
      </c>
      <c r="R132">
        <v>0.76</v>
      </c>
      <c r="S132">
        <v>0.72</v>
      </c>
      <c r="T132">
        <v>250</v>
      </c>
      <c r="U132">
        <v>195</v>
      </c>
      <c r="V132">
        <v>295</v>
      </c>
      <c r="W132">
        <v>1</v>
      </c>
      <c r="X132">
        <v>8</v>
      </c>
      <c r="Y132" t="str">
        <f t="shared" si="13"/>
        <v>19529525080.720.760.76900,000800,000900,000115235135</v>
      </c>
      <c r="Z132">
        <f t="shared" si="14"/>
        <v>1</v>
      </c>
      <c r="AA132" s="20">
        <v>15</v>
      </c>
      <c r="AB132" s="20">
        <v>37</v>
      </c>
      <c r="AC132" s="20">
        <v>22</v>
      </c>
      <c r="AD132" t="str">
        <f t="shared" si="15"/>
        <v>153722</v>
      </c>
      <c r="AE132">
        <f t="shared" si="16"/>
        <v>1</v>
      </c>
    </row>
    <row r="133" spans="1:31" x14ac:dyDescent="0.25">
      <c r="A133" t="s">
        <v>390</v>
      </c>
      <c r="B133" t="s">
        <v>74</v>
      </c>
      <c r="C133">
        <v>112204003</v>
      </c>
      <c r="D133" t="str">
        <f t="shared" si="17"/>
        <v>Gözen, Özgür-112204003</v>
      </c>
      <c r="E133">
        <v>85</v>
      </c>
      <c r="F133">
        <v>145</v>
      </c>
      <c r="G133">
        <v>8</v>
      </c>
      <c r="H133">
        <v>7</v>
      </c>
      <c r="I133" t="str">
        <f t="shared" ref="I133:I196" si="18">E133&amp;F133&amp;G133&amp;H133</f>
        <v>8514587</v>
      </c>
      <c r="J133">
        <f t="shared" ref="J133:J196" si="19">COUNTIF($I$4:$I$317,I133)</f>
        <v>1</v>
      </c>
      <c r="K133">
        <v>120</v>
      </c>
      <c r="L133">
        <v>250</v>
      </c>
      <c r="M133">
        <v>140</v>
      </c>
      <c r="N133" t="s">
        <v>555</v>
      </c>
      <c r="O133" t="s">
        <v>553</v>
      </c>
      <c r="P133" t="s">
        <v>556</v>
      </c>
      <c r="Q133">
        <v>0.74</v>
      </c>
      <c r="R133">
        <v>0.75</v>
      </c>
      <c r="S133">
        <v>0.73</v>
      </c>
      <c r="T133">
        <v>280</v>
      </c>
      <c r="U133">
        <v>220</v>
      </c>
      <c r="V133">
        <v>295</v>
      </c>
      <c r="W133">
        <v>1</v>
      </c>
      <c r="X133">
        <v>8</v>
      </c>
      <c r="Y133" t="str">
        <f t="shared" ref="Y133:Y196" si="20">U133&amp;V133&amp;T133&amp;X133&amp;S133&amp;R133&amp;Q133&amp;P133&amp;O133&amp;N133&amp;M133&amp;L133&amp;K133</f>
        <v>22029528080.730.750.74900,000500,000700,000140250120</v>
      </c>
      <c r="Z133">
        <f t="shared" ref="Z133:Z196" si="21">COUNTIF($Y$4:$Y$317,Y133)</f>
        <v>1</v>
      </c>
      <c r="AA133" s="20">
        <v>11</v>
      </c>
      <c r="AB133" s="20">
        <v>81</v>
      </c>
      <c r="AC133" s="20">
        <v>10</v>
      </c>
      <c r="AD133" t="str">
        <f t="shared" ref="AD133:AD196" si="22">AA133&amp;AB133&amp;AC133</f>
        <v>118110</v>
      </c>
      <c r="AE133">
        <f t="shared" ref="AE133:AE196" si="23">COUNTIF($AD$4:$AD$317,AD133)</f>
        <v>1</v>
      </c>
    </row>
    <row r="134" spans="1:31" x14ac:dyDescent="0.25">
      <c r="A134" t="s">
        <v>392</v>
      </c>
      <c r="B134" t="s">
        <v>391</v>
      </c>
      <c r="C134">
        <v>116206152</v>
      </c>
      <c r="D134" t="str">
        <f t="shared" si="17"/>
        <v>Gujbawu, Abdulrahman Baba-116206152</v>
      </c>
      <c r="E134">
        <v>72</v>
      </c>
      <c r="F134">
        <v>116</v>
      </c>
      <c r="G134">
        <v>9</v>
      </c>
      <c r="H134">
        <v>9</v>
      </c>
      <c r="I134" t="str">
        <f t="shared" si="18"/>
        <v>7211699</v>
      </c>
      <c r="J134">
        <f t="shared" si="19"/>
        <v>1</v>
      </c>
      <c r="K134">
        <v>130</v>
      </c>
      <c r="L134">
        <v>215</v>
      </c>
      <c r="M134">
        <v>115</v>
      </c>
      <c r="N134" t="s">
        <v>554</v>
      </c>
      <c r="O134" t="s">
        <v>554</v>
      </c>
      <c r="P134" t="s">
        <v>554</v>
      </c>
      <c r="Q134">
        <v>0.8</v>
      </c>
      <c r="R134">
        <v>0.78</v>
      </c>
      <c r="S134">
        <v>0.72</v>
      </c>
      <c r="T134">
        <v>260</v>
      </c>
      <c r="U134">
        <v>180</v>
      </c>
      <c r="V134">
        <v>300</v>
      </c>
      <c r="W134">
        <v>1</v>
      </c>
      <c r="X134">
        <v>8</v>
      </c>
      <c r="Y134" t="str">
        <f t="shared" si="20"/>
        <v>18030026080.720.780.8800,000800,000800,000115215130</v>
      </c>
      <c r="Z134">
        <f t="shared" si="21"/>
        <v>1</v>
      </c>
      <c r="AA134" s="20">
        <v>6</v>
      </c>
      <c r="AB134" s="20">
        <v>41</v>
      </c>
      <c r="AC134" s="20">
        <v>9</v>
      </c>
      <c r="AD134" t="str">
        <f t="shared" si="22"/>
        <v>6419</v>
      </c>
      <c r="AE134">
        <f t="shared" si="23"/>
        <v>1</v>
      </c>
    </row>
    <row r="135" spans="1:31" x14ac:dyDescent="0.25">
      <c r="A135" t="s">
        <v>137</v>
      </c>
      <c r="B135" t="s">
        <v>393</v>
      </c>
      <c r="C135">
        <v>115200085</v>
      </c>
      <c r="D135" t="str">
        <f t="shared" si="17"/>
        <v>Gül, Hanifi Enes-115200085</v>
      </c>
      <c r="E135">
        <v>75</v>
      </c>
      <c r="F135">
        <v>101</v>
      </c>
      <c r="G135">
        <v>9</v>
      </c>
      <c r="H135">
        <v>8</v>
      </c>
      <c r="I135" t="str">
        <f t="shared" si="18"/>
        <v>7510198</v>
      </c>
      <c r="J135">
        <f t="shared" si="19"/>
        <v>1</v>
      </c>
      <c r="K135">
        <v>115</v>
      </c>
      <c r="L135">
        <v>175</v>
      </c>
      <c r="M135">
        <v>150</v>
      </c>
      <c r="N135" t="s">
        <v>554</v>
      </c>
      <c r="O135" t="s">
        <v>557</v>
      </c>
      <c r="P135" t="s">
        <v>557</v>
      </c>
      <c r="Q135">
        <v>0.78</v>
      </c>
      <c r="R135">
        <v>0.82</v>
      </c>
      <c r="S135">
        <v>0.78</v>
      </c>
      <c r="T135">
        <v>175</v>
      </c>
      <c r="U135">
        <v>150</v>
      </c>
      <c r="V135">
        <v>245</v>
      </c>
      <c r="W135">
        <v>2</v>
      </c>
      <c r="X135">
        <v>10</v>
      </c>
      <c r="Y135" t="str">
        <f t="shared" si="20"/>
        <v>150245175100.780.820.78600,000600,000800,000150175115</v>
      </c>
      <c r="Z135">
        <f t="shared" si="21"/>
        <v>1</v>
      </c>
      <c r="AA135" s="20">
        <v>7</v>
      </c>
      <c r="AB135" s="20">
        <v>56</v>
      </c>
      <c r="AC135" s="20">
        <v>23</v>
      </c>
      <c r="AD135" t="str">
        <f t="shared" si="22"/>
        <v>75623</v>
      </c>
      <c r="AE135">
        <f t="shared" si="23"/>
        <v>1</v>
      </c>
    </row>
    <row r="136" spans="1:31" x14ac:dyDescent="0.25">
      <c r="A136" t="s">
        <v>137</v>
      </c>
      <c r="B136" t="s">
        <v>91</v>
      </c>
      <c r="C136">
        <v>116203078</v>
      </c>
      <c r="D136" t="str">
        <f t="shared" si="17"/>
        <v>Gül, Şebnem-116203078</v>
      </c>
      <c r="E136">
        <v>89</v>
      </c>
      <c r="F136">
        <v>114</v>
      </c>
      <c r="G136">
        <v>8</v>
      </c>
      <c r="H136">
        <v>6</v>
      </c>
      <c r="I136" t="str">
        <f t="shared" si="18"/>
        <v>8911486</v>
      </c>
      <c r="J136">
        <f t="shared" si="19"/>
        <v>1</v>
      </c>
      <c r="K136">
        <v>105</v>
      </c>
      <c r="L136">
        <v>225</v>
      </c>
      <c r="M136">
        <v>100</v>
      </c>
      <c r="N136" t="s">
        <v>555</v>
      </c>
      <c r="O136" t="s">
        <v>555</v>
      </c>
      <c r="P136" t="s">
        <v>553</v>
      </c>
      <c r="Q136">
        <v>0.71</v>
      </c>
      <c r="R136">
        <v>0.75</v>
      </c>
      <c r="S136">
        <v>0.77</v>
      </c>
      <c r="T136">
        <v>185</v>
      </c>
      <c r="U136">
        <v>190</v>
      </c>
      <c r="V136">
        <v>245</v>
      </c>
      <c r="W136">
        <v>2</v>
      </c>
      <c r="X136">
        <v>10</v>
      </c>
      <c r="Y136" t="str">
        <f t="shared" si="20"/>
        <v>190245185100.770.750.71500,000700,000700,000100225105</v>
      </c>
      <c r="Z136">
        <f t="shared" si="21"/>
        <v>1</v>
      </c>
      <c r="AA136" s="20">
        <v>9</v>
      </c>
      <c r="AB136" s="20">
        <v>65</v>
      </c>
      <c r="AC136" s="20">
        <v>7</v>
      </c>
      <c r="AD136" t="str">
        <f t="shared" si="22"/>
        <v>9657</v>
      </c>
      <c r="AE136">
        <f t="shared" si="23"/>
        <v>1</v>
      </c>
    </row>
    <row r="137" spans="1:31" x14ac:dyDescent="0.25">
      <c r="A137" t="s">
        <v>137</v>
      </c>
      <c r="B137" t="s">
        <v>136</v>
      </c>
      <c r="C137">
        <v>114206019</v>
      </c>
      <c r="D137" t="str">
        <f t="shared" si="17"/>
        <v>Gül, Yavuz Osman-114206019</v>
      </c>
      <c r="E137">
        <v>86</v>
      </c>
      <c r="F137">
        <v>140</v>
      </c>
      <c r="G137">
        <v>7</v>
      </c>
      <c r="H137">
        <v>6</v>
      </c>
      <c r="I137" t="str">
        <f t="shared" si="18"/>
        <v>8614076</v>
      </c>
      <c r="J137">
        <f t="shared" si="19"/>
        <v>1</v>
      </c>
      <c r="K137">
        <v>150</v>
      </c>
      <c r="L137">
        <v>245</v>
      </c>
      <c r="M137">
        <v>110</v>
      </c>
      <c r="N137" t="s">
        <v>555</v>
      </c>
      <c r="O137" t="s">
        <v>554</v>
      </c>
      <c r="P137" t="s">
        <v>555</v>
      </c>
      <c r="Q137">
        <v>0.82</v>
      </c>
      <c r="R137">
        <v>0.76</v>
      </c>
      <c r="S137">
        <v>0.79</v>
      </c>
      <c r="T137">
        <v>210</v>
      </c>
      <c r="U137">
        <v>225</v>
      </c>
      <c r="V137">
        <v>220</v>
      </c>
      <c r="W137">
        <v>3</v>
      </c>
      <c r="X137">
        <v>15</v>
      </c>
      <c r="Y137" t="str">
        <f t="shared" si="20"/>
        <v>225220210150.790.760.82700,000800,000700,000110245150</v>
      </c>
      <c r="Z137">
        <f t="shared" si="21"/>
        <v>1</v>
      </c>
      <c r="AA137" s="20">
        <v>14</v>
      </c>
      <c r="AB137" s="20">
        <v>45</v>
      </c>
      <c r="AC137" s="20">
        <v>20</v>
      </c>
      <c r="AD137" t="str">
        <f t="shared" si="22"/>
        <v>144520</v>
      </c>
      <c r="AE137">
        <f t="shared" si="23"/>
        <v>1</v>
      </c>
    </row>
    <row r="138" spans="1:31" x14ac:dyDescent="0.25">
      <c r="A138" t="s">
        <v>395</v>
      </c>
      <c r="B138" t="s">
        <v>394</v>
      </c>
      <c r="C138">
        <v>115203076</v>
      </c>
      <c r="D138" t="str">
        <f t="shared" si="17"/>
        <v>Gülcan, Yiğit Aliosman-115203076</v>
      </c>
      <c r="E138">
        <v>84</v>
      </c>
      <c r="F138">
        <v>125</v>
      </c>
      <c r="G138">
        <v>8</v>
      </c>
      <c r="H138">
        <v>6</v>
      </c>
      <c r="I138" t="str">
        <f t="shared" si="18"/>
        <v>8412586</v>
      </c>
      <c r="J138">
        <f t="shared" si="19"/>
        <v>1</v>
      </c>
      <c r="K138">
        <v>125</v>
      </c>
      <c r="L138">
        <v>180</v>
      </c>
      <c r="M138">
        <v>140</v>
      </c>
      <c r="N138" t="s">
        <v>555</v>
      </c>
      <c r="O138" t="s">
        <v>557</v>
      </c>
      <c r="P138" t="s">
        <v>554</v>
      </c>
      <c r="Q138">
        <v>0.74</v>
      </c>
      <c r="R138">
        <v>0.79</v>
      </c>
      <c r="S138">
        <v>0.72</v>
      </c>
      <c r="T138">
        <v>255</v>
      </c>
      <c r="U138">
        <v>155</v>
      </c>
      <c r="V138">
        <v>255</v>
      </c>
      <c r="W138">
        <v>3</v>
      </c>
      <c r="X138">
        <v>15</v>
      </c>
      <c r="Y138" t="str">
        <f t="shared" si="20"/>
        <v>155255255150.720.790.74800,000600,000700,000140180125</v>
      </c>
      <c r="Z138">
        <f t="shared" si="21"/>
        <v>1</v>
      </c>
      <c r="AA138" s="20">
        <v>9</v>
      </c>
      <c r="AB138" s="20">
        <v>56</v>
      </c>
      <c r="AC138" s="20">
        <v>16</v>
      </c>
      <c r="AD138" t="str">
        <f t="shared" si="22"/>
        <v>95616</v>
      </c>
      <c r="AE138">
        <f t="shared" si="23"/>
        <v>1</v>
      </c>
    </row>
    <row r="139" spans="1:31" x14ac:dyDescent="0.25">
      <c r="A139" t="s">
        <v>139</v>
      </c>
      <c r="B139" t="s">
        <v>138</v>
      </c>
      <c r="C139">
        <v>113203019</v>
      </c>
      <c r="D139" t="str">
        <f t="shared" si="17"/>
        <v>Güldoğan, Tuğman Turgut-113203019</v>
      </c>
      <c r="E139">
        <v>73</v>
      </c>
      <c r="F139">
        <v>148</v>
      </c>
      <c r="G139">
        <v>8</v>
      </c>
      <c r="H139">
        <v>6</v>
      </c>
      <c r="I139" t="str">
        <f t="shared" si="18"/>
        <v>7314886</v>
      </c>
      <c r="J139">
        <f t="shared" si="19"/>
        <v>1</v>
      </c>
      <c r="K139">
        <v>150</v>
      </c>
      <c r="L139">
        <v>205</v>
      </c>
      <c r="M139">
        <v>145</v>
      </c>
      <c r="N139" t="s">
        <v>557</v>
      </c>
      <c r="O139" t="s">
        <v>555</v>
      </c>
      <c r="P139" t="s">
        <v>554</v>
      </c>
      <c r="Q139">
        <v>0.74</v>
      </c>
      <c r="R139">
        <v>0.74</v>
      </c>
      <c r="S139">
        <v>0.74</v>
      </c>
      <c r="T139">
        <v>200</v>
      </c>
      <c r="U139">
        <v>185</v>
      </c>
      <c r="V139">
        <v>275</v>
      </c>
      <c r="W139">
        <v>1</v>
      </c>
      <c r="X139">
        <v>8</v>
      </c>
      <c r="Y139" t="str">
        <f t="shared" si="20"/>
        <v>18527520080.740.740.74800,000700,000600,000145205150</v>
      </c>
      <c r="Z139">
        <f t="shared" si="21"/>
        <v>1</v>
      </c>
      <c r="AA139" s="20">
        <v>9</v>
      </c>
      <c r="AB139" s="20">
        <v>56</v>
      </c>
      <c r="AC139" s="20">
        <v>12</v>
      </c>
      <c r="AD139" t="str">
        <f t="shared" si="22"/>
        <v>95612</v>
      </c>
      <c r="AE139">
        <f t="shared" si="23"/>
        <v>1</v>
      </c>
    </row>
    <row r="140" spans="1:31" x14ac:dyDescent="0.25">
      <c r="A140" t="s">
        <v>140</v>
      </c>
      <c r="B140" t="s">
        <v>20</v>
      </c>
      <c r="C140">
        <v>114204032</v>
      </c>
      <c r="D140" t="str">
        <f t="shared" si="17"/>
        <v>Gülen, Berk-114204032</v>
      </c>
      <c r="E140">
        <v>80</v>
      </c>
      <c r="F140">
        <v>139</v>
      </c>
      <c r="G140">
        <v>6</v>
      </c>
      <c r="H140">
        <v>8</v>
      </c>
      <c r="I140" t="str">
        <f t="shared" si="18"/>
        <v>8013968</v>
      </c>
      <c r="J140">
        <f t="shared" si="19"/>
        <v>1</v>
      </c>
      <c r="K140">
        <v>130</v>
      </c>
      <c r="L140">
        <v>200</v>
      </c>
      <c r="M140">
        <v>105</v>
      </c>
      <c r="N140" t="s">
        <v>556</v>
      </c>
      <c r="O140" t="s">
        <v>557</v>
      </c>
      <c r="P140" t="s">
        <v>554</v>
      </c>
      <c r="Q140">
        <v>0.73</v>
      </c>
      <c r="R140">
        <v>0.75</v>
      </c>
      <c r="S140">
        <v>0.71</v>
      </c>
      <c r="T140">
        <v>205</v>
      </c>
      <c r="U140">
        <v>180</v>
      </c>
      <c r="V140">
        <v>240</v>
      </c>
      <c r="W140">
        <v>1</v>
      </c>
      <c r="X140">
        <v>8</v>
      </c>
      <c r="Y140" t="str">
        <f t="shared" si="20"/>
        <v>18024020580.710.750.73800,000600,000900,000105200130</v>
      </c>
      <c r="Z140">
        <f t="shared" si="21"/>
        <v>1</v>
      </c>
      <c r="AA140" s="20">
        <v>9</v>
      </c>
      <c r="AB140" s="20">
        <v>87</v>
      </c>
      <c r="AC140" s="20">
        <v>10</v>
      </c>
      <c r="AD140" t="str">
        <f t="shared" si="22"/>
        <v>98710</v>
      </c>
      <c r="AE140">
        <f t="shared" si="23"/>
        <v>1</v>
      </c>
    </row>
    <row r="141" spans="1:31" x14ac:dyDescent="0.25">
      <c r="A141" t="s">
        <v>397</v>
      </c>
      <c r="B141" t="s">
        <v>396</v>
      </c>
      <c r="C141">
        <v>115200065</v>
      </c>
      <c r="D141" t="str">
        <f t="shared" si="17"/>
        <v>Gürel, Alaeddin Selçuk-115200065</v>
      </c>
      <c r="E141">
        <v>83</v>
      </c>
      <c r="F141">
        <v>124</v>
      </c>
      <c r="G141">
        <v>6</v>
      </c>
      <c r="H141">
        <v>5</v>
      </c>
      <c r="I141" t="str">
        <f t="shared" si="18"/>
        <v>8312465</v>
      </c>
      <c r="J141">
        <f t="shared" si="19"/>
        <v>1</v>
      </c>
      <c r="K141">
        <v>140</v>
      </c>
      <c r="L141">
        <v>225</v>
      </c>
      <c r="M141">
        <v>120</v>
      </c>
      <c r="N141" t="s">
        <v>555</v>
      </c>
      <c r="O141" t="s">
        <v>556</v>
      </c>
      <c r="P141" t="s">
        <v>557</v>
      </c>
      <c r="Q141">
        <v>0.73</v>
      </c>
      <c r="R141">
        <v>0.77</v>
      </c>
      <c r="S141">
        <v>0.81</v>
      </c>
      <c r="T141">
        <v>245</v>
      </c>
      <c r="U141">
        <v>205</v>
      </c>
      <c r="V141">
        <v>205</v>
      </c>
      <c r="W141">
        <v>1</v>
      </c>
      <c r="X141">
        <v>8</v>
      </c>
      <c r="Y141" t="str">
        <f t="shared" si="20"/>
        <v>20520524580.810.770.73600,000900,000700,000120225140</v>
      </c>
      <c r="Z141">
        <f t="shared" si="21"/>
        <v>1</v>
      </c>
      <c r="AA141" s="20">
        <v>7</v>
      </c>
      <c r="AB141" s="20">
        <v>38</v>
      </c>
      <c r="AC141" s="20">
        <v>13</v>
      </c>
      <c r="AD141" t="str">
        <f t="shared" si="22"/>
        <v>73813</v>
      </c>
      <c r="AE141">
        <f t="shared" si="23"/>
        <v>1</v>
      </c>
    </row>
    <row r="142" spans="1:31" x14ac:dyDescent="0.25">
      <c r="A142" t="s">
        <v>399</v>
      </c>
      <c r="B142" t="s">
        <v>398</v>
      </c>
      <c r="C142">
        <v>115207039</v>
      </c>
      <c r="D142" t="str">
        <f t="shared" si="17"/>
        <v>Güven, Demirhan Şerif-115207039</v>
      </c>
      <c r="E142">
        <v>83</v>
      </c>
      <c r="F142">
        <v>120</v>
      </c>
      <c r="G142">
        <v>7</v>
      </c>
      <c r="H142">
        <v>6</v>
      </c>
      <c r="I142" t="str">
        <f t="shared" si="18"/>
        <v>8312076</v>
      </c>
      <c r="J142">
        <f t="shared" si="19"/>
        <v>1</v>
      </c>
      <c r="K142">
        <v>120</v>
      </c>
      <c r="L142">
        <v>205</v>
      </c>
      <c r="M142">
        <v>135</v>
      </c>
      <c r="N142" t="s">
        <v>555</v>
      </c>
      <c r="O142" t="s">
        <v>556</v>
      </c>
      <c r="P142" t="s">
        <v>557</v>
      </c>
      <c r="Q142">
        <v>0.79</v>
      </c>
      <c r="R142">
        <v>0.84</v>
      </c>
      <c r="S142">
        <v>0.85</v>
      </c>
      <c r="T142">
        <v>190</v>
      </c>
      <c r="U142">
        <v>170</v>
      </c>
      <c r="V142">
        <v>300</v>
      </c>
      <c r="W142">
        <v>1</v>
      </c>
      <c r="X142">
        <v>8</v>
      </c>
      <c r="Y142" t="str">
        <f t="shared" si="20"/>
        <v>17030019080.850.840.79600,000900,000700,000135205120</v>
      </c>
      <c r="Z142">
        <f t="shared" si="21"/>
        <v>1</v>
      </c>
      <c r="AA142" s="20">
        <v>11</v>
      </c>
      <c r="AB142" s="20">
        <v>58</v>
      </c>
      <c r="AC142" s="20">
        <v>24</v>
      </c>
      <c r="AD142" t="str">
        <f t="shared" si="22"/>
        <v>115824</v>
      </c>
      <c r="AE142">
        <f t="shared" si="23"/>
        <v>1</v>
      </c>
    </row>
    <row r="143" spans="1:31" x14ac:dyDescent="0.25">
      <c r="A143" t="s">
        <v>401</v>
      </c>
      <c r="B143" t="s">
        <v>400</v>
      </c>
      <c r="C143">
        <v>114201057</v>
      </c>
      <c r="D143" t="str">
        <f t="shared" si="17"/>
        <v>Hacılar, Nesli-114201057</v>
      </c>
      <c r="E143">
        <v>75</v>
      </c>
      <c r="F143">
        <v>134</v>
      </c>
      <c r="G143">
        <v>7</v>
      </c>
      <c r="H143">
        <v>6</v>
      </c>
      <c r="I143" t="str">
        <f t="shared" si="18"/>
        <v>7513476</v>
      </c>
      <c r="J143">
        <f t="shared" si="19"/>
        <v>1</v>
      </c>
      <c r="K143">
        <v>105</v>
      </c>
      <c r="L143">
        <v>210</v>
      </c>
      <c r="M143">
        <v>135</v>
      </c>
      <c r="N143" t="s">
        <v>555</v>
      </c>
      <c r="O143" t="s">
        <v>556</v>
      </c>
      <c r="P143" t="s">
        <v>556</v>
      </c>
      <c r="Q143">
        <v>0.74</v>
      </c>
      <c r="R143">
        <v>0.83</v>
      </c>
      <c r="S143">
        <v>0.84</v>
      </c>
      <c r="T143">
        <v>235</v>
      </c>
      <c r="U143">
        <v>185</v>
      </c>
      <c r="V143">
        <v>245</v>
      </c>
      <c r="W143">
        <v>1</v>
      </c>
      <c r="X143">
        <v>8</v>
      </c>
      <c r="Y143" t="str">
        <f t="shared" si="20"/>
        <v>18524523580.840.830.74900,000900,000700,000135210105</v>
      </c>
      <c r="Z143">
        <f t="shared" si="21"/>
        <v>1</v>
      </c>
      <c r="AA143" s="20">
        <v>6</v>
      </c>
      <c r="AB143" s="20">
        <v>70</v>
      </c>
      <c r="AC143" s="20">
        <v>17</v>
      </c>
      <c r="AD143" t="str">
        <f t="shared" si="22"/>
        <v>67017</v>
      </c>
      <c r="AE143">
        <f t="shared" si="23"/>
        <v>1</v>
      </c>
    </row>
    <row r="144" spans="1:31" x14ac:dyDescent="0.25">
      <c r="A144" t="s">
        <v>142</v>
      </c>
      <c r="B144" t="s">
        <v>141</v>
      </c>
      <c r="C144">
        <v>115201078</v>
      </c>
      <c r="D144" t="str">
        <f t="shared" si="17"/>
        <v>Hajjar, Haya-115201078</v>
      </c>
      <c r="E144">
        <v>75</v>
      </c>
      <c r="F144">
        <v>128</v>
      </c>
      <c r="G144">
        <v>5</v>
      </c>
      <c r="H144">
        <v>7</v>
      </c>
      <c r="I144" t="str">
        <f t="shared" si="18"/>
        <v>7512857</v>
      </c>
      <c r="J144">
        <f t="shared" si="19"/>
        <v>1</v>
      </c>
      <c r="K144">
        <v>145</v>
      </c>
      <c r="L144">
        <v>200</v>
      </c>
      <c r="M144">
        <v>120</v>
      </c>
      <c r="N144" t="s">
        <v>555</v>
      </c>
      <c r="O144" t="s">
        <v>553</v>
      </c>
      <c r="P144" t="s">
        <v>556</v>
      </c>
      <c r="Q144">
        <v>0.8</v>
      </c>
      <c r="R144">
        <v>0.81</v>
      </c>
      <c r="S144">
        <v>0.75</v>
      </c>
      <c r="T144">
        <v>245</v>
      </c>
      <c r="U144">
        <v>165</v>
      </c>
      <c r="V144">
        <v>240</v>
      </c>
      <c r="W144">
        <v>2</v>
      </c>
      <c r="X144">
        <v>10</v>
      </c>
      <c r="Y144" t="str">
        <f t="shared" si="20"/>
        <v>165240245100.750.810.8900,000500,000700,000120200145</v>
      </c>
      <c r="Z144">
        <f t="shared" si="21"/>
        <v>1</v>
      </c>
      <c r="AA144" s="20">
        <v>9</v>
      </c>
      <c r="AB144" s="20">
        <v>61</v>
      </c>
      <c r="AC144" s="20">
        <v>23</v>
      </c>
      <c r="AD144" t="str">
        <f t="shared" si="22"/>
        <v>96123</v>
      </c>
      <c r="AE144">
        <f t="shared" si="23"/>
        <v>1</v>
      </c>
    </row>
    <row r="145" spans="1:31" x14ac:dyDescent="0.25">
      <c r="A145" t="s">
        <v>144</v>
      </c>
      <c r="B145" t="s">
        <v>143</v>
      </c>
      <c r="C145">
        <v>113204009</v>
      </c>
      <c r="D145" t="str">
        <f t="shared" si="17"/>
        <v>Hoşduran, Bedirhan-113204009</v>
      </c>
      <c r="E145">
        <v>77</v>
      </c>
      <c r="F145">
        <v>128</v>
      </c>
      <c r="G145">
        <v>9</v>
      </c>
      <c r="H145">
        <v>7</v>
      </c>
      <c r="I145" t="str">
        <f t="shared" si="18"/>
        <v>7712897</v>
      </c>
      <c r="J145">
        <f t="shared" si="19"/>
        <v>1</v>
      </c>
      <c r="K145">
        <v>145</v>
      </c>
      <c r="L145">
        <v>225</v>
      </c>
      <c r="M145">
        <v>125</v>
      </c>
      <c r="N145" t="s">
        <v>554</v>
      </c>
      <c r="O145" t="s">
        <v>553</v>
      </c>
      <c r="P145" t="s">
        <v>554</v>
      </c>
      <c r="Q145">
        <v>0.83</v>
      </c>
      <c r="R145">
        <v>0.71</v>
      </c>
      <c r="S145">
        <v>0.82</v>
      </c>
      <c r="T145">
        <v>265</v>
      </c>
      <c r="U145">
        <v>200</v>
      </c>
      <c r="V145">
        <v>195</v>
      </c>
      <c r="W145">
        <v>2</v>
      </c>
      <c r="X145">
        <v>10</v>
      </c>
      <c r="Y145" t="str">
        <f t="shared" si="20"/>
        <v>200195265100.820.710.83800,000500,000800,000125225145</v>
      </c>
      <c r="Z145">
        <f t="shared" si="21"/>
        <v>1</v>
      </c>
      <c r="AA145" s="20">
        <v>7</v>
      </c>
      <c r="AB145" s="20">
        <v>38</v>
      </c>
      <c r="AC145" s="20">
        <v>8</v>
      </c>
      <c r="AD145" t="str">
        <f t="shared" si="22"/>
        <v>7388</v>
      </c>
      <c r="AE145">
        <f t="shared" si="23"/>
        <v>1</v>
      </c>
    </row>
    <row r="146" spans="1:31" x14ac:dyDescent="0.25">
      <c r="A146" t="s">
        <v>402</v>
      </c>
      <c r="B146" t="s">
        <v>192</v>
      </c>
      <c r="C146">
        <v>116201156</v>
      </c>
      <c r="D146" t="str">
        <f t="shared" si="17"/>
        <v>İnan, Esra-116201156</v>
      </c>
      <c r="E146">
        <v>89</v>
      </c>
      <c r="F146">
        <v>136</v>
      </c>
      <c r="G146">
        <v>6</v>
      </c>
      <c r="H146">
        <v>8</v>
      </c>
      <c r="I146" t="str">
        <f t="shared" si="18"/>
        <v>8913668</v>
      </c>
      <c r="J146">
        <f t="shared" si="19"/>
        <v>1</v>
      </c>
      <c r="K146">
        <v>145</v>
      </c>
      <c r="L146">
        <v>240</v>
      </c>
      <c r="M146">
        <v>105</v>
      </c>
      <c r="N146" t="s">
        <v>555</v>
      </c>
      <c r="O146" t="s">
        <v>553</v>
      </c>
      <c r="P146" t="s">
        <v>557</v>
      </c>
      <c r="Q146">
        <v>0.81</v>
      </c>
      <c r="R146">
        <v>0.72</v>
      </c>
      <c r="S146">
        <v>0.71</v>
      </c>
      <c r="T146">
        <v>290</v>
      </c>
      <c r="U146">
        <v>215</v>
      </c>
      <c r="V146">
        <v>195</v>
      </c>
      <c r="W146">
        <v>2</v>
      </c>
      <c r="X146">
        <v>10</v>
      </c>
      <c r="Y146" t="str">
        <f t="shared" si="20"/>
        <v>215195290100.710.720.81600,000500,000700,000105240145</v>
      </c>
      <c r="Z146">
        <f t="shared" si="21"/>
        <v>1</v>
      </c>
      <c r="AA146" s="20">
        <v>14</v>
      </c>
      <c r="AB146" s="20">
        <v>46</v>
      </c>
      <c r="AC146" s="20">
        <v>24</v>
      </c>
      <c r="AD146" t="str">
        <f t="shared" si="22"/>
        <v>144624</v>
      </c>
      <c r="AE146">
        <f t="shared" si="23"/>
        <v>1</v>
      </c>
    </row>
    <row r="147" spans="1:31" x14ac:dyDescent="0.25">
      <c r="A147" t="s">
        <v>146</v>
      </c>
      <c r="B147" t="s">
        <v>145</v>
      </c>
      <c r="C147">
        <v>116203149</v>
      </c>
      <c r="D147" t="str">
        <f t="shared" si="17"/>
        <v>Irk, Mert-116203149</v>
      </c>
      <c r="E147">
        <v>74</v>
      </c>
      <c r="F147">
        <v>111</v>
      </c>
      <c r="G147">
        <v>5</v>
      </c>
      <c r="H147">
        <v>7</v>
      </c>
      <c r="I147" t="str">
        <f t="shared" si="18"/>
        <v>7411157</v>
      </c>
      <c r="J147">
        <f t="shared" si="19"/>
        <v>1</v>
      </c>
      <c r="K147">
        <v>135</v>
      </c>
      <c r="L147">
        <v>220</v>
      </c>
      <c r="M147">
        <v>145</v>
      </c>
      <c r="N147" t="s">
        <v>555</v>
      </c>
      <c r="O147" t="s">
        <v>555</v>
      </c>
      <c r="P147" t="s">
        <v>557</v>
      </c>
      <c r="Q147">
        <v>0.77</v>
      </c>
      <c r="R147">
        <v>0.8</v>
      </c>
      <c r="S147">
        <v>0.74</v>
      </c>
      <c r="T147">
        <v>255</v>
      </c>
      <c r="U147">
        <v>185</v>
      </c>
      <c r="V147">
        <v>175</v>
      </c>
      <c r="W147">
        <v>1</v>
      </c>
      <c r="X147">
        <v>8</v>
      </c>
      <c r="Y147" t="str">
        <f t="shared" si="20"/>
        <v>18517525580.740.80.77600,000700,000700,000145220135</v>
      </c>
      <c r="Z147">
        <f t="shared" si="21"/>
        <v>1</v>
      </c>
      <c r="AA147" s="20">
        <v>8</v>
      </c>
      <c r="AB147" s="20">
        <v>61</v>
      </c>
      <c r="AC147" s="20">
        <v>10</v>
      </c>
      <c r="AD147" t="str">
        <f t="shared" si="22"/>
        <v>86110</v>
      </c>
      <c r="AE147">
        <f t="shared" si="23"/>
        <v>1</v>
      </c>
    </row>
    <row r="148" spans="1:31" x14ac:dyDescent="0.25">
      <c r="A148" t="s">
        <v>148</v>
      </c>
      <c r="B148" t="s">
        <v>147</v>
      </c>
      <c r="C148">
        <v>114204007</v>
      </c>
      <c r="D148" t="str">
        <f t="shared" si="17"/>
        <v>Işık, Tuğba Nur-114204007</v>
      </c>
      <c r="E148">
        <v>74</v>
      </c>
      <c r="F148">
        <v>110</v>
      </c>
      <c r="G148">
        <v>9</v>
      </c>
      <c r="H148">
        <v>5</v>
      </c>
      <c r="I148" t="str">
        <f t="shared" si="18"/>
        <v>7411095</v>
      </c>
      <c r="J148">
        <f t="shared" si="19"/>
        <v>1</v>
      </c>
      <c r="K148">
        <v>105</v>
      </c>
      <c r="L148">
        <v>225</v>
      </c>
      <c r="M148">
        <v>120</v>
      </c>
      <c r="N148" t="s">
        <v>557</v>
      </c>
      <c r="O148" t="s">
        <v>553</v>
      </c>
      <c r="P148" t="s">
        <v>556</v>
      </c>
      <c r="Q148">
        <v>0.72</v>
      </c>
      <c r="R148">
        <v>0.74</v>
      </c>
      <c r="S148">
        <v>0.75</v>
      </c>
      <c r="T148">
        <v>245</v>
      </c>
      <c r="U148">
        <v>195</v>
      </c>
      <c r="V148">
        <v>260</v>
      </c>
      <c r="W148">
        <v>2</v>
      </c>
      <c r="X148">
        <v>10</v>
      </c>
      <c r="Y148" t="str">
        <f t="shared" si="20"/>
        <v>195260245100.750.740.72900,000500,000600,000120225105</v>
      </c>
      <c r="Z148">
        <f t="shared" si="21"/>
        <v>1</v>
      </c>
      <c r="AA148" s="20">
        <v>8</v>
      </c>
      <c r="AB148" s="20">
        <v>64</v>
      </c>
      <c r="AC148" s="20">
        <v>12</v>
      </c>
      <c r="AD148" t="str">
        <f t="shared" si="22"/>
        <v>86412</v>
      </c>
      <c r="AE148">
        <f t="shared" si="23"/>
        <v>1</v>
      </c>
    </row>
    <row r="149" spans="1:31" x14ac:dyDescent="0.25">
      <c r="A149" t="s">
        <v>150</v>
      </c>
      <c r="B149" t="s">
        <v>149</v>
      </c>
      <c r="C149">
        <v>114200036</v>
      </c>
      <c r="D149" t="str">
        <f t="shared" si="17"/>
        <v>Işıklar, Bartu-114200036</v>
      </c>
      <c r="E149">
        <v>82</v>
      </c>
      <c r="F149">
        <v>107</v>
      </c>
      <c r="G149">
        <v>9</v>
      </c>
      <c r="H149">
        <v>9</v>
      </c>
      <c r="I149" t="str">
        <f t="shared" si="18"/>
        <v>8210799</v>
      </c>
      <c r="J149">
        <f t="shared" si="19"/>
        <v>1</v>
      </c>
      <c r="K149">
        <v>110</v>
      </c>
      <c r="L149">
        <v>220</v>
      </c>
      <c r="M149">
        <v>140</v>
      </c>
      <c r="N149" t="s">
        <v>555</v>
      </c>
      <c r="O149" t="s">
        <v>555</v>
      </c>
      <c r="P149" t="s">
        <v>555</v>
      </c>
      <c r="Q149">
        <v>0.84</v>
      </c>
      <c r="R149">
        <v>0.75</v>
      </c>
      <c r="S149">
        <v>0.75</v>
      </c>
      <c r="T149">
        <v>215</v>
      </c>
      <c r="U149">
        <v>190</v>
      </c>
      <c r="V149">
        <v>185</v>
      </c>
      <c r="W149">
        <v>2</v>
      </c>
      <c r="X149">
        <v>10</v>
      </c>
      <c r="Y149" t="str">
        <f t="shared" si="20"/>
        <v>190185215100.750.750.84700,000700,000700,000140220110</v>
      </c>
      <c r="Z149">
        <f t="shared" si="21"/>
        <v>1</v>
      </c>
      <c r="AA149" s="20">
        <v>15</v>
      </c>
      <c r="AB149" s="20">
        <v>44</v>
      </c>
      <c r="AC149" s="20">
        <v>20</v>
      </c>
      <c r="AD149" t="str">
        <f t="shared" si="22"/>
        <v>154420</v>
      </c>
      <c r="AE149">
        <f t="shared" si="23"/>
        <v>1</v>
      </c>
    </row>
    <row r="150" spans="1:31" x14ac:dyDescent="0.25">
      <c r="A150" t="s">
        <v>152</v>
      </c>
      <c r="B150" t="s">
        <v>151</v>
      </c>
      <c r="C150">
        <v>116203038</v>
      </c>
      <c r="D150" t="str">
        <f t="shared" si="17"/>
        <v>İskender, Selim-116203038</v>
      </c>
      <c r="E150">
        <v>85</v>
      </c>
      <c r="F150">
        <v>105</v>
      </c>
      <c r="G150">
        <v>7</v>
      </c>
      <c r="H150">
        <v>9</v>
      </c>
      <c r="I150" t="str">
        <f t="shared" si="18"/>
        <v>8510579</v>
      </c>
      <c r="J150">
        <f t="shared" si="19"/>
        <v>1</v>
      </c>
      <c r="K150">
        <v>150</v>
      </c>
      <c r="L150">
        <v>210</v>
      </c>
      <c r="M150">
        <v>140</v>
      </c>
      <c r="N150" t="s">
        <v>554</v>
      </c>
      <c r="O150" t="s">
        <v>555</v>
      </c>
      <c r="P150" t="s">
        <v>553</v>
      </c>
      <c r="Q150">
        <v>0.77</v>
      </c>
      <c r="R150">
        <v>0.78</v>
      </c>
      <c r="S150">
        <v>0.83</v>
      </c>
      <c r="T150">
        <v>250</v>
      </c>
      <c r="U150">
        <v>185</v>
      </c>
      <c r="V150">
        <v>280</v>
      </c>
      <c r="W150">
        <v>3</v>
      </c>
      <c r="X150">
        <v>15</v>
      </c>
      <c r="Y150" t="str">
        <f t="shared" si="20"/>
        <v>185280250150.830.780.77500,000700,000800,000140210150</v>
      </c>
      <c r="Z150">
        <f t="shared" si="21"/>
        <v>1</v>
      </c>
      <c r="AA150" s="20">
        <v>8</v>
      </c>
      <c r="AB150" s="20">
        <v>38</v>
      </c>
      <c r="AC150" s="20">
        <v>15</v>
      </c>
      <c r="AD150" t="str">
        <f t="shared" si="22"/>
        <v>83815</v>
      </c>
      <c r="AE150">
        <f t="shared" si="23"/>
        <v>1</v>
      </c>
    </row>
    <row r="151" spans="1:31" x14ac:dyDescent="0.25">
      <c r="A151" t="s">
        <v>404</v>
      </c>
      <c r="B151" t="s">
        <v>403</v>
      </c>
      <c r="C151">
        <v>114202107</v>
      </c>
      <c r="D151" t="str">
        <f t="shared" si="17"/>
        <v>Jubran, Mohamed Mansour O.-114202107</v>
      </c>
      <c r="E151">
        <v>90</v>
      </c>
      <c r="F151">
        <v>148</v>
      </c>
      <c r="G151">
        <v>9</v>
      </c>
      <c r="H151">
        <v>9</v>
      </c>
      <c r="I151" t="str">
        <f t="shared" si="18"/>
        <v>9014899</v>
      </c>
      <c r="J151">
        <f t="shared" si="19"/>
        <v>1</v>
      </c>
      <c r="K151">
        <v>140</v>
      </c>
      <c r="L151">
        <v>170</v>
      </c>
      <c r="M151">
        <v>110</v>
      </c>
      <c r="N151" t="s">
        <v>557</v>
      </c>
      <c r="O151" t="s">
        <v>556</v>
      </c>
      <c r="P151" t="s">
        <v>554</v>
      </c>
      <c r="Q151">
        <v>0.8</v>
      </c>
      <c r="R151">
        <v>0.85</v>
      </c>
      <c r="S151">
        <v>0.78</v>
      </c>
      <c r="T151">
        <v>185</v>
      </c>
      <c r="U151">
        <v>130</v>
      </c>
      <c r="V151">
        <v>175</v>
      </c>
      <c r="W151">
        <v>3</v>
      </c>
      <c r="X151">
        <v>15</v>
      </c>
      <c r="Y151" t="str">
        <f t="shared" si="20"/>
        <v>130175185150.780.850.8800,000900,000600,000110170140</v>
      </c>
      <c r="Z151">
        <f t="shared" si="21"/>
        <v>1</v>
      </c>
      <c r="AA151" s="20">
        <v>6</v>
      </c>
      <c r="AB151" s="20">
        <v>89</v>
      </c>
      <c r="AC151" s="20">
        <v>24</v>
      </c>
      <c r="AD151" t="str">
        <f t="shared" si="22"/>
        <v>68924</v>
      </c>
      <c r="AE151">
        <f t="shared" si="23"/>
        <v>1</v>
      </c>
    </row>
    <row r="152" spans="1:31" x14ac:dyDescent="0.25">
      <c r="A152" t="s">
        <v>154</v>
      </c>
      <c r="B152" t="s">
        <v>153</v>
      </c>
      <c r="C152">
        <v>116203014</v>
      </c>
      <c r="D152" t="str">
        <f t="shared" si="17"/>
        <v>Kakaa, Rama-116203014</v>
      </c>
      <c r="E152">
        <v>77</v>
      </c>
      <c r="F152">
        <v>139</v>
      </c>
      <c r="G152">
        <v>5</v>
      </c>
      <c r="H152">
        <v>6</v>
      </c>
      <c r="I152" t="str">
        <f t="shared" si="18"/>
        <v>7713956</v>
      </c>
      <c r="J152">
        <f t="shared" si="19"/>
        <v>1</v>
      </c>
      <c r="K152">
        <v>125</v>
      </c>
      <c r="L152">
        <v>205</v>
      </c>
      <c r="M152">
        <v>150</v>
      </c>
      <c r="N152" t="s">
        <v>553</v>
      </c>
      <c r="O152" t="s">
        <v>553</v>
      </c>
      <c r="P152" t="s">
        <v>557</v>
      </c>
      <c r="Q152">
        <v>0.77</v>
      </c>
      <c r="R152">
        <v>0.73</v>
      </c>
      <c r="S152">
        <v>0.74</v>
      </c>
      <c r="T152">
        <v>175</v>
      </c>
      <c r="U152">
        <v>170</v>
      </c>
      <c r="V152">
        <v>205</v>
      </c>
      <c r="W152">
        <v>2</v>
      </c>
      <c r="X152">
        <v>10</v>
      </c>
      <c r="Y152" t="str">
        <f t="shared" si="20"/>
        <v>170205175100.740.730.77600,000500,000500,000150205125</v>
      </c>
      <c r="Z152">
        <f t="shared" si="21"/>
        <v>1</v>
      </c>
      <c r="AA152" s="20">
        <v>9</v>
      </c>
      <c r="AB152" s="20">
        <v>86</v>
      </c>
      <c r="AC152" s="20">
        <v>11</v>
      </c>
      <c r="AD152" t="str">
        <f t="shared" si="22"/>
        <v>98611</v>
      </c>
      <c r="AE152">
        <f t="shared" si="23"/>
        <v>1</v>
      </c>
    </row>
    <row r="153" spans="1:31" x14ac:dyDescent="0.25">
      <c r="A153" t="s">
        <v>406</v>
      </c>
      <c r="B153" t="s">
        <v>405</v>
      </c>
      <c r="C153">
        <v>114203018</v>
      </c>
      <c r="D153" t="str">
        <f t="shared" si="17"/>
        <v>Kalaycı, Gizem-114203018</v>
      </c>
      <c r="E153">
        <v>89</v>
      </c>
      <c r="F153">
        <v>133</v>
      </c>
      <c r="G153">
        <v>9</v>
      </c>
      <c r="H153">
        <v>9</v>
      </c>
      <c r="I153" t="str">
        <f t="shared" si="18"/>
        <v>8913399</v>
      </c>
      <c r="J153">
        <f t="shared" si="19"/>
        <v>1</v>
      </c>
      <c r="K153">
        <v>150</v>
      </c>
      <c r="L153">
        <v>225</v>
      </c>
      <c r="M153">
        <v>150</v>
      </c>
      <c r="N153" t="s">
        <v>555</v>
      </c>
      <c r="O153" t="s">
        <v>554</v>
      </c>
      <c r="P153" t="s">
        <v>557</v>
      </c>
      <c r="Q153">
        <v>0.85</v>
      </c>
      <c r="R153">
        <v>0.73</v>
      </c>
      <c r="S153">
        <v>0.85</v>
      </c>
      <c r="T153">
        <v>285</v>
      </c>
      <c r="U153">
        <v>200</v>
      </c>
      <c r="V153">
        <v>270</v>
      </c>
      <c r="W153">
        <v>1</v>
      </c>
      <c r="X153">
        <v>8</v>
      </c>
      <c r="Y153" t="str">
        <f t="shared" si="20"/>
        <v>20027028580.850.730.85600,000800,000700,000150225150</v>
      </c>
      <c r="Z153">
        <f t="shared" si="21"/>
        <v>1</v>
      </c>
      <c r="AA153" s="20">
        <v>5</v>
      </c>
      <c r="AB153" s="20">
        <v>44</v>
      </c>
      <c r="AC153" s="20">
        <v>11</v>
      </c>
      <c r="AD153" t="str">
        <f t="shared" si="22"/>
        <v>54411</v>
      </c>
      <c r="AE153">
        <f t="shared" si="23"/>
        <v>1</v>
      </c>
    </row>
    <row r="154" spans="1:31" x14ac:dyDescent="0.25">
      <c r="A154" t="s">
        <v>408</v>
      </c>
      <c r="B154" t="s">
        <v>407</v>
      </c>
      <c r="C154">
        <v>114201047</v>
      </c>
      <c r="D154" t="str">
        <f t="shared" si="17"/>
        <v>Kaplan, Serkan-114201047</v>
      </c>
      <c r="E154">
        <v>72</v>
      </c>
      <c r="F154">
        <v>113</v>
      </c>
      <c r="G154">
        <v>8</v>
      </c>
      <c r="H154">
        <v>9</v>
      </c>
      <c r="I154" t="str">
        <f t="shared" si="18"/>
        <v>7211389</v>
      </c>
      <c r="J154">
        <f t="shared" si="19"/>
        <v>1</v>
      </c>
      <c r="K154">
        <v>135</v>
      </c>
      <c r="L154">
        <v>175</v>
      </c>
      <c r="M154">
        <v>150</v>
      </c>
      <c r="N154" t="s">
        <v>556</v>
      </c>
      <c r="O154" t="s">
        <v>553</v>
      </c>
      <c r="P154" t="s">
        <v>555</v>
      </c>
      <c r="Q154">
        <v>0.77</v>
      </c>
      <c r="R154">
        <v>0.73</v>
      </c>
      <c r="S154">
        <v>0.8</v>
      </c>
      <c r="T154">
        <v>210</v>
      </c>
      <c r="U154">
        <v>140</v>
      </c>
      <c r="V154">
        <v>290</v>
      </c>
      <c r="W154">
        <v>3</v>
      </c>
      <c r="X154">
        <v>15</v>
      </c>
      <c r="Y154" t="str">
        <f t="shared" si="20"/>
        <v>140290210150.80.730.77700,000500,000900,000150175135</v>
      </c>
      <c r="Z154">
        <f t="shared" si="21"/>
        <v>1</v>
      </c>
      <c r="AA154" s="20">
        <v>13</v>
      </c>
      <c r="AB154" s="20">
        <v>49</v>
      </c>
      <c r="AC154" s="20">
        <v>9</v>
      </c>
      <c r="AD154" t="str">
        <f t="shared" si="22"/>
        <v>13499</v>
      </c>
      <c r="AE154">
        <f t="shared" si="23"/>
        <v>1</v>
      </c>
    </row>
    <row r="155" spans="1:31" x14ac:dyDescent="0.25">
      <c r="A155" t="s">
        <v>410</v>
      </c>
      <c r="B155" t="s">
        <v>409</v>
      </c>
      <c r="C155">
        <v>114200067</v>
      </c>
      <c r="D155" t="str">
        <f t="shared" si="17"/>
        <v>Karabudak, Fatma Seray-114200067</v>
      </c>
      <c r="E155">
        <v>74</v>
      </c>
      <c r="F155">
        <v>109</v>
      </c>
      <c r="G155">
        <v>9</v>
      </c>
      <c r="H155">
        <v>8</v>
      </c>
      <c r="I155" t="str">
        <f t="shared" si="18"/>
        <v>7410998</v>
      </c>
      <c r="J155">
        <f t="shared" si="19"/>
        <v>1</v>
      </c>
      <c r="K155">
        <v>120</v>
      </c>
      <c r="L155">
        <v>250</v>
      </c>
      <c r="M155">
        <v>125</v>
      </c>
      <c r="N155" t="s">
        <v>555</v>
      </c>
      <c r="O155" t="s">
        <v>556</v>
      </c>
      <c r="P155" t="s">
        <v>556</v>
      </c>
      <c r="Q155">
        <v>0.8</v>
      </c>
      <c r="R155">
        <v>0.72</v>
      </c>
      <c r="S155">
        <v>0.71</v>
      </c>
      <c r="T155">
        <v>175</v>
      </c>
      <c r="U155">
        <v>230</v>
      </c>
      <c r="V155">
        <v>240</v>
      </c>
      <c r="W155">
        <v>2</v>
      </c>
      <c r="X155">
        <v>10</v>
      </c>
      <c r="Y155" t="str">
        <f t="shared" si="20"/>
        <v>230240175100.710.720.8900,000900,000700,000125250120</v>
      </c>
      <c r="Z155">
        <f t="shared" si="21"/>
        <v>1</v>
      </c>
      <c r="AA155" s="20">
        <v>14</v>
      </c>
      <c r="AB155" s="20">
        <v>67</v>
      </c>
      <c r="AC155" s="20">
        <v>18</v>
      </c>
      <c r="AD155" t="str">
        <f t="shared" si="22"/>
        <v>146718</v>
      </c>
      <c r="AE155">
        <f t="shared" si="23"/>
        <v>1</v>
      </c>
    </row>
    <row r="156" spans="1:31" x14ac:dyDescent="0.25">
      <c r="A156" t="s">
        <v>411</v>
      </c>
      <c r="B156" t="s">
        <v>368</v>
      </c>
      <c r="C156">
        <v>116202073</v>
      </c>
      <c r="D156" t="str">
        <f t="shared" si="17"/>
        <v>Karabulut, Çağla-116202073</v>
      </c>
      <c r="E156">
        <v>78</v>
      </c>
      <c r="F156">
        <v>145</v>
      </c>
      <c r="G156">
        <v>5</v>
      </c>
      <c r="H156">
        <v>8</v>
      </c>
      <c r="I156" t="str">
        <f t="shared" si="18"/>
        <v>7814558</v>
      </c>
      <c r="J156">
        <f t="shared" si="19"/>
        <v>1</v>
      </c>
      <c r="K156">
        <v>110</v>
      </c>
      <c r="L156">
        <v>225</v>
      </c>
      <c r="M156">
        <v>115</v>
      </c>
      <c r="N156" t="s">
        <v>556</v>
      </c>
      <c r="O156" t="s">
        <v>553</v>
      </c>
      <c r="P156" t="s">
        <v>557</v>
      </c>
      <c r="Q156">
        <v>0.82</v>
      </c>
      <c r="R156">
        <v>0.76</v>
      </c>
      <c r="S156">
        <v>0.74</v>
      </c>
      <c r="T156">
        <v>270</v>
      </c>
      <c r="U156">
        <v>205</v>
      </c>
      <c r="V156">
        <v>220</v>
      </c>
      <c r="W156">
        <v>3</v>
      </c>
      <c r="X156">
        <v>15</v>
      </c>
      <c r="Y156" t="str">
        <f t="shared" si="20"/>
        <v>205220270150.740.760.82600,000500,000900,000115225110</v>
      </c>
      <c r="Z156">
        <f t="shared" si="21"/>
        <v>1</v>
      </c>
      <c r="AA156" s="20">
        <v>12</v>
      </c>
      <c r="AB156" s="20">
        <v>46</v>
      </c>
      <c r="AC156" s="20">
        <v>15</v>
      </c>
      <c r="AD156" t="str">
        <f t="shared" si="22"/>
        <v>124615</v>
      </c>
      <c r="AE156">
        <f t="shared" si="23"/>
        <v>1</v>
      </c>
    </row>
    <row r="157" spans="1:31" x14ac:dyDescent="0.25">
      <c r="A157" t="s">
        <v>411</v>
      </c>
      <c r="B157" t="s">
        <v>412</v>
      </c>
      <c r="C157">
        <v>116203074</v>
      </c>
      <c r="D157" t="str">
        <f t="shared" si="17"/>
        <v>Karabulut, Nikol-116203074</v>
      </c>
      <c r="E157">
        <v>78</v>
      </c>
      <c r="F157">
        <v>132</v>
      </c>
      <c r="G157">
        <v>9</v>
      </c>
      <c r="H157">
        <v>5</v>
      </c>
      <c r="I157" t="str">
        <f t="shared" si="18"/>
        <v>7813295</v>
      </c>
      <c r="J157">
        <f t="shared" si="19"/>
        <v>1</v>
      </c>
      <c r="K157">
        <v>145</v>
      </c>
      <c r="L157">
        <v>220</v>
      </c>
      <c r="M157">
        <v>115</v>
      </c>
      <c r="N157" t="s">
        <v>554</v>
      </c>
      <c r="O157" t="s">
        <v>555</v>
      </c>
      <c r="P157" t="s">
        <v>553</v>
      </c>
      <c r="Q157">
        <v>0.7</v>
      </c>
      <c r="R157">
        <v>0.82</v>
      </c>
      <c r="S157">
        <v>0.83</v>
      </c>
      <c r="T157">
        <v>230</v>
      </c>
      <c r="U157">
        <v>190</v>
      </c>
      <c r="V157">
        <v>250</v>
      </c>
      <c r="W157">
        <v>2</v>
      </c>
      <c r="X157">
        <v>10</v>
      </c>
      <c r="Y157" t="str">
        <f t="shared" si="20"/>
        <v>190250230100.830.820.7500,000700,000800,000115220145</v>
      </c>
      <c r="Z157">
        <f t="shared" si="21"/>
        <v>1</v>
      </c>
      <c r="AA157" s="20">
        <v>10</v>
      </c>
      <c r="AB157" s="20">
        <v>53</v>
      </c>
      <c r="AC157" s="20">
        <v>11</v>
      </c>
      <c r="AD157" t="str">
        <f t="shared" si="22"/>
        <v>105311</v>
      </c>
      <c r="AE157">
        <f t="shared" si="23"/>
        <v>1</v>
      </c>
    </row>
    <row r="158" spans="1:31" x14ac:dyDescent="0.25">
      <c r="A158" t="s">
        <v>156</v>
      </c>
      <c r="B158" t="s">
        <v>155</v>
      </c>
      <c r="C158">
        <v>113204045</v>
      </c>
      <c r="D158" t="str">
        <f t="shared" si="17"/>
        <v>Karadaş, Yılmaz-113204045</v>
      </c>
      <c r="E158">
        <v>85</v>
      </c>
      <c r="F158">
        <v>126</v>
      </c>
      <c r="G158">
        <v>5</v>
      </c>
      <c r="H158">
        <v>7</v>
      </c>
      <c r="I158" t="str">
        <f t="shared" si="18"/>
        <v>8512657</v>
      </c>
      <c r="J158">
        <f t="shared" si="19"/>
        <v>1</v>
      </c>
      <c r="K158">
        <v>120</v>
      </c>
      <c r="L158">
        <v>220</v>
      </c>
      <c r="M158">
        <v>100</v>
      </c>
      <c r="N158" t="s">
        <v>553</v>
      </c>
      <c r="O158" t="s">
        <v>556</v>
      </c>
      <c r="P158" t="s">
        <v>555</v>
      </c>
      <c r="Q158">
        <v>0.78</v>
      </c>
      <c r="R158">
        <v>0.81</v>
      </c>
      <c r="S158">
        <v>0.75</v>
      </c>
      <c r="T158">
        <v>220</v>
      </c>
      <c r="U158">
        <v>200</v>
      </c>
      <c r="V158">
        <v>210</v>
      </c>
      <c r="W158">
        <v>3</v>
      </c>
      <c r="X158">
        <v>15</v>
      </c>
      <c r="Y158" t="str">
        <f t="shared" si="20"/>
        <v>200210220150.750.810.78700,000900,000500,000100220120</v>
      </c>
      <c r="Z158">
        <f t="shared" si="21"/>
        <v>1</v>
      </c>
      <c r="AA158" s="20">
        <v>12</v>
      </c>
      <c r="AB158" s="20">
        <v>58</v>
      </c>
      <c r="AC158" s="20">
        <v>8</v>
      </c>
      <c r="AD158" t="str">
        <f t="shared" si="22"/>
        <v>12588</v>
      </c>
      <c r="AE158">
        <f t="shared" si="23"/>
        <v>1</v>
      </c>
    </row>
    <row r="159" spans="1:31" x14ac:dyDescent="0.25">
      <c r="A159" t="s">
        <v>413</v>
      </c>
      <c r="B159" t="s">
        <v>383</v>
      </c>
      <c r="C159">
        <v>114202030</v>
      </c>
      <c r="D159" t="str">
        <f t="shared" si="17"/>
        <v>Karakaya, Sena-114202030</v>
      </c>
      <c r="E159">
        <v>87</v>
      </c>
      <c r="F159">
        <v>149</v>
      </c>
      <c r="G159">
        <v>9</v>
      </c>
      <c r="H159">
        <v>8</v>
      </c>
      <c r="I159" t="str">
        <f t="shared" si="18"/>
        <v>8714998</v>
      </c>
      <c r="J159">
        <f t="shared" si="19"/>
        <v>1</v>
      </c>
      <c r="K159">
        <v>150</v>
      </c>
      <c r="L159">
        <v>220</v>
      </c>
      <c r="M159">
        <v>130</v>
      </c>
      <c r="N159" t="s">
        <v>556</v>
      </c>
      <c r="O159" t="s">
        <v>553</v>
      </c>
      <c r="P159" t="s">
        <v>554</v>
      </c>
      <c r="Q159">
        <v>0.84</v>
      </c>
      <c r="R159">
        <v>0.72</v>
      </c>
      <c r="S159">
        <v>0.79</v>
      </c>
      <c r="T159">
        <v>285</v>
      </c>
      <c r="U159">
        <v>195</v>
      </c>
      <c r="V159">
        <v>270</v>
      </c>
      <c r="W159">
        <v>1</v>
      </c>
      <c r="X159">
        <v>8</v>
      </c>
      <c r="Y159" t="str">
        <f t="shared" si="20"/>
        <v>19527028580.790.720.84800,000500,000900,000130220150</v>
      </c>
      <c r="Z159">
        <f t="shared" si="21"/>
        <v>1</v>
      </c>
      <c r="AA159" s="20">
        <v>12</v>
      </c>
      <c r="AB159" s="20">
        <v>47</v>
      </c>
      <c r="AC159" s="20">
        <v>22</v>
      </c>
      <c r="AD159" t="str">
        <f t="shared" si="22"/>
        <v>124722</v>
      </c>
      <c r="AE159">
        <f t="shared" si="23"/>
        <v>1</v>
      </c>
    </row>
    <row r="160" spans="1:31" x14ac:dyDescent="0.25">
      <c r="A160" t="s">
        <v>415</v>
      </c>
      <c r="B160" t="s">
        <v>414</v>
      </c>
      <c r="C160">
        <v>114202036</v>
      </c>
      <c r="D160" t="str">
        <f t="shared" si="17"/>
        <v>Karaman, Tarık Buğra-114202036</v>
      </c>
      <c r="E160">
        <v>89</v>
      </c>
      <c r="F160">
        <v>105</v>
      </c>
      <c r="G160">
        <v>6</v>
      </c>
      <c r="H160">
        <v>7</v>
      </c>
      <c r="I160" t="str">
        <f t="shared" si="18"/>
        <v>8910567</v>
      </c>
      <c r="J160">
        <f t="shared" si="19"/>
        <v>1</v>
      </c>
      <c r="K160">
        <v>100</v>
      </c>
      <c r="L160">
        <v>250</v>
      </c>
      <c r="M160">
        <v>115</v>
      </c>
      <c r="N160" t="s">
        <v>557</v>
      </c>
      <c r="O160" t="s">
        <v>557</v>
      </c>
      <c r="P160" t="s">
        <v>556</v>
      </c>
      <c r="Q160">
        <v>0.85</v>
      </c>
      <c r="R160">
        <v>0.76</v>
      </c>
      <c r="S160">
        <v>0.85</v>
      </c>
      <c r="T160">
        <v>190</v>
      </c>
      <c r="U160">
        <v>210</v>
      </c>
      <c r="V160">
        <v>245</v>
      </c>
      <c r="W160">
        <v>2</v>
      </c>
      <c r="X160">
        <v>10</v>
      </c>
      <c r="Y160" t="str">
        <f t="shared" si="20"/>
        <v>210245190100.850.760.85900,000600,000600,000115250100</v>
      </c>
      <c r="Z160">
        <f t="shared" si="21"/>
        <v>1</v>
      </c>
      <c r="AA160" s="20">
        <v>6</v>
      </c>
      <c r="AB160" s="20">
        <v>72</v>
      </c>
      <c r="AC160" s="20">
        <v>14</v>
      </c>
      <c r="AD160" t="str">
        <f t="shared" si="22"/>
        <v>67214</v>
      </c>
      <c r="AE160">
        <f t="shared" si="23"/>
        <v>1</v>
      </c>
    </row>
    <row r="161" spans="1:31" x14ac:dyDescent="0.25">
      <c r="A161" t="s">
        <v>157</v>
      </c>
      <c r="B161" t="s">
        <v>20</v>
      </c>
      <c r="C161">
        <v>114206029</v>
      </c>
      <c r="D161" t="str">
        <f t="shared" si="17"/>
        <v>Karanfiloğlu, Berk-114206029</v>
      </c>
      <c r="E161">
        <v>76</v>
      </c>
      <c r="F161">
        <v>141</v>
      </c>
      <c r="G161">
        <v>9</v>
      </c>
      <c r="H161">
        <v>6</v>
      </c>
      <c r="I161" t="str">
        <f t="shared" si="18"/>
        <v>7614196</v>
      </c>
      <c r="J161">
        <f t="shared" si="19"/>
        <v>1</v>
      </c>
      <c r="K161">
        <v>145</v>
      </c>
      <c r="L161">
        <v>210</v>
      </c>
      <c r="M161">
        <v>140</v>
      </c>
      <c r="N161" t="s">
        <v>556</v>
      </c>
      <c r="O161" t="s">
        <v>557</v>
      </c>
      <c r="P161" t="s">
        <v>555</v>
      </c>
      <c r="Q161">
        <v>0.79</v>
      </c>
      <c r="R161">
        <v>0.75</v>
      </c>
      <c r="S161">
        <v>0.71</v>
      </c>
      <c r="T161">
        <v>275</v>
      </c>
      <c r="U161">
        <v>175</v>
      </c>
      <c r="V161">
        <v>190</v>
      </c>
      <c r="W161">
        <v>1</v>
      </c>
      <c r="X161">
        <v>8</v>
      </c>
      <c r="Y161" t="str">
        <f t="shared" si="20"/>
        <v>17519027580.710.750.79700,000600,000900,000140210145</v>
      </c>
      <c r="Z161">
        <f t="shared" si="21"/>
        <v>1</v>
      </c>
      <c r="AA161" s="20">
        <v>10</v>
      </c>
      <c r="AB161" s="20">
        <v>73</v>
      </c>
      <c r="AC161" s="20">
        <v>11</v>
      </c>
      <c r="AD161" t="str">
        <f t="shared" si="22"/>
        <v>107311</v>
      </c>
      <c r="AE161">
        <f t="shared" si="23"/>
        <v>1</v>
      </c>
    </row>
    <row r="162" spans="1:31" x14ac:dyDescent="0.25">
      <c r="A162" t="s">
        <v>417</v>
      </c>
      <c r="B162" t="s">
        <v>416</v>
      </c>
      <c r="C162">
        <v>112203010</v>
      </c>
      <c r="D162" t="str">
        <f t="shared" si="17"/>
        <v>Karataş, Eyüp Yarkın-112203010</v>
      </c>
      <c r="E162">
        <v>81</v>
      </c>
      <c r="F162">
        <v>137</v>
      </c>
      <c r="G162">
        <v>5</v>
      </c>
      <c r="H162">
        <v>6</v>
      </c>
      <c r="I162" t="str">
        <f t="shared" si="18"/>
        <v>8113756</v>
      </c>
      <c r="J162">
        <f t="shared" si="19"/>
        <v>1</v>
      </c>
      <c r="K162">
        <v>130</v>
      </c>
      <c r="L162">
        <v>195</v>
      </c>
      <c r="M162">
        <v>125</v>
      </c>
      <c r="N162" t="s">
        <v>554</v>
      </c>
      <c r="O162" t="s">
        <v>557</v>
      </c>
      <c r="P162" t="s">
        <v>554</v>
      </c>
      <c r="Q162">
        <v>0.84</v>
      </c>
      <c r="R162">
        <v>0.85</v>
      </c>
      <c r="S162">
        <v>0.77</v>
      </c>
      <c r="T162">
        <v>245</v>
      </c>
      <c r="U162">
        <v>155</v>
      </c>
      <c r="V162">
        <v>280</v>
      </c>
      <c r="W162">
        <v>2</v>
      </c>
      <c r="X162">
        <v>10</v>
      </c>
      <c r="Y162" t="str">
        <f t="shared" si="20"/>
        <v>155280245100.770.850.84800,000600,000800,000125195130</v>
      </c>
      <c r="Z162">
        <f t="shared" si="21"/>
        <v>1</v>
      </c>
      <c r="AA162" s="20">
        <v>6</v>
      </c>
      <c r="AB162" s="20">
        <v>44</v>
      </c>
      <c r="AC162" s="20">
        <v>18</v>
      </c>
      <c r="AD162" t="str">
        <f t="shared" si="22"/>
        <v>64418</v>
      </c>
      <c r="AE162">
        <f t="shared" si="23"/>
        <v>1</v>
      </c>
    </row>
    <row r="163" spans="1:31" x14ac:dyDescent="0.25">
      <c r="A163" t="s">
        <v>418</v>
      </c>
      <c r="B163" t="s">
        <v>57</v>
      </c>
      <c r="C163">
        <v>115203072</v>
      </c>
      <c r="D163" t="str">
        <f t="shared" si="17"/>
        <v>Karğın, Elif-115203072</v>
      </c>
      <c r="E163">
        <v>70</v>
      </c>
      <c r="F163">
        <v>112</v>
      </c>
      <c r="G163">
        <v>8</v>
      </c>
      <c r="H163">
        <v>8</v>
      </c>
      <c r="I163" t="str">
        <f t="shared" si="18"/>
        <v>7011288</v>
      </c>
      <c r="J163">
        <f t="shared" si="19"/>
        <v>1</v>
      </c>
      <c r="K163">
        <v>150</v>
      </c>
      <c r="L163">
        <v>235</v>
      </c>
      <c r="M163">
        <v>125</v>
      </c>
      <c r="N163" t="s">
        <v>553</v>
      </c>
      <c r="O163" t="s">
        <v>556</v>
      </c>
      <c r="P163" t="s">
        <v>553</v>
      </c>
      <c r="Q163">
        <v>0.79</v>
      </c>
      <c r="R163">
        <v>0.79</v>
      </c>
      <c r="S163">
        <v>0.77</v>
      </c>
      <c r="T163">
        <v>290</v>
      </c>
      <c r="U163">
        <v>215</v>
      </c>
      <c r="V163">
        <v>185</v>
      </c>
      <c r="W163">
        <v>2</v>
      </c>
      <c r="X163">
        <v>10</v>
      </c>
      <c r="Y163" t="str">
        <f t="shared" si="20"/>
        <v>215185290100.770.790.79500,000900,000500,000125235150</v>
      </c>
      <c r="Z163">
        <f t="shared" si="21"/>
        <v>1</v>
      </c>
      <c r="AA163" s="20">
        <v>7</v>
      </c>
      <c r="AB163" s="20">
        <v>34</v>
      </c>
      <c r="AC163" s="20">
        <v>13</v>
      </c>
      <c r="AD163" t="str">
        <f t="shared" si="22"/>
        <v>73413</v>
      </c>
      <c r="AE163">
        <f t="shared" si="23"/>
        <v>1</v>
      </c>
    </row>
    <row r="164" spans="1:31" x14ac:dyDescent="0.25">
      <c r="A164" t="s">
        <v>159</v>
      </c>
      <c r="B164" t="s">
        <v>158</v>
      </c>
      <c r="C164">
        <v>114200060</v>
      </c>
      <c r="D164" t="str">
        <f t="shared" si="17"/>
        <v>Kartal, Lamia-114200060</v>
      </c>
      <c r="E164">
        <v>70</v>
      </c>
      <c r="F164">
        <v>122</v>
      </c>
      <c r="G164">
        <v>5</v>
      </c>
      <c r="H164">
        <v>8</v>
      </c>
      <c r="I164" t="str">
        <f t="shared" si="18"/>
        <v>7012258</v>
      </c>
      <c r="J164">
        <f t="shared" si="19"/>
        <v>1</v>
      </c>
      <c r="K164">
        <v>135</v>
      </c>
      <c r="L164">
        <v>195</v>
      </c>
      <c r="M164">
        <v>115</v>
      </c>
      <c r="N164" t="s">
        <v>554</v>
      </c>
      <c r="O164" t="s">
        <v>554</v>
      </c>
      <c r="P164" t="s">
        <v>554</v>
      </c>
      <c r="Q164">
        <v>0.71</v>
      </c>
      <c r="R164">
        <v>0.82</v>
      </c>
      <c r="S164">
        <v>0.78</v>
      </c>
      <c r="T164">
        <v>255</v>
      </c>
      <c r="U164">
        <v>170</v>
      </c>
      <c r="V164">
        <v>280</v>
      </c>
      <c r="W164">
        <v>1</v>
      </c>
      <c r="X164">
        <v>8</v>
      </c>
      <c r="Y164" t="str">
        <f t="shared" si="20"/>
        <v>17028025580.780.820.71800,000800,000800,000115195135</v>
      </c>
      <c r="Z164">
        <f t="shared" si="21"/>
        <v>1</v>
      </c>
      <c r="AA164" s="20">
        <v>15</v>
      </c>
      <c r="AB164" s="20">
        <v>46</v>
      </c>
      <c r="AC164" s="20">
        <v>22</v>
      </c>
      <c r="AD164" t="str">
        <f t="shared" si="22"/>
        <v>154622</v>
      </c>
      <c r="AE164">
        <f t="shared" si="23"/>
        <v>1</v>
      </c>
    </row>
    <row r="165" spans="1:31" x14ac:dyDescent="0.25">
      <c r="A165" t="s">
        <v>161</v>
      </c>
      <c r="B165" t="s">
        <v>160</v>
      </c>
      <c r="C165">
        <v>115203038</v>
      </c>
      <c r="D165" t="str">
        <f t="shared" si="17"/>
        <v>Keçeli, Fikret Gizem-115203038</v>
      </c>
      <c r="E165">
        <v>77</v>
      </c>
      <c r="F165">
        <v>132</v>
      </c>
      <c r="G165">
        <v>5</v>
      </c>
      <c r="H165">
        <v>7</v>
      </c>
      <c r="I165" t="str">
        <f t="shared" si="18"/>
        <v>7713257</v>
      </c>
      <c r="J165">
        <f t="shared" si="19"/>
        <v>1</v>
      </c>
      <c r="K165">
        <v>115</v>
      </c>
      <c r="L165">
        <v>205</v>
      </c>
      <c r="M165">
        <v>145</v>
      </c>
      <c r="N165" t="s">
        <v>557</v>
      </c>
      <c r="O165" t="s">
        <v>553</v>
      </c>
      <c r="P165" t="s">
        <v>556</v>
      </c>
      <c r="Q165">
        <v>0.85</v>
      </c>
      <c r="R165">
        <v>0.84</v>
      </c>
      <c r="S165">
        <v>0.84</v>
      </c>
      <c r="T165">
        <v>285</v>
      </c>
      <c r="U165">
        <v>175</v>
      </c>
      <c r="V165">
        <v>190</v>
      </c>
      <c r="W165">
        <v>1</v>
      </c>
      <c r="X165">
        <v>8</v>
      </c>
      <c r="Y165" t="str">
        <f t="shared" si="20"/>
        <v>17519028580.840.840.85900,000500,000600,000145205115</v>
      </c>
      <c r="Z165">
        <f t="shared" si="21"/>
        <v>1</v>
      </c>
      <c r="AA165" s="20">
        <v>10</v>
      </c>
      <c r="AB165" s="20">
        <v>83</v>
      </c>
      <c r="AC165" s="20">
        <v>12</v>
      </c>
      <c r="AD165" t="str">
        <f t="shared" si="22"/>
        <v>108312</v>
      </c>
      <c r="AE165">
        <f t="shared" si="23"/>
        <v>1</v>
      </c>
    </row>
    <row r="166" spans="1:31" x14ac:dyDescent="0.25">
      <c r="A166" t="s">
        <v>420</v>
      </c>
      <c r="B166" t="s">
        <v>419</v>
      </c>
      <c r="C166">
        <v>114205071</v>
      </c>
      <c r="D166" t="str">
        <f t="shared" si="17"/>
        <v>Kerimoğlu, Sinan Kevin-114205071</v>
      </c>
      <c r="E166">
        <v>85</v>
      </c>
      <c r="F166">
        <v>150</v>
      </c>
      <c r="G166">
        <v>8</v>
      </c>
      <c r="H166">
        <v>6</v>
      </c>
      <c r="I166" t="str">
        <f t="shared" si="18"/>
        <v>8515086</v>
      </c>
      <c r="J166">
        <f t="shared" si="19"/>
        <v>1</v>
      </c>
      <c r="K166">
        <v>140</v>
      </c>
      <c r="L166">
        <v>220</v>
      </c>
      <c r="M166">
        <v>125</v>
      </c>
      <c r="N166" t="s">
        <v>556</v>
      </c>
      <c r="O166" t="s">
        <v>557</v>
      </c>
      <c r="P166" t="s">
        <v>557</v>
      </c>
      <c r="Q166">
        <v>0.71</v>
      </c>
      <c r="R166">
        <v>0.8</v>
      </c>
      <c r="S166">
        <v>0.72</v>
      </c>
      <c r="T166">
        <v>280</v>
      </c>
      <c r="U166">
        <v>200</v>
      </c>
      <c r="V166">
        <v>175</v>
      </c>
      <c r="W166">
        <v>1</v>
      </c>
      <c r="X166">
        <v>8</v>
      </c>
      <c r="Y166" t="str">
        <f t="shared" si="20"/>
        <v>20017528080.720.80.71600,000600,000900,000125220140</v>
      </c>
      <c r="Z166">
        <f t="shared" si="21"/>
        <v>1</v>
      </c>
      <c r="AA166" s="20">
        <v>15</v>
      </c>
      <c r="AB166" s="20">
        <v>31</v>
      </c>
      <c r="AC166" s="20">
        <v>7</v>
      </c>
      <c r="AD166" t="str">
        <f t="shared" si="22"/>
        <v>15317</v>
      </c>
      <c r="AE166">
        <f t="shared" si="23"/>
        <v>1</v>
      </c>
    </row>
    <row r="167" spans="1:31" x14ac:dyDescent="0.25">
      <c r="A167" t="s">
        <v>421</v>
      </c>
      <c r="B167" t="s">
        <v>358</v>
      </c>
      <c r="C167">
        <v>115203085</v>
      </c>
      <c r="D167" t="str">
        <f t="shared" si="17"/>
        <v>Khalifah, Mustafa-115203085</v>
      </c>
      <c r="E167">
        <v>85</v>
      </c>
      <c r="F167">
        <v>130</v>
      </c>
      <c r="G167">
        <v>5</v>
      </c>
      <c r="H167">
        <v>5</v>
      </c>
      <c r="I167" t="str">
        <f t="shared" si="18"/>
        <v>8513055</v>
      </c>
      <c r="J167">
        <f t="shared" si="19"/>
        <v>1</v>
      </c>
      <c r="K167">
        <v>150</v>
      </c>
      <c r="L167">
        <v>185</v>
      </c>
      <c r="M167">
        <v>115</v>
      </c>
      <c r="N167" t="s">
        <v>553</v>
      </c>
      <c r="O167" t="s">
        <v>555</v>
      </c>
      <c r="P167" t="s">
        <v>555</v>
      </c>
      <c r="Q167">
        <v>0.75</v>
      </c>
      <c r="R167">
        <v>0.79</v>
      </c>
      <c r="S167">
        <v>0.82</v>
      </c>
      <c r="T167">
        <v>295</v>
      </c>
      <c r="U167">
        <v>145</v>
      </c>
      <c r="V167">
        <v>240</v>
      </c>
      <c r="W167">
        <v>2</v>
      </c>
      <c r="X167">
        <v>10</v>
      </c>
      <c r="Y167" t="str">
        <f t="shared" si="20"/>
        <v>145240295100.820.790.75700,000700,000500,000115185150</v>
      </c>
      <c r="Z167">
        <f t="shared" si="21"/>
        <v>1</v>
      </c>
      <c r="AA167" s="20">
        <v>7</v>
      </c>
      <c r="AB167" s="20">
        <v>42</v>
      </c>
      <c r="AC167" s="20">
        <v>11</v>
      </c>
      <c r="AD167" t="str">
        <f t="shared" si="22"/>
        <v>74211</v>
      </c>
      <c r="AE167">
        <f t="shared" si="23"/>
        <v>1</v>
      </c>
    </row>
    <row r="168" spans="1:31" x14ac:dyDescent="0.25">
      <c r="A168" t="s">
        <v>423</v>
      </c>
      <c r="B168" t="s">
        <v>422</v>
      </c>
      <c r="C168">
        <v>115204019</v>
      </c>
      <c r="D168" t="str">
        <f t="shared" si="17"/>
        <v>Kılıç, Enes-115204019</v>
      </c>
      <c r="E168">
        <v>90</v>
      </c>
      <c r="F168">
        <v>112</v>
      </c>
      <c r="G168">
        <v>6</v>
      </c>
      <c r="H168">
        <v>8</v>
      </c>
      <c r="I168" t="str">
        <f t="shared" si="18"/>
        <v>9011268</v>
      </c>
      <c r="J168">
        <f t="shared" si="19"/>
        <v>1</v>
      </c>
      <c r="K168">
        <v>105</v>
      </c>
      <c r="L168">
        <v>230</v>
      </c>
      <c r="M168">
        <v>125</v>
      </c>
      <c r="N168" t="s">
        <v>553</v>
      </c>
      <c r="O168" t="s">
        <v>554</v>
      </c>
      <c r="P168" t="s">
        <v>556</v>
      </c>
      <c r="Q168">
        <v>0.83</v>
      </c>
      <c r="R168">
        <v>0.75</v>
      </c>
      <c r="S168">
        <v>0.84</v>
      </c>
      <c r="T168">
        <v>265</v>
      </c>
      <c r="U168">
        <v>200</v>
      </c>
      <c r="V168">
        <v>235</v>
      </c>
      <c r="W168">
        <v>2</v>
      </c>
      <c r="X168">
        <v>10</v>
      </c>
      <c r="Y168" t="str">
        <f t="shared" si="20"/>
        <v>200235265100.840.750.83900,000800,000500,000125230105</v>
      </c>
      <c r="Z168">
        <f t="shared" si="21"/>
        <v>1</v>
      </c>
      <c r="AA168" s="20">
        <v>5</v>
      </c>
      <c r="AB168" s="20">
        <v>45</v>
      </c>
      <c r="AC168" s="20">
        <v>17</v>
      </c>
      <c r="AD168" t="str">
        <f t="shared" si="22"/>
        <v>54517</v>
      </c>
      <c r="AE168">
        <f t="shared" si="23"/>
        <v>1</v>
      </c>
    </row>
    <row r="169" spans="1:31" x14ac:dyDescent="0.25">
      <c r="A169" t="s">
        <v>424</v>
      </c>
      <c r="B169" t="s">
        <v>407</v>
      </c>
      <c r="C169">
        <v>115203040</v>
      </c>
      <c r="D169" t="str">
        <f t="shared" si="17"/>
        <v>Kılıçaslan, Serkan-115203040</v>
      </c>
      <c r="E169">
        <v>90</v>
      </c>
      <c r="F169">
        <v>123</v>
      </c>
      <c r="G169">
        <v>7</v>
      </c>
      <c r="H169">
        <v>6</v>
      </c>
      <c r="I169" t="str">
        <f t="shared" si="18"/>
        <v>9012376</v>
      </c>
      <c r="J169">
        <f t="shared" si="19"/>
        <v>1</v>
      </c>
      <c r="K169">
        <v>140</v>
      </c>
      <c r="L169">
        <v>185</v>
      </c>
      <c r="M169">
        <v>140</v>
      </c>
      <c r="N169" t="s">
        <v>553</v>
      </c>
      <c r="O169" t="s">
        <v>553</v>
      </c>
      <c r="P169" t="s">
        <v>557</v>
      </c>
      <c r="Q169">
        <v>0.83</v>
      </c>
      <c r="R169">
        <v>0.71</v>
      </c>
      <c r="S169">
        <v>0.84</v>
      </c>
      <c r="T169">
        <v>300</v>
      </c>
      <c r="U169">
        <v>155</v>
      </c>
      <c r="V169">
        <v>235</v>
      </c>
      <c r="W169">
        <v>1</v>
      </c>
      <c r="X169">
        <v>8</v>
      </c>
      <c r="Y169" t="str">
        <f t="shared" si="20"/>
        <v>15523530080.840.710.83600,000500,000500,000140185140</v>
      </c>
      <c r="Z169">
        <f t="shared" si="21"/>
        <v>1</v>
      </c>
      <c r="AA169" s="20">
        <v>9</v>
      </c>
      <c r="AB169" s="20">
        <v>48</v>
      </c>
      <c r="AC169" s="20">
        <v>13</v>
      </c>
      <c r="AD169" t="str">
        <f t="shared" si="22"/>
        <v>94813</v>
      </c>
      <c r="AE169">
        <f t="shared" si="23"/>
        <v>1</v>
      </c>
    </row>
    <row r="170" spans="1:31" x14ac:dyDescent="0.25">
      <c r="A170" t="s">
        <v>163</v>
      </c>
      <c r="B170" t="s">
        <v>162</v>
      </c>
      <c r="C170">
        <v>112203013</v>
      </c>
      <c r="D170" t="str">
        <f t="shared" si="17"/>
        <v>Kılıçkap, Jiyan-112203013</v>
      </c>
      <c r="E170">
        <v>75</v>
      </c>
      <c r="F170">
        <v>145</v>
      </c>
      <c r="G170">
        <v>5</v>
      </c>
      <c r="H170">
        <v>8</v>
      </c>
      <c r="I170" t="str">
        <f t="shared" si="18"/>
        <v>7514558</v>
      </c>
      <c r="J170">
        <f t="shared" si="19"/>
        <v>1</v>
      </c>
      <c r="K170">
        <v>145</v>
      </c>
      <c r="L170">
        <v>235</v>
      </c>
      <c r="M170">
        <v>140</v>
      </c>
      <c r="N170" t="s">
        <v>557</v>
      </c>
      <c r="O170" t="s">
        <v>554</v>
      </c>
      <c r="P170" t="s">
        <v>557</v>
      </c>
      <c r="Q170">
        <v>0.83</v>
      </c>
      <c r="R170">
        <v>0.79</v>
      </c>
      <c r="S170">
        <v>0.71</v>
      </c>
      <c r="T170">
        <v>290</v>
      </c>
      <c r="U170">
        <v>195</v>
      </c>
      <c r="V170">
        <v>270</v>
      </c>
      <c r="W170">
        <v>3</v>
      </c>
      <c r="X170">
        <v>15</v>
      </c>
      <c r="Y170" t="str">
        <f t="shared" si="20"/>
        <v>195270290150.710.790.83600,000800,000600,000140235145</v>
      </c>
      <c r="Z170">
        <f t="shared" si="21"/>
        <v>1</v>
      </c>
      <c r="AA170" s="20">
        <v>7</v>
      </c>
      <c r="AB170" s="20">
        <v>40</v>
      </c>
      <c r="AC170" s="20">
        <v>22</v>
      </c>
      <c r="AD170" t="str">
        <f t="shared" si="22"/>
        <v>74022</v>
      </c>
      <c r="AE170">
        <f t="shared" si="23"/>
        <v>1</v>
      </c>
    </row>
    <row r="171" spans="1:31" x14ac:dyDescent="0.25">
      <c r="A171" t="s">
        <v>165</v>
      </c>
      <c r="B171" t="s">
        <v>164</v>
      </c>
      <c r="C171">
        <v>115204027</v>
      </c>
      <c r="D171" t="str">
        <f t="shared" si="17"/>
        <v>Kınalıdır, Baran-115204027</v>
      </c>
      <c r="E171">
        <v>77</v>
      </c>
      <c r="F171">
        <v>132</v>
      </c>
      <c r="G171">
        <v>9</v>
      </c>
      <c r="H171">
        <v>5</v>
      </c>
      <c r="I171" t="str">
        <f t="shared" si="18"/>
        <v>7713295</v>
      </c>
      <c r="J171">
        <f t="shared" si="19"/>
        <v>1</v>
      </c>
      <c r="K171">
        <v>110</v>
      </c>
      <c r="L171">
        <v>220</v>
      </c>
      <c r="M171">
        <v>120</v>
      </c>
      <c r="N171" t="s">
        <v>557</v>
      </c>
      <c r="O171" t="s">
        <v>557</v>
      </c>
      <c r="P171" t="s">
        <v>556</v>
      </c>
      <c r="Q171">
        <v>0.71</v>
      </c>
      <c r="R171">
        <v>0.77</v>
      </c>
      <c r="S171">
        <v>0.84</v>
      </c>
      <c r="T171">
        <v>240</v>
      </c>
      <c r="U171">
        <v>180</v>
      </c>
      <c r="V171">
        <v>290</v>
      </c>
      <c r="W171">
        <v>3</v>
      </c>
      <c r="X171">
        <v>15</v>
      </c>
      <c r="Y171" t="str">
        <f t="shared" si="20"/>
        <v>180290240150.840.770.71900,000600,000600,000120220110</v>
      </c>
      <c r="Z171">
        <f t="shared" si="21"/>
        <v>1</v>
      </c>
      <c r="AA171" s="20">
        <v>13</v>
      </c>
      <c r="AB171" s="20">
        <v>59</v>
      </c>
      <c r="AC171" s="20">
        <v>10</v>
      </c>
      <c r="AD171" t="str">
        <f t="shared" si="22"/>
        <v>135910</v>
      </c>
      <c r="AE171">
        <f t="shared" si="23"/>
        <v>1</v>
      </c>
    </row>
    <row r="172" spans="1:31" x14ac:dyDescent="0.25">
      <c r="A172" t="s">
        <v>425</v>
      </c>
      <c r="B172" t="s">
        <v>265</v>
      </c>
      <c r="C172">
        <v>116200154</v>
      </c>
      <c r="D172" t="str">
        <f t="shared" si="17"/>
        <v>Kıran, Furkan-116200154</v>
      </c>
      <c r="E172">
        <v>85</v>
      </c>
      <c r="F172">
        <v>101</v>
      </c>
      <c r="G172">
        <v>5</v>
      </c>
      <c r="H172">
        <v>6</v>
      </c>
      <c r="I172" t="str">
        <f t="shared" si="18"/>
        <v>8510156</v>
      </c>
      <c r="J172">
        <f t="shared" si="19"/>
        <v>1</v>
      </c>
      <c r="K172">
        <v>100</v>
      </c>
      <c r="L172">
        <v>165</v>
      </c>
      <c r="M172">
        <v>130</v>
      </c>
      <c r="N172" t="s">
        <v>553</v>
      </c>
      <c r="O172" t="s">
        <v>557</v>
      </c>
      <c r="P172" t="s">
        <v>554</v>
      </c>
      <c r="Q172">
        <v>0.84</v>
      </c>
      <c r="R172">
        <v>0.79</v>
      </c>
      <c r="S172">
        <v>0.84</v>
      </c>
      <c r="T172">
        <v>295</v>
      </c>
      <c r="U172">
        <v>135</v>
      </c>
      <c r="V172">
        <v>190</v>
      </c>
      <c r="W172">
        <v>3</v>
      </c>
      <c r="X172">
        <v>15</v>
      </c>
      <c r="Y172" t="str">
        <f t="shared" si="20"/>
        <v>135190295150.840.790.84800,000600,000500,000130165100</v>
      </c>
      <c r="Z172">
        <f t="shared" si="21"/>
        <v>1</v>
      </c>
      <c r="AA172" s="20">
        <v>15</v>
      </c>
      <c r="AB172" s="20">
        <v>52</v>
      </c>
      <c r="AC172" s="20">
        <v>15</v>
      </c>
      <c r="AD172" t="str">
        <f t="shared" si="22"/>
        <v>155215</v>
      </c>
      <c r="AE172">
        <f t="shared" si="23"/>
        <v>1</v>
      </c>
    </row>
    <row r="173" spans="1:31" x14ac:dyDescent="0.25">
      <c r="A173" t="s">
        <v>167</v>
      </c>
      <c r="B173" t="s">
        <v>166</v>
      </c>
      <c r="C173">
        <v>113205003</v>
      </c>
      <c r="D173" t="str">
        <f t="shared" si="17"/>
        <v>Kırmacı, Kılıç Kıray-113205003</v>
      </c>
      <c r="E173">
        <v>90</v>
      </c>
      <c r="F173">
        <v>102</v>
      </c>
      <c r="G173">
        <v>9</v>
      </c>
      <c r="H173">
        <v>9</v>
      </c>
      <c r="I173" t="str">
        <f t="shared" si="18"/>
        <v>9010299</v>
      </c>
      <c r="J173">
        <f t="shared" si="19"/>
        <v>1</v>
      </c>
      <c r="K173">
        <v>145</v>
      </c>
      <c r="L173">
        <v>235</v>
      </c>
      <c r="M173">
        <v>125</v>
      </c>
      <c r="N173" t="s">
        <v>557</v>
      </c>
      <c r="O173" t="s">
        <v>555</v>
      </c>
      <c r="P173" t="s">
        <v>557</v>
      </c>
      <c r="Q173">
        <v>0.78</v>
      </c>
      <c r="R173">
        <v>0.78</v>
      </c>
      <c r="S173">
        <v>0.79</v>
      </c>
      <c r="T173">
        <v>285</v>
      </c>
      <c r="U173">
        <v>200</v>
      </c>
      <c r="V173">
        <v>240</v>
      </c>
      <c r="W173">
        <v>2</v>
      </c>
      <c r="X173">
        <v>10</v>
      </c>
      <c r="Y173" t="str">
        <f t="shared" si="20"/>
        <v>200240285100.790.780.78600,000700,000600,000125235145</v>
      </c>
      <c r="Z173">
        <f t="shared" si="21"/>
        <v>1</v>
      </c>
      <c r="AA173" s="20">
        <v>14</v>
      </c>
      <c r="AB173" s="20">
        <v>68</v>
      </c>
      <c r="AC173" s="20">
        <v>11</v>
      </c>
      <c r="AD173" t="str">
        <f t="shared" si="22"/>
        <v>146811</v>
      </c>
      <c r="AE173">
        <f t="shared" si="23"/>
        <v>1</v>
      </c>
    </row>
    <row r="174" spans="1:31" x14ac:dyDescent="0.25">
      <c r="A174" t="s">
        <v>169</v>
      </c>
      <c r="B174" t="s">
        <v>168</v>
      </c>
      <c r="C174">
        <v>113202026</v>
      </c>
      <c r="D174" t="str">
        <f t="shared" si="17"/>
        <v>Kırmızıay, Büşra-113202026</v>
      </c>
      <c r="E174">
        <v>82</v>
      </c>
      <c r="F174">
        <v>112</v>
      </c>
      <c r="G174">
        <v>8</v>
      </c>
      <c r="H174">
        <v>7</v>
      </c>
      <c r="I174" t="str">
        <f t="shared" si="18"/>
        <v>8211287</v>
      </c>
      <c r="J174">
        <f t="shared" si="19"/>
        <v>1</v>
      </c>
      <c r="K174">
        <v>145</v>
      </c>
      <c r="L174">
        <v>250</v>
      </c>
      <c r="M174">
        <v>140</v>
      </c>
      <c r="N174" t="s">
        <v>557</v>
      </c>
      <c r="O174" t="s">
        <v>554</v>
      </c>
      <c r="P174" t="s">
        <v>554</v>
      </c>
      <c r="Q174">
        <v>0.75</v>
      </c>
      <c r="R174">
        <v>0.7</v>
      </c>
      <c r="S174">
        <v>0.77</v>
      </c>
      <c r="T174">
        <v>200</v>
      </c>
      <c r="U174">
        <v>220</v>
      </c>
      <c r="V174">
        <v>220</v>
      </c>
      <c r="W174">
        <v>2</v>
      </c>
      <c r="X174">
        <v>10</v>
      </c>
      <c r="Y174" t="str">
        <f t="shared" si="20"/>
        <v>220220200100.770.70.75800,000800,000600,000140250145</v>
      </c>
      <c r="Z174">
        <f t="shared" si="21"/>
        <v>1</v>
      </c>
      <c r="AA174" s="20">
        <v>9</v>
      </c>
      <c r="AB174" s="20">
        <v>60</v>
      </c>
      <c r="AC174" s="20">
        <v>13</v>
      </c>
      <c r="AD174" t="str">
        <f t="shared" si="22"/>
        <v>96013</v>
      </c>
      <c r="AE174">
        <f t="shared" si="23"/>
        <v>1</v>
      </c>
    </row>
    <row r="175" spans="1:31" x14ac:dyDescent="0.25">
      <c r="A175" t="s">
        <v>429</v>
      </c>
      <c r="B175" t="s">
        <v>428</v>
      </c>
      <c r="C175">
        <v>116203055</v>
      </c>
      <c r="D175" t="str">
        <f t="shared" si="17"/>
        <v>Kişi, Murtaza-116203055</v>
      </c>
      <c r="E175">
        <v>90</v>
      </c>
      <c r="F175">
        <v>120</v>
      </c>
      <c r="G175">
        <v>9</v>
      </c>
      <c r="H175">
        <v>8</v>
      </c>
      <c r="I175" t="str">
        <f t="shared" si="18"/>
        <v>9012098</v>
      </c>
      <c r="J175">
        <f t="shared" si="19"/>
        <v>1</v>
      </c>
      <c r="K175">
        <v>145</v>
      </c>
      <c r="L175">
        <v>220</v>
      </c>
      <c r="M175">
        <v>100</v>
      </c>
      <c r="N175" t="s">
        <v>557</v>
      </c>
      <c r="O175" t="s">
        <v>556</v>
      </c>
      <c r="P175" t="s">
        <v>554</v>
      </c>
      <c r="Q175">
        <v>0.79</v>
      </c>
      <c r="R175">
        <v>0.75</v>
      </c>
      <c r="S175">
        <v>0.85</v>
      </c>
      <c r="T175">
        <v>280</v>
      </c>
      <c r="U175">
        <v>200</v>
      </c>
      <c r="V175">
        <v>255</v>
      </c>
      <c r="W175">
        <v>1</v>
      </c>
      <c r="X175">
        <v>8</v>
      </c>
      <c r="Y175" t="str">
        <f t="shared" si="20"/>
        <v>20025528080.850.750.79800,000900,000600,000100220145</v>
      </c>
      <c r="Z175">
        <f t="shared" si="21"/>
        <v>1</v>
      </c>
      <c r="AA175" s="20">
        <v>9</v>
      </c>
      <c r="AB175" s="20">
        <v>81</v>
      </c>
      <c r="AC175" s="20">
        <v>23</v>
      </c>
      <c r="AD175" t="str">
        <f t="shared" si="22"/>
        <v>98123</v>
      </c>
      <c r="AE175">
        <f t="shared" si="23"/>
        <v>1</v>
      </c>
    </row>
    <row r="176" spans="1:31" x14ac:dyDescent="0.25">
      <c r="A176" t="s">
        <v>427</v>
      </c>
      <c r="B176" t="s">
        <v>426</v>
      </c>
      <c r="C176">
        <v>115204055</v>
      </c>
      <c r="D176" t="str">
        <f t="shared" si="17"/>
        <v>Kızılpınar, Onur Çağrı-115204055</v>
      </c>
      <c r="E176">
        <v>76</v>
      </c>
      <c r="F176">
        <v>102</v>
      </c>
      <c r="G176">
        <v>6</v>
      </c>
      <c r="H176">
        <v>5</v>
      </c>
      <c r="I176" t="str">
        <f t="shared" si="18"/>
        <v>7610265</v>
      </c>
      <c r="J176">
        <f t="shared" si="19"/>
        <v>1</v>
      </c>
      <c r="K176">
        <v>100</v>
      </c>
      <c r="L176">
        <v>215</v>
      </c>
      <c r="M176">
        <v>100</v>
      </c>
      <c r="N176" t="s">
        <v>554</v>
      </c>
      <c r="O176" t="s">
        <v>554</v>
      </c>
      <c r="P176" t="s">
        <v>557</v>
      </c>
      <c r="Q176">
        <v>0.74</v>
      </c>
      <c r="R176">
        <v>0.72</v>
      </c>
      <c r="S176">
        <v>0.81</v>
      </c>
      <c r="T176">
        <v>255</v>
      </c>
      <c r="U176">
        <v>185</v>
      </c>
      <c r="V176">
        <v>265</v>
      </c>
      <c r="W176">
        <v>1</v>
      </c>
      <c r="X176">
        <v>8</v>
      </c>
      <c r="Y176" t="str">
        <f t="shared" si="20"/>
        <v>18526525580.810.720.74600,000800,000800,000100215100</v>
      </c>
      <c r="Z176">
        <f t="shared" si="21"/>
        <v>1</v>
      </c>
      <c r="AA176" s="20">
        <v>9</v>
      </c>
      <c r="AB176" s="20">
        <v>44</v>
      </c>
      <c r="AC176" s="20">
        <v>19</v>
      </c>
      <c r="AD176" t="str">
        <f t="shared" si="22"/>
        <v>94419</v>
      </c>
      <c r="AE176">
        <f t="shared" si="23"/>
        <v>1</v>
      </c>
    </row>
    <row r="177" spans="1:31" x14ac:dyDescent="0.25">
      <c r="A177" t="s">
        <v>171</v>
      </c>
      <c r="B177" t="s">
        <v>170</v>
      </c>
      <c r="C177">
        <v>113205011</v>
      </c>
      <c r="D177" t="str">
        <f t="shared" si="17"/>
        <v>Koçak, Yusuf-113205011</v>
      </c>
      <c r="E177">
        <v>78</v>
      </c>
      <c r="F177">
        <v>131</v>
      </c>
      <c r="G177">
        <v>5</v>
      </c>
      <c r="H177">
        <v>6</v>
      </c>
      <c r="I177" t="str">
        <f t="shared" si="18"/>
        <v>7813156</v>
      </c>
      <c r="J177">
        <f t="shared" si="19"/>
        <v>1</v>
      </c>
      <c r="K177">
        <v>150</v>
      </c>
      <c r="L177">
        <v>210</v>
      </c>
      <c r="M177">
        <v>100</v>
      </c>
      <c r="N177" t="s">
        <v>553</v>
      </c>
      <c r="O177" t="s">
        <v>557</v>
      </c>
      <c r="P177" t="s">
        <v>556</v>
      </c>
      <c r="Q177">
        <v>0.81</v>
      </c>
      <c r="R177">
        <v>0.72</v>
      </c>
      <c r="S177">
        <v>0.74</v>
      </c>
      <c r="T177">
        <v>260</v>
      </c>
      <c r="U177">
        <v>175</v>
      </c>
      <c r="V177">
        <v>185</v>
      </c>
      <c r="W177">
        <v>3</v>
      </c>
      <c r="X177">
        <v>15</v>
      </c>
      <c r="Y177" t="str">
        <f t="shared" si="20"/>
        <v>175185260150.740.720.81900,000600,000500,000100210150</v>
      </c>
      <c r="Z177">
        <f t="shared" si="21"/>
        <v>1</v>
      </c>
      <c r="AA177" s="20">
        <v>6</v>
      </c>
      <c r="AB177" s="20">
        <v>51</v>
      </c>
      <c r="AC177" s="20">
        <v>18</v>
      </c>
      <c r="AD177" t="str">
        <f t="shared" si="22"/>
        <v>65118</v>
      </c>
      <c r="AE177">
        <f t="shared" si="23"/>
        <v>1</v>
      </c>
    </row>
    <row r="178" spans="1:31" x14ac:dyDescent="0.25">
      <c r="A178" t="s">
        <v>435</v>
      </c>
      <c r="B178" t="s">
        <v>434</v>
      </c>
      <c r="C178">
        <v>114203043</v>
      </c>
      <c r="D178" t="str">
        <f t="shared" si="17"/>
        <v>Köksal, Kadir Burak-114203043</v>
      </c>
      <c r="E178">
        <v>81</v>
      </c>
      <c r="F178">
        <v>149</v>
      </c>
      <c r="G178">
        <v>5</v>
      </c>
      <c r="H178">
        <v>9</v>
      </c>
      <c r="I178" t="str">
        <f t="shared" si="18"/>
        <v>8114959</v>
      </c>
      <c r="J178">
        <f t="shared" si="19"/>
        <v>1</v>
      </c>
      <c r="K178">
        <v>120</v>
      </c>
      <c r="L178">
        <v>150</v>
      </c>
      <c r="M178">
        <v>125</v>
      </c>
      <c r="N178" t="s">
        <v>554</v>
      </c>
      <c r="O178" t="s">
        <v>555</v>
      </c>
      <c r="P178" t="s">
        <v>553</v>
      </c>
      <c r="Q178">
        <v>0.77</v>
      </c>
      <c r="R178">
        <v>0.81</v>
      </c>
      <c r="S178">
        <v>0.81</v>
      </c>
      <c r="T178">
        <v>270</v>
      </c>
      <c r="U178">
        <v>110</v>
      </c>
      <c r="V178">
        <v>220</v>
      </c>
      <c r="W178">
        <v>1</v>
      </c>
      <c r="X178">
        <v>8</v>
      </c>
      <c r="Y178" t="str">
        <f t="shared" si="20"/>
        <v>11022027080.810.810.77500,000700,000800,000125150120</v>
      </c>
      <c r="Z178">
        <f t="shared" si="21"/>
        <v>1</v>
      </c>
      <c r="AA178" s="20">
        <v>6</v>
      </c>
      <c r="AB178" s="20">
        <v>55</v>
      </c>
      <c r="AC178" s="20">
        <v>15</v>
      </c>
      <c r="AD178" t="str">
        <f t="shared" si="22"/>
        <v>65515</v>
      </c>
      <c r="AE178">
        <f t="shared" si="23"/>
        <v>1</v>
      </c>
    </row>
    <row r="179" spans="1:31" x14ac:dyDescent="0.25">
      <c r="A179" t="s">
        <v>431</v>
      </c>
      <c r="B179" t="s">
        <v>430</v>
      </c>
      <c r="C179">
        <v>114204036</v>
      </c>
      <c r="D179" t="str">
        <f t="shared" si="17"/>
        <v>Kontürk, İlker-114204036</v>
      </c>
      <c r="E179">
        <v>75</v>
      </c>
      <c r="F179">
        <v>132</v>
      </c>
      <c r="G179">
        <v>5</v>
      </c>
      <c r="H179">
        <v>7</v>
      </c>
      <c r="I179" t="str">
        <f t="shared" si="18"/>
        <v>7513257</v>
      </c>
      <c r="J179">
        <f t="shared" si="19"/>
        <v>1</v>
      </c>
      <c r="K179">
        <v>150</v>
      </c>
      <c r="L179">
        <v>165</v>
      </c>
      <c r="M179">
        <v>130</v>
      </c>
      <c r="N179" t="s">
        <v>555</v>
      </c>
      <c r="O179" t="s">
        <v>554</v>
      </c>
      <c r="P179" t="s">
        <v>553</v>
      </c>
      <c r="Q179">
        <v>0.78</v>
      </c>
      <c r="R179">
        <v>0.85</v>
      </c>
      <c r="S179">
        <v>0.71</v>
      </c>
      <c r="T179">
        <v>185</v>
      </c>
      <c r="U179">
        <v>125</v>
      </c>
      <c r="V179">
        <v>245</v>
      </c>
      <c r="W179">
        <v>1</v>
      </c>
      <c r="X179">
        <v>8</v>
      </c>
      <c r="Y179" t="str">
        <f t="shared" si="20"/>
        <v>12524518580.710.850.78500,000800,000700,000130165150</v>
      </c>
      <c r="Z179">
        <f t="shared" si="21"/>
        <v>1</v>
      </c>
      <c r="AA179" s="20">
        <v>8</v>
      </c>
      <c r="AB179" s="20">
        <v>90</v>
      </c>
      <c r="AC179" s="20">
        <v>20</v>
      </c>
      <c r="AD179" t="str">
        <f t="shared" si="22"/>
        <v>89020</v>
      </c>
      <c r="AE179">
        <f t="shared" si="23"/>
        <v>1</v>
      </c>
    </row>
    <row r="180" spans="1:31" x14ac:dyDescent="0.25">
      <c r="A180" t="s">
        <v>436</v>
      </c>
      <c r="B180" t="s">
        <v>368</v>
      </c>
      <c r="C180">
        <v>116201145</v>
      </c>
      <c r="D180" t="str">
        <f t="shared" si="17"/>
        <v>Köroğlu, Çağla-116201145</v>
      </c>
      <c r="E180">
        <v>77</v>
      </c>
      <c r="F180">
        <v>127</v>
      </c>
      <c r="G180">
        <v>9</v>
      </c>
      <c r="H180">
        <v>6</v>
      </c>
      <c r="I180" t="str">
        <f t="shared" si="18"/>
        <v>7712796</v>
      </c>
      <c r="J180">
        <f t="shared" si="19"/>
        <v>1</v>
      </c>
      <c r="K180">
        <v>125</v>
      </c>
      <c r="L180">
        <v>180</v>
      </c>
      <c r="M180">
        <v>135</v>
      </c>
      <c r="N180" t="s">
        <v>556</v>
      </c>
      <c r="O180" t="s">
        <v>554</v>
      </c>
      <c r="P180" t="s">
        <v>557</v>
      </c>
      <c r="Q180">
        <v>0.85</v>
      </c>
      <c r="R180">
        <v>0.82</v>
      </c>
      <c r="S180">
        <v>0.73</v>
      </c>
      <c r="T180">
        <v>270</v>
      </c>
      <c r="U180">
        <v>160</v>
      </c>
      <c r="V180">
        <v>270</v>
      </c>
      <c r="W180">
        <v>1</v>
      </c>
      <c r="X180">
        <v>8</v>
      </c>
      <c r="Y180" t="str">
        <f t="shared" si="20"/>
        <v>16027027080.730.820.85600,000800,000900,000135180125</v>
      </c>
      <c r="Z180">
        <f t="shared" si="21"/>
        <v>1</v>
      </c>
      <c r="AA180" s="20">
        <v>7</v>
      </c>
      <c r="AB180" s="20">
        <v>37</v>
      </c>
      <c r="AC180" s="20">
        <v>22</v>
      </c>
      <c r="AD180" t="str">
        <f t="shared" si="22"/>
        <v>73722</v>
      </c>
      <c r="AE180">
        <f t="shared" si="23"/>
        <v>1</v>
      </c>
    </row>
    <row r="181" spans="1:31" x14ac:dyDescent="0.25">
      <c r="A181" t="s">
        <v>433</v>
      </c>
      <c r="B181" t="s">
        <v>432</v>
      </c>
      <c r="C181">
        <v>113204020</v>
      </c>
      <c r="D181" t="str">
        <f t="shared" si="17"/>
        <v>Koyutürk, Raşit-113204020</v>
      </c>
      <c r="E181">
        <v>71</v>
      </c>
      <c r="F181">
        <v>113</v>
      </c>
      <c r="G181">
        <v>7</v>
      </c>
      <c r="H181">
        <v>8</v>
      </c>
      <c r="I181" t="str">
        <f t="shared" si="18"/>
        <v>7111378</v>
      </c>
      <c r="J181">
        <f t="shared" si="19"/>
        <v>1</v>
      </c>
      <c r="K181">
        <v>120</v>
      </c>
      <c r="L181">
        <v>230</v>
      </c>
      <c r="M181">
        <v>120</v>
      </c>
      <c r="N181" t="s">
        <v>554</v>
      </c>
      <c r="O181" t="s">
        <v>553</v>
      </c>
      <c r="P181" t="s">
        <v>557</v>
      </c>
      <c r="Q181">
        <v>0.71</v>
      </c>
      <c r="R181">
        <v>0.83</v>
      </c>
      <c r="S181">
        <v>0.79</v>
      </c>
      <c r="T181">
        <v>195</v>
      </c>
      <c r="U181">
        <v>195</v>
      </c>
      <c r="V181">
        <v>205</v>
      </c>
      <c r="W181">
        <v>1</v>
      </c>
      <c r="X181">
        <v>8</v>
      </c>
      <c r="Y181" t="str">
        <f t="shared" si="20"/>
        <v>19520519580.790.830.71600,000500,000800,000120230120</v>
      </c>
      <c r="Z181">
        <f t="shared" si="21"/>
        <v>1</v>
      </c>
      <c r="AA181" s="20">
        <v>13</v>
      </c>
      <c r="AB181" s="20">
        <v>38</v>
      </c>
      <c r="AC181" s="20">
        <v>6</v>
      </c>
      <c r="AD181" t="str">
        <f t="shared" si="22"/>
        <v>13386</v>
      </c>
      <c r="AE181">
        <f t="shared" si="23"/>
        <v>1</v>
      </c>
    </row>
    <row r="182" spans="1:31" x14ac:dyDescent="0.25">
      <c r="A182" t="s">
        <v>180</v>
      </c>
      <c r="B182" t="s">
        <v>57</v>
      </c>
      <c r="C182">
        <v>114202009</v>
      </c>
      <c r="D182" t="str">
        <f t="shared" si="17"/>
        <v>Küçük, Elif-114202009</v>
      </c>
      <c r="E182">
        <v>75</v>
      </c>
      <c r="F182">
        <v>129</v>
      </c>
      <c r="G182">
        <v>7</v>
      </c>
      <c r="H182">
        <v>9</v>
      </c>
      <c r="I182" t="str">
        <f t="shared" si="18"/>
        <v>7512979</v>
      </c>
      <c r="J182">
        <f t="shared" si="19"/>
        <v>1</v>
      </c>
      <c r="K182">
        <v>150</v>
      </c>
      <c r="L182">
        <v>220</v>
      </c>
      <c r="M182">
        <v>130</v>
      </c>
      <c r="N182" t="s">
        <v>556</v>
      </c>
      <c r="O182" t="s">
        <v>554</v>
      </c>
      <c r="P182" t="s">
        <v>555</v>
      </c>
      <c r="Q182">
        <v>0.72</v>
      </c>
      <c r="R182">
        <v>0.77</v>
      </c>
      <c r="S182">
        <v>0.84</v>
      </c>
      <c r="T182">
        <v>285</v>
      </c>
      <c r="U182">
        <v>185</v>
      </c>
      <c r="V182">
        <v>210</v>
      </c>
      <c r="W182">
        <v>3</v>
      </c>
      <c r="X182">
        <v>15</v>
      </c>
      <c r="Y182" t="str">
        <f t="shared" si="20"/>
        <v>185210285150.840.770.72700,000800,000900,000130220150</v>
      </c>
      <c r="Z182">
        <f t="shared" si="21"/>
        <v>1</v>
      </c>
      <c r="AA182" s="20">
        <v>10</v>
      </c>
      <c r="AB182" s="20">
        <v>81</v>
      </c>
      <c r="AC182" s="20">
        <v>15</v>
      </c>
      <c r="AD182" t="str">
        <f t="shared" si="22"/>
        <v>108115</v>
      </c>
      <c r="AE182">
        <f t="shared" si="23"/>
        <v>1</v>
      </c>
    </row>
    <row r="183" spans="1:31" x14ac:dyDescent="0.25">
      <c r="A183" t="s">
        <v>180</v>
      </c>
      <c r="B183" t="s">
        <v>179</v>
      </c>
      <c r="C183">
        <v>114202047</v>
      </c>
      <c r="D183" t="str">
        <f t="shared" si="17"/>
        <v>Küçük, Hüseyin Ardan-114202047</v>
      </c>
      <c r="E183">
        <v>85</v>
      </c>
      <c r="F183">
        <v>101</v>
      </c>
      <c r="G183">
        <v>9</v>
      </c>
      <c r="H183">
        <v>8</v>
      </c>
      <c r="I183" t="str">
        <f t="shared" si="18"/>
        <v>8510198</v>
      </c>
      <c r="J183">
        <f t="shared" si="19"/>
        <v>1</v>
      </c>
      <c r="K183">
        <v>100</v>
      </c>
      <c r="L183">
        <v>170</v>
      </c>
      <c r="M183">
        <v>145</v>
      </c>
      <c r="N183" t="s">
        <v>557</v>
      </c>
      <c r="O183" t="s">
        <v>553</v>
      </c>
      <c r="P183" t="s">
        <v>555</v>
      </c>
      <c r="Q183">
        <v>0.74</v>
      </c>
      <c r="R183">
        <v>0.74</v>
      </c>
      <c r="S183">
        <v>0.71</v>
      </c>
      <c r="T183">
        <v>205</v>
      </c>
      <c r="U183">
        <v>130</v>
      </c>
      <c r="V183">
        <v>290</v>
      </c>
      <c r="W183">
        <v>1</v>
      </c>
      <c r="X183">
        <v>8</v>
      </c>
      <c r="Y183" t="str">
        <f t="shared" si="20"/>
        <v>13029020580.710.740.74700,000500,000600,000145170100</v>
      </c>
      <c r="Z183">
        <f t="shared" si="21"/>
        <v>1</v>
      </c>
      <c r="AA183" s="20">
        <v>5</v>
      </c>
      <c r="AB183" s="20">
        <v>48</v>
      </c>
      <c r="AC183" s="20">
        <v>21</v>
      </c>
      <c r="AD183" t="str">
        <f t="shared" si="22"/>
        <v>54821</v>
      </c>
      <c r="AE183">
        <f t="shared" si="23"/>
        <v>1</v>
      </c>
    </row>
    <row r="184" spans="1:31" x14ac:dyDescent="0.25">
      <c r="A184" t="s">
        <v>182</v>
      </c>
      <c r="B184" t="s">
        <v>181</v>
      </c>
      <c r="C184">
        <v>116203182</v>
      </c>
      <c r="D184" t="str">
        <f t="shared" si="17"/>
        <v>Küçükyılmaz, Canakan-116203182</v>
      </c>
      <c r="E184">
        <v>79</v>
      </c>
      <c r="F184">
        <v>116</v>
      </c>
      <c r="G184">
        <v>9</v>
      </c>
      <c r="H184">
        <v>6</v>
      </c>
      <c r="I184" t="str">
        <f t="shared" si="18"/>
        <v>7911696</v>
      </c>
      <c r="J184">
        <f t="shared" si="19"/>
        <v>1</v>
      </c>
      <c r="K184">
        <v>100</v>
      </c>
      <c r="L184">
        <v>175</v>
      </c>
      <c r="M184">
        <v>140</v>
      </c>
      <c r="N184" t="s">
        <v>555</v>
      </c>
      <c r="O184" t="s">
        <v>553</v>
      </c>
      <c r="P184" t="s">
        <v>557</v>
      </c>
      <c r="Q184">
        <v>0.81</v>
      </c>
      <c r="R184">
        <v>0.83</v>
      </c>
      <c r="S184">
        <v>0.78</v>
      </c>
      <c r="T184">
        <v>205</v>
      </c>
      <c r="U184">
        <v>150</v>
      </c>
      <c r="V184">
        <v>260</v>
      </c>
      <c r="W184">
        <v>1</v>
      </c>
      <c r="X184">
        <v>8</v>
      </c>
      <c r="Y184" t="str">
        <f t="shared" si="20"/>
        <v>15026020580.780.830.81600,000500,000700,000140175100</v>
      </c>
      <c r="Z184">
        <f t="shared" si="21"/>
        <v>1</v>
      </c>
      <c r="AA184" s="20">
        <v>14</v>
      </c>
      <c r="AB184" s="20">
        <v>43</v>
      </c>
      <c r="AC184" s="20">
        <v>11</v>
      </c>
      <c r="AD184" t="str">
        <f t="shared" si="22"/>
        <v>144311</v>
      </c>
      <c r="AE184">
        <f t="shared" si="23"/>
        <v>1</v>
      </c>
    </row>
    <row r="185" spans="1:31" x14ac:dyDescent="0.25">
      <c r="A185" t="s">
        <v>437</v>
      </c>
      <c r="B185" t="s">
        <v>203</v>
      </c>
      <c r="C185">
        <v>114205040</v>
      </c>
      <c r="D185" t="str">
        <f t="shared" si="17"/>
        <v>Kumruluoğlu, Ahmet-114205040</v>
      </c>
      <c r="E185">
        <v>74</v>
      </c>
      <c r="F185">
        <v>105</v>
      </c>
      <c r="G185">
        <v>6</v>
      </c>
      <c r="H185">
        <v>6</v>
      </c>
      <c r="I185" t="str">
        <f t="shared" si="18"/>
        <v>7410566</v>
      </c>
      <c r="J185">
        <f t="shared" si="19"/>
        <v>1</v>
      </c>
      <c r="K185">
        <v>130</v>
      </c>
      <c r="L185">
        <v>210</v>
      </c>
      <c r="M185">
        <v>125</v>
      </c>
      <c r="N185" t="s">
        <v>557</v>
      </c>
      <c r="O185" t="s">
        <v>555</v>
      </c>
      <c r="P185" t="s">
        <v>553</v>
      </c>
      <c r="Q185">
        <v>0.72</v>
      </c>
      <c r="R185">
        <v>0.8</v>
      </c>
      <c r="S185">
        <v>0.7</v>
      </c>
      <c r="T185">
        <v>285</v>
      </c>
      <c r="U185">
        <v>180</v>
      </c>
      <c r="V185">
        <v>195</v>
      </c>
      <c r="W185">
        <v>3</v>
      </c>
      <c r="X185">
        <v>15</v>
      </c>
      <c r="Y185" t="str">
        <f t="shared" si="20"/>
        <v>180195285150.70.80.72500,000700,000600,000125210130</v>
      </c>
      <c r="Z185">
        <f t="shared" si="21"/>
        <v>1</v>
      </c>
      <c r="AA185" s="20">
        <v>14</v>
      </c>
      <c r="AB185" s="20">
        <v>33</v>
      </c>
      <c r="AC185" s="20">
        <v>18</v>
      </c>
      <c r="AD185" t="str">
        <f t="shared" si="22"/>
        <v>143318</v>
      </c>
      <c r="AE185">
        <f t="shared" si="23"/>
        <v>1</v>
      </c>
    </row>
    <row r="186" spans="1:31" x14ac:dyDescent="0.25">
      <c r="A186" t="s">
        <v>173</v>
      </c>
      <c r="B186" t="s">
        <v>172</v>
      </c>
      <c r="C186">
        <v>114200013</v>
      </c>
      <c r="D186" t="str">
        <f t="shared" si="17"/>
        <v>Kundak, Esin-114200013</v>
      </c>
      <c r="E186">
        <v>76</v>
      </c>
      <c r="F186">
        <v>136</v>
      </c>
      <c r="G186">
        <v>7</v>
      </c>
      <c r="H186">
        <v>5</v>
      </c>
      <c r="I186" t="str">
        <f t="shared" si="18"/>
        <v>7613675</v>
      </c>
      <c r="J186">
        <f t="shared" si="19"/>
        <v>1</v>
      </c>
      <c r="K186">
        <v>125</v>
      </c>
      <c r="L186">
        <v>245</v>
      </c>
      <c r="M186">
        <v>150</v>
      </c>
      <c r="N186" t="s">
        <v>555</v>
      </c>
      <c r="O186" t="s">
        <v>553</v>
      </c>
      <c r="P186" t="s">
        <v>554</v>
      </c>
      <c r="Q186">
        <v>0.83</v>
      </c>
      <c r="R186">
        <v>0.84</v>
      </c>
      <c r="S186">
        <v>0.79</v>
      </c>
      <c r="T186">
        <v>260</v>
      </c>
      <c r="U186">
        <v>220</v>
      </c>
      <c r="V186">
        <v>275</v>
      </c>
      <c r="W186">
        <v>3</v>
      </c>
      <c r="X186">
        <v>15</v>
      </c>
      <c r="Y186" t="str">
        <f t="shared" si="20"/>
        <v>220275260150.790.840.83800,000500,000700,000150245125</v>
      </c>
      <c r="Z186">
        <f t="shared" si="21"/>
        <v>1</v>
      </c>
      <c r="AA186" s="20">
        <v>6</v>
      </c>
      <c r="AB186" s="20">
        <v>80</v>
      </c>
      <c r="AC186" s="20">
        <v>19</v>
      </c>
      <c r="AD186" t="str">
        <f t="shared" si="22"/>
        <v>68019</v>
      </c>
      <c r="AE186">
        <f t="shared" si="23"/>
        <v>1</v>
      </c>
    </row>
    <row r="187" spans="1:31" x14ac:dyDescent="0.25">
      <c r="A187" t="s">
        <v>175</v>
      </c>
      <c r="B187" t="s">
        <v>174</v>
      </c>
      <c r="C187">
        <v>114200064</v>
      </c>
      <c r="D187" t="str">
        <f t="shared" si="17"/>
        <v>Kurt, Ferdi-114200064</v>
      </c>
      <c r="E187">
        <v>85</v>
      </c>
      <c r="F187">
        <v>124</v>
      </c>
      <c r="G187">
        <v>5</v>
      </c>
      <c r="H187">
        <v>6</v>
      </c>
      <c r="I187" t="str">
        <f t="shared" si="18"/>
        <v>8512456</v>
      </c>
      <c r="J187">
        <f t="shared" si="19"/>
        <v>1</v>
      </c>
      <c r="K187">
        <v>115</v>
      </c>
      <c r="L187">
        <v>245</v>
      </c>
      <c r="M187">
        <v>140</v>
      </c>
      <c r="N187" t="s">
        <v>557</v>
      </c>
      <c r="O187" t="s">
        <v>557</v>
      </c>
      <c r="P187" t="s">
        <v>556</v>
      </c>
      <c r="Q187">
        <v>0.82</v>
      </c>
      <c r="R187">
        <v>0.76</v>
      </c>
      <c r="S187">
        <v>0.81</v>
      </c>
      <c r="T187">
        <v>295</v>
      </c>
      <c r="U187">
        <v>225</v>
      </c>
      <c r="V187">
        <v>180</v>
      </c>
      <c r="W187">
        <v>1</v>
      </c>
      <c r="X187">
        <v>8</v>
      </c>
      <c r="Y187" t="str">
        <f t="shared" si="20"/>
        <v>22518029580.810.760.82900,000600,000600,000140245115</v>
      </c>
      <c r="Z187">
        <f t="shared" si="21"/>
        <v>1</v>
      </c>
      <c r="AA187" s="20">
        <v>10</v>
      </c>
      <c r="AB187" s="20">
        <v>65</v>
      </c>
      <c r="AC187" s="20">
        <v>16</v>
      </c>
      <c r="AD187" t="str">
        <f t="shared" si="22"/>
        <v>106516</v>
      </c>
      <c r="AE187">
        <f t="shared" si="23"/>
        <v>1</v>
      </c>
    </row>
    <row r="188" spans="1:31" x14ac:dyDescent="0.25">
      <c r="A188" t="s">
        <v>175</v>
      </c>
      <c r="B188" t="s">
        <v>176</v>
      </c>
      <c r="C188">
        <v>116202077</v>
      </c>
      <c r="D188" t="str">
        <f t="shared" si="17"/>
        <v>Kurt, Necmettin Barış-116202077</v>
      </c>
      <c r="E188">
        <v>77</v>
      </c>
      <c r="F188">
        <v>136</v>
      </c>
      <c r="G188">
        <v>5</v>
      </c>
      <c r="H188">
        <v>9</v>
      </c>
      <c r="I188" t="str">
        <f t="shared" si="18"/>
        <v>7713659</v>
      </c>
      <c r="J188">
        <f t="shared" si="19"/>
        <v>1</v>
      </c>
      <c r="K188">
        <v>120</v>
      </c>
      <c r="L188">
        <v>200</v>
      </c>
      <c r="M188">
        <v>130</v>
      </c>
      <c r="N188" t="s">
        <v>553</v>
      </c>
      <c r="O188" t="s">
        <v>557</v>
      </c>
      <c r="P188" t="s">
        <v>554</v>
      </c>
      <c r="Q188">
        <v>0.83</v>
      </c>
      <c r="R188">
        <v>0.84</v>
      </c>
      <c r="S188">
        <v>0.81</v>
      </c>
      <c r="T188">
        <v>260</v>
      </c>
      <c r="U188">
        <v>165</v>
      </c>
      <c r="V188">
        <v>295</v>
      </c>
      <c r="W188">
        <v>2</v>
      </c>
      <c r="X188">
        <v>10</v>
      </c>
      <c r="Y188" t="str">
        <f t="shared" si="20"/>
        <v>165295260100.810.840.83800,000600,000500,000130200120</v>
      </c>
      <c r="Z188">
        <f t="shared" si="21"/>
        <v>1</v>
      </c>
      <c r="AA188" s="20">
        <v>11</v>
      </c>
      <c r="AB188" s="20">
        <v>57</v>
      </c>
      <c r="AC188" s="20">
        <v>7</v>
      </c>
      <c r="AD188" t="str">
        <f t="shared" si="22"/>
        <v>11577</v>
      </c>
      <c r="AE188">
        <f t="shared" si="23"/>
        <v>1</v>
      </c>
    </row>
    <row r="189" spans="1:31" x14ac:dyDescent="0.25">
      <c r="A189" t="s">
        <v>438</v>
      </c>
      <c r="B189" t="s">
        <v>16</v>
      </c>
      <c r="C189">
        <v>115202089</v>
      </c>
      <c r="D189" t="str">
        <f t="shared" si="17"/>
        <v>Kuşoğlu, Emre-115202089</v>
      </c>
      <c r="E189">
        <v>71</v>
      </c>
      <c r="F189">
        <v>128</v>
      </c>
      <c r="G189">
        <v>5</v>
      </c>
      <c r="H189">
        <v>5</v>
      </c>
      <c r="I189" t="str">
        <f t="shared" si="18"/>
        <v>7112855</v>
      </c>
      <c r="J189">
        <f t="shared" si="19"/>
        <v>1</v>
      </c>
      <c r="K189">
        <v>105</v>
      </c>
      <c r="L189">
        <v>230</v>
      </c>
      <c r="M189">
        <v>130</v>
      </c>
      <c r="N189" t="s">
        <v>554</v>
      </c>
      <c r="O189" t="s">
        <v>557</v>
      </c>
      <c r="P189" t="s">
        <v>556</v>
      </c>
      <c r="Q189">
        <v>0.76</v>
      </c>
      <c r="R189">
        <v>0.76</v>
      </c>
      <c r="S189">
        <v>0.74</v>
      </c>
      <c r="T189">
        <v>210</v>
      </c>
      <c r="U189">
        <v>190</v>
      </c>
      <c r="V189">
        <v>180</v>
      </c>
      <c r="W189">
        <v>1</v>
      </c>
      <c r="X189">
        <v>8</v>
      </c>
      <c r="Y189" t="str">
        <f t="shared" si="20"/>
        <v>19018021080.740.760.76900,000600,000800,000130230105</v>
      </c>
      <c r="Z189">
        <f t="shared" si="21"/>
        <v>1</v>
      </c>
      <c r="AA189" s="20">
        <v>15</v>
      </c>
      <c r="AB189" s="20">
        <v>72</v>
      </c>
      <c r="AC189" s="20">
        <v>10</v>
      </c>
      <c r="AD189" t="str">
        <f t="shared" si="22"/>
        <v>157210</v>
      </c>
      <c r="AE189">
        <f t="shared" si="23"/>
        <v>1</v>
      </c>
    </row>
    <row r="190" spans="1:31" x14ac:dyDescent="0.25">
      <c r="A190" t="s">
        <v>178</v>
      </c>
      <c r="B190" t="s">
        <v>177</v>
      </c>
      <c r="C190">
        <v>114202034</v>
      </c>
      <c r="D190" t="str">
        <f t="shared" si="17"/>
        <v>Kutluer, Metin-114202034</v>
      </c>
      <c r="E190">
        <v>82</v>
      </c>
      <c r="F190">
        <v>136</v>
      </c>
      <c r="G190">
        <v>5</v>
      </c>
      <c r="H190">
        <v>9</v>
      </c>
      <c r="I190" t="str">
        <f t="shared" si="18"/>
        <v>8213659</v>
      </c>
      <c r="J190">
        <f t="shared" si="19"/>
        <v>1</v>
      </c>
      <c r="K190">
        <v>120</v>
      </c>
      <c r="L190">
        <v>230</v>
      </c>
      <c r="M190">
        <v>135</v>
      </c>
      <c r="N190" t="s">
        <v>557</v>
      </c>
      <c r="O190" t="s">
        <v>556</v>
      </c>
      <c r="P190" t="s">
        <v>557</v>
      </c>
      <c r="Q190">
        <v>0.73</v>
      </c>
      <c r="R190">
        <v>0.76</v>
      </c>
      <c r="S190">
        <v>0.74</v>
      </c>
      <c r="T190">
        <v>240</v>
      </c>
      <c r="U190">
        <v>210</v>
      </c>
      <c r="V190">
        <v>230</v>
      </c>
      <c r="W190">
        <v>1</v>
      </c>
      <c r="X190">
        <v>8</v>
      </c>
      <c r="Y190" t="str">
        <f t="shared" si="20"/>
        <v>21023024080.740.760.73600,000900,000600,000135230120</v>
      </c>
      <c r="Z190">
        <f t="shared" si="21"/>
        <v>1</v>
      </c>
      <c r="AA190" s="20">
        <v>6</v>
      </c>
      <c r="AB190" s="20">
        <v>61</v>
      </c>
      <c r="AC190" s="20">
        <v>24</v>
      </c>
      <c r="AD190" t="str">
        <f t="shared" si="22"/>
        <v>66124</v>
      </c>
      <c r="AE190">
        <f t="shared" si="23"/>
        <v>1</v>
      </c>
    </row>
    <row r="191" spans="1:31" x14ac:dyDescent="0.25">
      <c r="A191" t="s">
        <v>184</v>
      </c>
      <c r="B191" t="s">
        <v>183</v>
      </c>
      <c r="C191">
        <v>113204018</v>
      </c>
      <c r="D191" t="str">
        <f t="shared" si="17"/>
        <v>Mecit, Banu Ezgi-113204018</v>
      </c>
      <c r="E191">
        <v>88</v>
      </c>
      <c r="F191">
        <v>125</v>
      </c>
      <c r="G191">
        <v>5</v>
      </c>
      <c r="H191">
        <v>8</v>
      </c>
      <c r="I191" t="str">
        <f t="shared" si="18"/>
        <v>8812558</v>
      </c>
      <c r="J191">
        <f t="shared" si="19"/>
        <v>1</v>
      </c>
      <c r="K191">
        <v>145</v>
      </c>
      <c r="L191">
        <v>240</v>
      </c>
      <c r="M191">
        <v>150</v>
      </c>
      <c r="N191" t="s">
        <v>557</v>
      </c>
      <c r="O191" t="s">
        <v>557</v>
      </c>
      <c r="P191" t="s">
        <v>555</v>
      </c>
      <c r="Q191">
        <v>0.81</v>
      </c>
      <c r="R191">
        <v>0.7</v>
      </c>
      <c r="S191">
        <v>0.71</v>
      </c>
      <c r="T191">
        <v>180</v>
      </c>
      <c r="U191">
        <v>200</v>
      </c>
      <c r="V191">
        <v>270</v>
      </c>
      <c r="W191">
        <v>2</v>
      </c>
      <c r="X191">
        <v>10</v>
      </c>
      <c r="Y191" t="str">
        <f t="shared" si="20"/>
        <v>200270180100.710.70.81700,000600,000600,000150240145</v>
      </c>
      <c r="Z191">
        <f t="shared" si="21"/>
        <v>1</v>
      </c>
      <c r="AA191" s="20">
        <v>10</v>
      </c>
      <c r="AB191" s="20">
        <v>88</v>
      </c>
      <c r="AC191" s="20">
        <v>22</v>
      </c>
      <c r="AD191" t="str">
        <f t="shared" si="22"/>
        <v>108822</v>
      </c>
      <c r="AE191">
        <f t="shared" si="23"/>
        <v>1</v>
      </c>
    </row>
    <row r="192" spans="1:31" x14ac:dyDescent="0.25">
      <c r="A192" t="s">
        <v>186</v>
      </c>
      <c r="B192" t="s">
        <v>185</v>
      </c>
      <c r="C192">
        <v>116206151</v>
      </c>
      <c r="D192" t="str">
        <f t="shared" si="17"/>
        <v>Mohammed, Siraj Mohammed Alsaedi-116206151</v>
      </c>
      <c r="E192">
        <v>82</v>
      </c>
      <c r="F192">
        <v>103</v>
      </c>
      <c r="G192">
        <v>7</v>
      </c>
      <c r="H192">
        <v>5</v>
      </c>
      <c r="I192" t="str">
        <f t="shared" si="18"/>
        <v>8210375</v>
      </c>
      <c r="J192">
        <f t="shared" si="19"/>
        <v>1</v>
      </c>
      <c r="K192">
        <v>115</v>
      </c>
      <c r="L192">
        <v>205</v>
      </c>
      <c r="M192">
        <v>115</v>
      </c>
      <c r="N192" t="s">
        <v>553</v>
      </c>
      <c r="O192" t="s">
        <v>553</v>
      </c>
      <c r="P192" t="s">
        <v>556</v>
      </c>
      <c r="Q192">
        <v>0.71</v>
      </c>
      <c r="R192">
        <v>0.81</v>
      </c>
      <c r="S192">
        <v>0.8</v>
      </c>
      <c r="T192">
        <v>240</v>
      </c>
      <c r="U192">
        <v>185</v>
      </c>
      <c r="V192">
        <v>180</v>
      </c>
      <c r="W192">
        <v>2</v>
      </c>
      <c r="X192">
        <v>10</v>
      </c>
      <c r="Y192" t="str">
        <f t="shared" si="20"/>
        <v>185180240100.80.810.71900,000500,000500,000115205115</v>
      </c>
      <c r="Z192">
        <f t="shared" si="21"/>
        <v>1</v>
      </c>
      <c r="AA192" s="20">
        <v>14</v>
      </c>
      <c r="AB192" s="20">
        <v>80</v>
      </c>
      <c r="AC192" s="20">
        <v>19</v>
      </c>
      <c r="AD192" t="str">
        <f t="shared" si="22"/>
        <v>148019</v>
      </c>
      <c r="AE192">
        <f t="shared" si="23"/>
        <v>1</v>
      </c>
    </row>
    <row r="193" spans="1:31" x14ac:dyDescent="0.25">
      <c r="A193" t="s">
        <v>440</v>
      </c>
      <c r="B193" t="s">
        <v>439</v>
      </c>
      <c r="C193">
        <v>11575005</v>
      </c>
      <c r="D193" t="str">
        <f t="shared" si="17"/>
        <v>Murkoyunlu, Sezen-11575005</v>
      </c>
      <c r="E193">
        <v>79</v>
      </c>
      <c r="F193">
        <v>148</v>
      </c>
      <c r="G193">
        <v>8</v>
      </c>
      <c r="H193">
        <v>8</v>
      </c>
      <c r="I193" t="str">
        <f t="shared" si="18"/>
        <v>7914888</v>
      </c>
      <c r="J193">
        <f t="shared" si="19"/>
        <v>1</v>
      </c>
      <c r="K193">
        <v>145</v>
      </c>
      <c r="L193">
        <v>235</v>
      </c>
      <c r="M193">
        <v>150</v>
      </c>
      <c r="N193" t="s">
        <v>557</v>
      </c>
      <c r="O193" t="s">
        <v>554</v>
      </c>
      <c r="P193" t="s">
        <v>554</v>
      </c>
      <c r="Q193">
        <v>0.73</v>
      </c>
      <c r="R193">
        <v>0.72</v>
      </c>
      <c r="S193">
        <v>0.75</v>
      </c>
      <c r="T193">
        <v>280</v>
      </c>
      <c r="U193">
        <v>210</v>
      </c>
      <c r="V193">
        <v>280</v>
      </c>
      <c r="W193">
        <v>2</v>
      </c>
      <c r="X193">
        <v>10</v>
      </c>
      <c r="Y193" t="str">
        <f t="shared" si="20"/>
        <v>210280280100.750.720.73800,000800,000600,000150235145</v>
      </c>
      <c r="Z193">
        <f t="shared" si="21"/>
        <v>1</v>
      </c>
      <c r="AA193" s="20">
        <v>5</v>
      </c>
      <c r="AB193" s="20">
        <v>72</v>
      </c>
      <c r="AC193" s="20">
        <v>6</v>
      </c>
      <c r="AD193" t="str">
        <f t="shared" si="22"/>
        <v>5726</v>
      </c>
      <c r="AE193">
        <f t="shared" si="23"/>
        <v>1</v>
      </c>
    </row>
    <row r="194" spans="1:31" x14ac:dyDescent="0.25">
      <c r="A194" t="s">
        <v>442</v>
      </c>
      <c r="B194" t="s">
        <v>441</v>
      </c>
      <c r="C194">
        <v>116205103</v>
      </c>
      <c r="D194" t="str">
        <f t="shared" si="17"/>
        <v>Namal, Fahri-116205103</v>
      </c>
      <c r="E194">
        <v>76</v>
      </c>
      <c r="F194">
        <v>128</v>
      </c>
      <c r="G194">
        <v>6</v>
      </c>
      <c r="H194">
        <v>6</v>
      </c>
      <c r="I194" t="str">
        <f t="shared" si="18"/>
        <v>7612866</v>
      </c>
      <c r="J194">
        <f t="shared" si="19"/>
        <v>1</v>
      </c>
      <c r="K194">
        <v>120</v>
      </c>
      <c r="L194">
        <v>245</v>
      </c>
      <c r="M194">
        <v>120</v>
      </c>
      <c r="N194" t="s">
        <v>555</v>
      </c>
      <c r="O194" t="s">
        <v>555</v>
      </c>
      <c r="P194" t="s">
        <v>556</v>
      </c>
      <c r="Q194">
        <v>0.78</v>
      </c>
      <c r="R194">
        <v>0.84</v>
      </c>
      <c r="S194">
        <v>0.7</v>
      </c>
      <c r="T194">
        <v>235</v>
      </c>
      <c r="U194">
        <v>220</v>
      </c>
      <c r="V194">
        <v>295</v>
      </c>
      <c r="W194">
        <v>2</v>
      </c>
      <c r="X194">
        <v>10</v>
      </c>
      <c r="Y194" t="str">
        <f t="shared" si="20"/>
        <v>220295235100.70.840.78900,000700,000700,000120245120</v>
      </c>
      <c r="Z194">
        <f t="shared" si="21"/>
        <v>1</v>
      </c>
      <c r="AA194" s="20">
        <v>10</v>
      </c>
      <c r="AB194" s="20">
        <v>41</v>
      </c>
      <c r="AC194" s="20">
        <v>11</v>
      </c>
      <c r="AD194" t="str">
        <f t="shared" si="22"/>
        <v>104111</v>
      </c>
      <c r="AE194">
        <f t="shared" si="23"/>
        <v>1</v>
      </c>
    </row>
    <row r="195" spans="1:31" x14ac:dyDescent="0.25">
      <c r="A195" t="s">
        <v>188</v>
      </c>
      <c r="B195" t="s">
        <v>187</v>
      </c>
      <c r="C195">
        <v>114204035</v>
      </c>
      <c r="D195" t="str">
        <f t="shared" si="17"/>
        <v>Nerezoğlu, Berke Can-114204035</v>
      </c>
      <c r="E195">
        <v>77</v>
      </c>
      <c r="F195">
        <v>107</v>
      </c>
      <c r="G195">
        <v>8</v>
      </c>
      <c r="H195">
        <v>6</v>
      </c>
      <c r="I195" t="str">
        <f t="shared" si="18"/>
        <v>7710786</v>
      </c>
      <c r="J195">
        <f t="shared" si="19"/>
        <v>1</v>
      </c>
      <c r="K195">
        <v>125</v>
      </c>
      <c r="L195">
        <v>200</v>
      </c>
      <c r="M195">
        <v>135</v>
      </c>
      <c r="N195" t="s">
        <v>554</v>
      </c>
      <c r="O195" t="s">
        <v>553</v>
      </c>
      <c r="P195" t="s">
        <v>557</v>
      </c>
      <c r="Q195">
        <v>0.72</v>
      </c>
      <c r="R195">
        <v>0.82</v>
      </c>
      <c r="S195">
        <v>0.83</v>
      </c>
      <c r="T195">
        <v>180</v>
      </c>
      <c r="U195">
        <v>165</v>
      </c>
      <c r="V195">
        <v>220</v>
      </c>
      <c r="W195">
        <v>2</v>
      </c>
      <c r="X195">
        <v>10</v>
      </c>
      <c r="Y195" t="str">
        <f t="shared" si="20"/>
        <v>165220180100.830.820.72600,000500,000800,000135200125</v>
      </c>
      <c r="Z195">
        <f t="shared" si="21"/>
        <v>1</v>
      </c>
      <c r="AA195" s="20">
        <v>13</v>
      </c>
      <c r="AB195" s="20">
        <v>90</v>
      </c>
      <c r="AC195" s="20">
        <v>24</v>
      </c>
      <c r="AD195" t="str">
        <f t="shared" si="22"/>
        <v>139024</v>
      </c>
      <c r="AE195">
        <f t="shared" si="23"/>
        <v>1</v>
      </c>
    </row>
    <row r="196" spans="1:31" x14ac:dyDescent="0.25">
      <c r="A196" t="s">
        <v>190</v>
      </c>
      <c r="B196" t="s">
        <v>189</v>
      </c>
      <c r="C196">
        <v>115205107</v>
      </c>
      <c r="D196" t="str">
        <f t="shared" ref="D196:D259" si="24">A196&amp;", "&amp;B196&amp;"-"&amp;C196</f>
        <v>Okutan, İkbal Ömer-115205107</v>
      </c>
      <c r="E196">
        <v>75</v>
      </c>
      <c r="F196">
        <v>105</v>
      </c>
      <c r="G196">
        <v>6</v>
      </c>
      <c r="H196">
        <v>8</v>
      </c>
      <c r="I196" t="str">
        <f t="shared" si="18"/>
        <v>7510568</v>
      </c>
      <c r="J196">
        <f t="shared" si="19"/>
        <v>1</v>
      </c>
      <c r="K196">
        <v>125</v>
      </c>
      <c r="L196">
        <v>210</v>
      </c>
      <c r="M196">
        <v>125</v>
      </c>
      <c r="N196" t="s">
        <v>557</v>
      </c>
      <c r="O196" t="s">
        <v>554</v>
      </c>
      <c r="P196" t="s">
        <v>556</v>
      </c>
      <c r="Q196">
        <v>0.7</v>
      </c>
      <c r="R196">
        <v>0.85</v>
      </c>
      <c r="S196">
        <v>0.75</v>
      </c>
      <c r="T196">
        <v>270</v>
      </c>
      <c r="U196">
        <v>190</v>
      </c>
      <c r="V196">
        <v>290</v>
      </c>
      <c r="W196">
        <v>3</v>
      </c>
      <c r="X196">
        <v>15</v>
      </c>
      <c r="Y196" t="str">
        <f t="shared" si="20"/>
        <v>190290270150.750.850.7900,000800,000600,000125210125</v>
      </c>
      <c r="Z196">
        <f t="shared" si="21"/>
        <v>1</v>
      </c>
      <c r="AA196" s="20">
        <v>9</v>
      </c>
      <c r="AB196" s="20">
        <v>48</v>
      </c>
      <c r="AC196" s="20">
        <v>18</v>
      </c>
      <c r="AD196" t="str">
        <f t="shared" si="22"/>
        <v>94818</v>
      </c>
      <c r="AE196">
        <f t="shared" si="23"/>
        <v>1</v>
      </c>
    </row>
    <row r="197" spans="1:31" x14ac:dyDescent="0.25">
      <c r="A197" t="s">
        <v>191</v>
      </c>
      <c r="B197" t="s">
        <v>65</v>
      </c>
      <c r="C197">
        <v>115204036</v>
      </c>
      <c r="D197" t="str">
        <f t="shared" si="24"/>
        <v>Oran, Onur-115204036</v>
      </c>
      <c r="E197">
        <v>72</v>
      </c>
      <c r="F197">
        <v>111</v>
      </c>
      <c r="G197">
        <v>7</v>
      </c>
      <c r="H197">
        <v>8</v>
      </c>
      <c r="I197" t="str">
        <f t="shared" ref="I197:I260" si="25">E197&amp;F197&amp;G197&amp;H197</f>
        <v>7211178</v>
      </c>
      <c r="J197">
        <f t="shared" ref="J197:J260" si="26">COUNTIF($I$4:$I$317,I197)</f>
        <v>1</v>
      </c>
      <c r="K197">
        <v>135</v>
      </c>
      <c r="L197">
        <v>195</v>
      </c>
      <c r="M197">
        <v>125</v>
      </c>
      <c r="N197" t="s">
        <v>555</v>
      </c>
      <c r="O197" t="s">
        <v>553</v>
      </c>
      <c r="P197" t="s">
        <v>554</v>
      </c>
      <c r="Q197">
        <v>0.79</v>
      </c>
      <c r="R197">
        <v>0.82</v>
      </c>
      <c r="S197">
        <v>0.77</v>
      </c>
      <c r="T197">
        <v>285</v>
      </c>
      <c r="U197">
        <v>160</v>
      </c>
      <c r="V197">
        <v>250</v>
      </c>
      <c r="W197">
        <v>3</v>
      </c>
      <c r="X197">
        <v>15</v>
      </c>
      <c r="Y197" t="str">
        <f t="shared" ref="Y197:Y260" si="27">U197&amp;V197&amp;T197&amp;X197&amp;S197&amp;R197&amp;Q197&amp;P197&amp;O197&amp;N197&amp;M197&amp;L197&amp;K197</f>
        <v>160250285150.770.820.79800,000500,000700,000125195135</v>
      </c>
      <c r="Z197">
        <f t="shared" ref="Z197:Z260" si="28">COUNTIF($Y$4:$Y$317,Y197)</f>
        <v>1</v>
      </c>
      <c r="AA197" s="20">
        <v>9</v>
      </c>
      <c r="AB197" s="20">
        <v>60</v>
      </c>
      <c r="AC197" s="20">
        <v>7</v>
      </c>
      <c r="AD197" t="str">
        <f t="shared" ref="AD197:AD260" si="29">AA197&amp;AB197&amp;AC197</f>
        <v>9607</v>
      </c>
      <c r="AE197">
        <f t="shared" ref="AE197:AE260" si="30">COUNTIF($AD$4:$AD$317,AD197)</f>
        <v>1</v>
      </c>
    </row>
    <row r="198" spans="1:31" x14ac:dyDescent="0.25">
      <c r="A198" t="s">
        <v>444</v>
      </c>
      <c r="B198" t="s">
        <v>443</v>
      </c>
      <c r="C198">
        <v>114202043</v>
      </c>
      <c r="D198" t="str">
        <f t="shared" si="24"/>
        <v>Oturaklıoğlu, Nazif Mert-114202043</v>
      </c>
      <c r="E198">
        <v>83</v>
      </c>
      <c r="F198">
        <v>130</v>
      </c>
      <c r="G198">
        <v>8</v>
      </c>
      <c r="H198">
        <v>7</v>
      </c>
      <c r="I198" t="str">
        <f t="shared" si="25"/>
        <v>8313087</v>
      </c>
      <c r="J198">
        <f t="shared" si="26"/>
        <v>1</v>
      </c>
      <c r="K198">
        <v>135</v>
      </c>
      <c r="L198">
        <v>235</v>
      </c>
      <c r="M198">
        <v>150</v>
      </c>
      <c r="N198" t="s">
        <v>555</v>
      </c>
      <c r="O198" t="s">
        <v>553</v>
      </c>
      <c r="P198" t="s">
        <v>556</v>
      </c>
      <c r="Q198">
        <v>0.71</v>
      </c>
      <c r="R198">
        <v>0.77</v>
      </c>
      <c r="S198">
        <v>0.73</v>
      </c>
      <c r="T198">
        <v>255</v>
      </c>
      <c r="U198">
        <v>200</v>
      </c>
      <c r="V198">
        <v>185</v>
      </c>
      <c r="W198">
        <v>2</v>
      </c>
      <c r="X198">
        <v>10</v>
      </c>
      <c r="Y198" t="str">
        <f t="shared" si="27"/>
        <v>200185255100.730.770.71900,000500,000700,000150235135</v>
      </c>
      <c r="Z198">
        <f t="shared" si="28"/>
        <v>1</v>
      </c>
      <c r="AA198" s="20">
        <v>7</v>
      </c>
      <c r="AB198" s="20">
        <v>78</v>
      </c>
      <c r="AC198" s="20">
        <v>20</v>
      </c>
      <c r="AD198" t="str">
        <f t="shared" si="29"/>
        <v>77820</v>
      </c>
      <c r="AE198">
        <f t="shared" si="30"/>
        <v>1</v>
      </c>
    </row>
    <row r="199" spans="1:31" x14ac:dyDescent="0.25">
      <c r="A199" t="s">
        <v>193</v>
      </c>
      <c r="B199" t="s">
        <v>192</v>
      </c>
      <c r="C199">
        <v>115204046</v>
      </c>
      <c r="D199" t="str">
        <f t="shared" si="24"/>
        <v>Öz, Esra-115204046</v>
      </c>
      <c r="E199">
        <v>80</v>
      </c>
      <c r="F199">
        <v>105</v>
      </c>
      <c r="G199">
        <v>5</v>
      </c>
      <c r="H199">
        <v>9</v>
      </c>
      <c r="I199" t="str">
        <f t="shared" si="25"/>
        <v>8010559</v>
      </c>
      <c r="J199">
        <f t="shared" si="26"/>
        <v>1</v>
      </c>
      <c r="K199">
        <v>135</v>
      </c>
      <c r="L199">
        <v>180</v>
      </c>
      <c r="M199">
        <v>115</v>
      </c>
      <c r="N199" t="s">
        <v>554</v>
      </c>
      <c r="O199" t="s">
        <v>555</v>
      </c>
      <c r="P199" t="s">
        <v>554</v>
      </c>
      <c r="Q199">
        <v>0.76</v>
      </c>
      <c r="R199">
        <v>0.73</v>
      </c>
      <c r="S199">
        <v>0.76</v>
      </c>
      <c r="T199">
        <v>275</v>
      </c>
      <c r="U199">
        <v>140</v>
      </c>
      <c r="V199">
        <v>275</v>
      </c>
      <c r="W199">
        <v>2</v>
      </c>
      <c r="X199">
        <v>10</v>
      </c>
      <c r="Y199" t="str">
        <f t="shared" si="27"/>
        <v>140275275100.760.730.76800,000700,000800,000115180135</v>
      </c>
      <c r="Z199">
        <f t="shared" si="28"/>
        <v>1</v>
      </c>
      <c r="AA199" s="20">
        <v>8</v>
      </c>
      <c r="AB199" s="20">
        <v>86</v>
      </c>
      <c r="AC199" s="20">
        <v>20</v>
      </c>
      <c r="AD199" t="str">
        <f t="shared" si="29"/>
        <v>88620</v>
      </c>
      <c r="AE199">
        <f t="shared" si="30"/>
        <v>1</v>
      </c>
    </row>
    <row r="200" spans="1:31" x14ac:dyDescent="0.25">
      <c r="A200" t="s">
        <v>446</v>
      </c>
      <c r="B200" t="s">
        <v>445</v>
      </c>
      <c r="C200">
        <v>113205047</v>
      </c>
      <c r="D200" t="str">
        <f t="shared" si="24"/>
        <v>Ozan, Tunç-113205047</v>
      </c>
      <c r="E200">
        <v>89</v>
      </c>
      <c r="F200">
        <v>148</v>
      </c>
      <c r="G200">
        <v>6</v>
      </c>
      <c r="H200">
        <v>5</v>
      </c>
      <c r="I200" t="str">
        <f t="shared" si="25"/>
        <v>8914865</v>
      </c>
      <c r="J200">
        <f t="shared" si="26"/>
        <v>1</v>
      </c>
      <c r="K200">
        <v>110</v>
      </c>
      <c r="L200">
        <v>220</v>
      </c>
      <c r="M200">
        <v>105</v>
      </c>
      <c r="N200" t="s">
        <v>553</v>
      </c>
      <c r="O200" t="s">
        <v>555</v>
      </c>
      <c r="P200" t="s">
        <v>554</v>
      </c>
      <c r="Q200">
        <v>0.72</v>
      </c>
      <c r="R200">
        <v>0.7</v>
      </c>
      <c r="S200">
        <v>0.79</v>
      </c>
      <c r="T200">
        <v>285</v>
      </c>
      <c r="U200">
        <v>200</v>
      </c>
      <c r="V200">
        <v>280</v>
      </c>
      <c r="W200">
        <v>1</v>
      </c>
      <c r="X200">
        <v>8</v>
      </c>
      <c r="Y200" t="str">
        <f t="shared" si="27"/>
        <v>20028028580.790.70.72800,000700,000500,000105220110</v>
      </c>
      <c r="Z200">
        <f t="shared" si="28"/>
        <v>1</v>
      </c>
      <c r="AA200" s="20">
        <v>5</v>
      </c>
      <c r="AB200" s="20">
        <v>35</v>
      </c>
      <c r="AC200" s="20">
        <v>13</v>
      </c>
      <c r="AD200" t="str">
        <f t="shared" si="29"/>
        <v>53513</v>
      </c>
      <c r="AE200">
        <f t="shared" si="30"/>
        <v>1</v>
      </c>
    </row>
    <row r="201" spans="1:31" x14ac:dyDescent="0.25">
      <c r="A201" t="s">
        <v>447</v>
      </c>
      <c r="B201" t="s">
        <v>405</v>
      </c>
      <c r="C201">
        <v>114203061</v>
      </c>
      <c r="D201" t="str">
        <f t="shared" si="24"/>
        <v>Özdemir, Gizem-114203061</v>
      </c>
      <c r="E201">
        <v>79</v>
      </c>
      <c r="F201">
        <v>124</v>
      </c>
      <c r="G201">
        <v>5</v>
      </c>
      <c r="H201">
        <v>8</v>
      </c>
      <c r="I201" t="str">
        <f t="shared" si="25"/>
        <v>7912458</v>
      </c>
      <c r="J201">
        <f t="shared" si="26"/>
        <v>1</v>
      </c>
      <c r="K201">
        <v>125</v>
      </c>
      <c r="L201">
        <v>240</v>
      </c>
      <c r="M201">
        <v>110</v>
      </c>
      <c r="N201" t="s">
        <v>556</v>
      </c>
      <c r="O201" t="s">
        <v>553</v>
      </c>
      <c r="P201" t="s">
        <v>555</v>
      </c>
      <c r="Q201">
        <v>0.78</v>
      </c>
      <c r="R201">
        <v>0.77</v>
      </c>
      <c r="S201">
        <v>0.72</v>
      </c>
      <c r="T201">
        <v>235</v>
      </c>
      <c r="U201">
        <v>220</v>
      </c>
      <c r="V201">
        <v>280</v>
      </c>
      <c r="W201">
        <v>2</v>
      </c>
      <c r="X201">
        <v>10</v>
      </c>
      <c r="Y201" t="str">
        <f t="shared" si="27"/>
        <v>220280235100.720.770.78700,000500,000900,000110240125</v>
      </c>
      <c r="Z201">
        <f t="shared" si="28"/>
        <v>1</v>
      </c>
      <c r="AA201" s="20">
        <v>9</v>
      </c>
      <c r="AB201" s="20">
        <v>42</v>
      </c>
      <c r="AC201" s="20">
        <v>22</v>
      </c>
      <c r="AD201" t="str">
        <f t="shared" si="29"/>
        <v>94222</v>
      </c>
      <c r="AE201">
        <f t="shared" si="30"/>
        <v>1</v>
      </c>
    </row>
    <row r="202" spans="1:31" x14ac:dyDescent="0.25">
      <c r="A202" t="s">
        <v>194</v>
      </c>
      <c r="B202" t="s">
        <v>448</v>
      </c>
      <c r="C202">
        <v>112206007</v>
      </c>
      <c r="D202" t="str">
        <f t="shared" si="24"/>
        <v>Özer, Necmi Can-112206007</v>
      </c>
      <c r="E202">
        <v>76</v>
      </c>
      <c r="F202">
        <v>139</v>
      </c>
      <c r="G202">
        <v>6</v>
      </c>
      <c r="H202">
        <v>7</v>
      </c>
      <c r="I202" t="str">
        <f t="shared" si="25"/>
        <v>7613967</v>
      </c>
      <c r="J202">
        <f t="shared" si="26"/>
        <v>1</v>
      </c>
      <c r="K202">
        <v>135</v>
      </c>
      <c r="L202">
        <v>165</v>
      </c>
      <c r="M202">
        <v>105</v>
      </c>
      <c r="N202" t="s">
        <v>553</v>
      </c>
      <c r="O202" t="s">
        <v>553</v>
      </c>
      <c r="P202" t="s">
        <v>553</v>
      </c>
      <c r="Q202">
        <v>0.85</v>
      </c>
      <c r="R202">
        <v>0.8</v>
      </c>
      <c r="S202">
        <v>0.76</v>
      </c>
      <c r="T202">
        <v>215</v>
      </c>
      <c r="U202">
        <v>130</v>
      </c>
      <c r="V202">
        <v>205</v>
      </c>
      <c r="W202">
        <v>3</v>
      </c>
      <c r="X202">
        <v>15</v>
      </c>
      <c r="Y202" t="str">
        <f t="shared" si="27"/>
        <v>130205215150.760.80.85500,000500,000500,000105165135</v>
      </c>
      <c r="Z202">
        <f t="shared" si="28"/>
        <v>1</v>
      </c>
      <c r="AA202" s="20">
        <v>6</v>
      </c>
      <c r="AB202" s="20">
        <v>36</v>
      </c>
      <c r="AC202" s="20">
        <v>20</v>
      </c>
      <c r="AD202" t="str">
        <f t="shared" si="29"/>
        <v>63620</v>
      </c>
      <c r="AE202">
        <f t="shared" si="30"/>
        <v>1</v>
      </c>
    </row>
    <row r="203" spans="1:31" x14ac:dyDescent="0.25">
      <c r="A203" t="s">
        <v>194</v>
      </c>
      <c r="B203" t="s">
        <v>65</v>
      </c>
      <c r="C203">
        <v>112202060</v>
      </c>
      <c r="D203" t="str">
        <f t="shared" si="24"/>
        <v>Özer, Onur-112202060</v>
      </c>
      <c r="E203">
        <v>87</v>
      </c>
      <c r="F203">
        <v>142</v>
      </c>
      <c r="G203">
        <v>8</v>
      </c>
      <c r="H203">
        <v>8</v>
      </c>
      <c r="I203" t="str">
        <f t="shared" si="25"/>
        <v>8714288</v>
      </c>
      <c r="J203">
        <f t="shared" si="26"/>
        <v>1</v>
      </c>
      <c r="K203">
        <v>125</v>
      </c>
      <c r="L203">
        <v>205</v>
      </c>
      <c r="M203">
        <v>135</v>
      </c>
      <c r="N203" t="s">
        <v>553</v>
      </c>
      <c r="O203" t="s">
        <v>553</v>
      </c>
      <c r="P203" t="s">
        <v>554</v>
      </c>
      <c r="Q203">
        <v>0.82</v>
      </c>
      <c r="R203">
        <v>0.77</v>
      </c>
      <c r="S203">
        <v>0.82</v>
      </c>
      <c r="T203">
        <v>265</v>
      </c>
      <c r="U203">
        <v>175</v>
      </c>
      <c r="V203">
        <v>285</v>
      </c>
      <c r="W203">
        <v>1</v>
      </c>
      <c r="X203">
        <v>8</v>
      </c>
      <c r="Y203" t="str">
        <f t="shared" si="27"/>
        <v>17528526580.820.770.82800,000500,000500,000135205125</v>
      </c>
      <c r="Z203">
        <f t="shared" si="28"/>
        <v>1</v>
      </c>
      <c r="AA203" s="20">
        <v>9</v>
      </c>
      <c r="AB203" s="20">
        <v>52</v>
      </c>
      <c r="AC203" s="20">
        <v>25</v>
      </c>
      <c r="AD203" t="str">
        <f t="shared" si="29"/>
        <v>95225</v>
      </c>
      <c r="AE203">
        <f t="shared" si="30"/>
        <v>1</v>
      </c>
    </row>
    <row r="204" spans="1:31" x14ac:dyDescent="0.25">
      <c r="A204" t="s">
        <v>449</v>
      </c>
      <c r="B204" t="s">
        <v>265</v>
      </c>
      <c r="C204">
        <v>115204048</v>
      </c>
      <c r="D204" t="str">
        <f t="shared" si="24"/>
        <v>Özkan, Furkan-115204048</v>
      </c>
      <c r="E204">
        <v>74</v>
      </c>
      <c r="F204">
        <v>121</v>
      </c>
      <c r="G204">
        <v>7</v>
      </c>
      <c r="H204">
        <v>6</v>
      </c>
      <c r="I204" t="str">
        <f t="shared" si="25"/>
        <v>7412176</v>
      </c>
      <c r="J204">
        <f t="shared" si="26"/>
        <v>1</v>
      </c>
      <c r="K204">
        <v>150</v>
      </c>
      <c r="L204">
        <v>170</v>
      </c>
      <c r="M204">
        <v>135</v>
      </c>
      <c r="N204" t="s">
        <v>553</v>
      </c>
      <c r="O204" t="s">
        <v>556</v>
      </c>
      <c r="P204" t="s">
        <v>556</v>
      </c>
      <c r="Q204">
        <v>0.8</v>
      </c>
      <c r="R204">
        <v>0.7</v>
      </c>
      <c r="S204">
        <v>0.79</v>
      </c>
      <c r="T204">
        <v>200</v>
      </c>
      <c r="U204">
        <v>140</v>
      </c>
      <c r="V204">
        <v>220</v>
      </c>
      <c r="W204">
        <v>3</v>
      </c>
      <c r="X204">
        <v>15</v>
      </c>
      <c r="Y204" t="str">
        <f t="shared" si="27"/>
        <v>140220200150.790.70.8900,000900,000500,000135170150</v>
      </c>
      <c r="Z204">
        <f t="shared" si="28"/>
        <v>1</v>
      </c>
      <c r="AA204" s="20">
        <v>15</v>
      </c>
      <c r="AB204" s="20">
        <v>68</v>
      </c>
      <c r="AC204" s="20">
        <v>12</v>
      </c>
      <c r="AD204" t="str">
        <f t="shared" si="29"/>
        <v>156812</v>
      </c>
      <c r="AE204">
        <f t="shared" si="30"/>
        <v>1</v>
      </c>
    </row>
    <row r="205" spans="1:31" x14ac:dyDescent="0.25">
      <c r="A205" t="s">
        <v>451</v>
      </c>
      <c r="B205" t="s">
        <v>450</v>
      </c>
      <c r="C205">
        <v>114202015</v>
      </c>
      <c r="D205" t="str">
        <f t="shared" si="24"/>
        <v>Özkırış, Oktay-114202015</v>
      </c>
      <c r="E205">
        <v>76</v>
      </c>
      <c r="F205">
        <v>100</v>
      </c>
      <c r="G205">
        <v>5</v>
      </c>
      <c r="H205">
        <v>7</v>
      </c>
      <c r="I205" t="str">
        <f t="shared" si="25"/>
        <v>7610057</v>
      </c>
      <c r="J205">
        <f t="shared" si="26"/>
        <v>1</v>
      </c>
      <c r="K205">
        <v>115</v>
      </c>
      <c r="L205">
        <v>245</v>
      </c>
      <c r="M205">
        <v>100</v>
      </c>
      <c r="N205" t="s">
        <v>555</v>
      </c>
      <c r="O205" t="s">
        <v>553</v>
      </c>
      <c r="P205" t="s">
        <v>556</v>
      </c>
      <c r="Q205">
        <v>0.8</v>
      </c>
      <c r="R205">
        <v>0.8</v>
      </c>
      <c r="S205">
        <v>0.74</v>
      </c>
      <c r="T205">
        <v>255</v>
      </c>
      <c r="U205">
        <v>225</v>
      </c>
      <c r="V205">
        <v>290</v>
      </c>
      <c r="W205">
        <v>1</v>
      </c>
      <c r="X205">
        <v>8</v>
      </c>
      <c r="Y205" t="str">
        <f t="shared" si="27"/>
        <v>22529025580.740.80.8900,000500,000700,000100245115</v>
      </c>
      <c r="Z205">
        <f t="shared" si="28"/>
        <v>1</v>
      </c>
      <c r="AA205" s="20">
        <v>10</v>
      </c>
      <c r="AB205" s="20">
        <v>46</v>
      </c>
      <c r="AC205" s="20">
        <v>14</v>
      </c>
      <c r="AD205" t="str">
        <f t="shared" si="29"/>
        <v>104614</v>
      </c>
      <c r="AE205">
        <f t="shared" si="30"/>
        <v>1</v>
      </c>
    </row>
    <row r="206" spans="1:31" x14ac:dyDescent="0.25">
      <c r="A206" t="s">
        <v>195</v>
      </c>
      <c r="B206" t="s">
        <v>41</v>
      </c>
      <c r="C206">
        <v>112202021</v>
      </c>
      <c r="D206" t="str">
        <f t="shared" si="24"/>
        <v>Özler, Eren-112202021</v>
      </c>
      <c r="E206">
        <v>90</v>
      </c>
      <c r="F206">
        <v>100</v>
      </c>
      <c r="G206">
        <v>8</v>
      </c>
      <c r="H206">
        <v>6</v>
      </c>
      <c r="I206" t="str">
        <f t="shared" si="25"/>
        <v>9010086</v>
      </c>
      <c r="J206">
        <f t="shared" si="26"/>
        <v>1</v>
      </c>
      <c r="K206">
        <v>135</v>
      </c>
      <c r="L206">
        <v>200</v>
      </c>
      <c r="M206">
        <v>115</v>
      </c>
      <c r="N206" t="s">
        <v>553</v>
      </c>
      <c r="O206" t="s">
        <v>556</v>
      </c>
      <c r="P206" t="s">
        <v>557</v>
      </c>
      <c r="Q206">
        <v>0.79</v>
      </c>
      <c r="R206">
        <v>0.75</v>
      </c>
      <c r="S206">
        <v>0.77</v>
      </c>
      <c r="T206">
        <v>190</v>
      </c>
      <c r="U206">
        <v>165</v>
      </c>
      <c r="V206">
        <v>260</v>
      </c>
      <c r="W206">
        <v>3</v>
      </c>
      <c r="X206">
        <v>15</v>
      </c>
      <c r="Y206" t="str">
        <f t="shared" si="27"/>
        <v>165260190150.770.750.79600,000900,000500,000115200135</v>
      </c>
      <c r="Z206">
        <f t="shared" si="28"/>
        <v>1</v>
      </c>
      <c r="AA206" s="20">
        <v>12</v>
      </c>
      <c r="AB206" s="20">
        <v>41</v>
      </c>
      <c r="AC206" s="20">
        <v>9</v>
      </c>
      <c r="AD206" t="str">
        <f t="shared" si="29"/>
        <v>12419</v>
      </c>
      <c r="AE206">
        <f t="shared" si="30"/>
        <v>1</v>
      </c>
    </row>
    <row r="207" spans="1:31" x14ac:dyDescent="0.25">
      <c r="A207" t="s">
        <v>453</v>
      </c>
      <c r="B207" t="s">
        <v>452</v>
      </c>
      <c r="C207">
        <v>113204023</v>
      </c>
      <c r="D207" t="str">
        <f t="shared" si="24"/>
        <v>Özşahin, Yağmur Burcu-113204023</v>
      </c>
      <c r="E207">
        <v>87</v>
      </c>
      <c r="F207">
        <v>142</v>
      </c>
      <c r="G207">
        <v>5</v>
      </c>
      <c r="H207">
        <v>9</v>
      </c>
      <c r="I207" t="str">
        <f t="shared" si="25"/>
        <v>8714259</v>
      </c>
      <c r="J207">
        <f t="shared" si="26"/>
        <v>1</v>
      </c>
      <c r="K207">
        <v>110</v>
      </c>
      <c r="L207">
        <v>190</v>
      </c>
      <c r="M207">
        <v>140</v>
      </c>
      <c r="N207" t="s">
        <v>557</v>
      </c>
      <c r="O207" t="s">
        <v>553</v>
      </c>
      <c r="P207" t="s">
        <v>553</v>
      </c>
      <c r="Q207">
        <v>0.85</v>
      </c>
      <c r="R207">
        <v>0.75</v>
      </c>
      <c r="S207">
        <v>0.71</v>
      </c>
      <c r="T207">
        <v>275</v>
      </c>
      <c r="U207">
        <v>160</v>
      </c>
      <c r="V207">
        <v>290</v>
      </c>
      <c r="W207">
        <v>3</v>
      </c>
      <c r="X207">
        <v>15</v>
      </c>
      <c r="Y207" t="str">
        <f t="shared" si="27"/>
        <v>160290275150.710.750.85500,000500,000600,000140190110</v>
      </c>
      <c r="Z207">
        <f t="shared" si="28"/>
        <v>1</v>
      </c>
      <c r="AA207" s="20">
        <v>11</v>
      </c>
      <c r="AB207" s="20">
        <v>86</v>
      </c>
      <c r="AC207" s="20">
        <v>13</v>
      </c>
      <c r="AD207" t="str">
        <f t="shared" si="29"/>
        <v>118613</v>
      </c>
      <c r="AE207">
        <f t="shared" si="30"/>
        <v>1</v>
      </c>
    </row>
    <row r="208" spans="1:31" x14ac:dyDescent="0.25">
      <c r="A208" t="s">
        <v>197</v>
      </c>
      <c r="B208" t="s">
        <v>164</v>
      </c>
      <c r="C208">
        <v>114202024</v>
      </c>
      <c r="D208" t="str">
        <f t="shared" si="24"/>
        <v>Öztürk, Baran-114202024</v>
      </c>
      <c r="E208">
        <v>81</v>
      </c>
      <c r="F208">
        <v>128</v>
      </c>
      <c r="G208">
        <v>9</v>
      </c>
      <c r="H208">
        <v>8</v>
      </c>
      <c r="I208" t="str">
        <f t="shared" si="25"/>
        <v>8112898</v>
      </c>
      <c r="J208">
        <f t="shared" si="26"/>
        <v>1</v>
      </c>
      <c r="K208">
        <v>100</v>
      </c>
      <c r="L208">
        <v>235</v>
      </c>
      <c r="M208">
        <v>130</v>
      </c>
      <c r="N208" t="s">
        <v>554</v>
      </c>
      <c r="O208" t="s">
        <v>557</v>
      </c>
      <c r="P208" t="s">
        <v>556</v>
      </c>
      <c r="Q208">
        <v>0.85</v>
      </c>
      <c r="R208">
        <v>0.77</v>
      </c>
      <c r="S208">
        <v>0.84</v>
      </c>
      <c r="T208">
        <v>295</v>
      </c>
      <c r="U208">
        <v>205</v>
      </c>
      <c r="V208">
        <v>195</v>
      </c>
      <c r="W208">
        <v>1</v>
      </c>
      <c r="X208">
        <v>8</v>
      </c>
      <c r="Y208" t="str">
        <f t="shared" si="27"/>
        <v>20519529580.840.770.85900,000600,000800,000130235100</v>
      </c>
      <c r="Z208">
        <f t="shared" si="28"/>
        <v>1</v>
      </c>
      <c r="AA208" s="20">
        <v>13</v>
      </c>
      <c r="AB208" s="20">
        <v>44</v>
      </c>
      <c r="AC208" s="20">
        <v>6</v>
      </c>
      <c r="AD208" t="str">
        <f t="shared" si="29"/>
        <v>13446</v>
      </c>
      <c r="AE208">
        <f t="shared" si="30"/>
        <v>1</v>
      </c>
    </row>
    <row r="209" spans="1:31" x14ac:dyDescent="0.25">
      <c r="A209" t="s">
        <v>197</v>
      </c>
      <c r="B209" t="s">
        <v>196</v>
      </c>
      <c r="C209">
        <v>114202025</v>
      </c>
      <c r="D209" t="str">
        <f t="shared" si="24"/>
        <v>Öztürk, Emirhan-114202025</v>
      </c>
      <c r="E209">
        <v>73</v>
      </c>
      <c r="F209">
        <v>146</v>
      </c>
      <c r="G209">
        <v>7</v>
      </c>
      <c r="H209">
        <v>7</v>
      </c>
      <c r="I209" t="str">
        <f t="shared" si="25"/>
        <v>7314677</v>
      </c>
      <c r="J209">
        <f t="shared" si="26"/>
        <v>1</v>
      </c>
      <c r="K209">
        <v>120</v>
      </c>
      <c r="L209">
        <v>180</v>
      </c>
      <c r="M209">
        <v>110</v>
      </c>
      <c r="N209" t="s">
        <v>554</v>
      </c>
      <c r="O209" t="s">
        <v>555</v>
      </c>
      <c r="P209" t="s">
        <v>554</v>
      </c>
      <c r="Q209">
        <v>0.79</v>
      </c>
      <c r="R209">
        <v>0.71</v>
      </c>
      <c r="S209">
        <v>0.76</v>
      </c>
      <c r="T209">
        <v>205</v>
      </c>
      <c r="U209">
        <v>155</v>
      </c>
      <c r="V209">
        <v>200</v>
      </c>
      <c r="W209">
        <v>3</v>
      </c>
      <c r="X209">
        <v>15</v>
      </c>
      <c r="Y209" t="str">
        <f t="shared" si="27"/>
        <v>155200205150.760.710.79800,000700,000800,000110180120</v>
      </c>
      <c r="Z209">
        <f t="shared" si="28"/>
        <v>1</v>
      </c>
      <c r="AA209" s="20">
        <v>11</v>
      </c>
      <c r="AB209" s="20">
        <v>83</v>
      </c>
      <c r="AC209" s="20">
        <v>19</v>
      </c>
      <c r="AD209" t="str">
        <f t="shared" si="29"/>
        <v>118319</v>
      </c>
      <c r="AE209">
        <f t="shared" si="30"/>
        <v>1</v>
      </c>
    </row>
    <row r="210" spans="1:31" x14ac:dyDescent="0.25">
      <c r="A210" t="s">
        <v>197</v>
      </c>
      <c r="B210" t="s">
        <v>198</v>
      </c>
      <c r="C210">
        <v>114204019</v>
      </c>
      <c r="D210" t="str">
        <f t="shared" si="24"/>
        <v>Öztürk, İlknur Senem-114204019</v>
      </c>
      <c r="E210">
        <v>84</v>
      </c>
      <c r="F210">
        <v>113</v>
      </c>
      <c r="G210">
        <v>8</v>
      </c>
      <c r="H210">
        <v>9</v>
      </c>
      <c r="I210" t="str">
        <f t="shared" si="25"/>
        <v>8411389</v>
      </c>
      <c r="J210">
        <f t="shared" si="26"/>
        <v>1</v>
      </c>
      <c r="K210">
        <v>120</v>
      </c>
      <c r="L210">
        <v>160</v>
      </c>
      <c r="M210">
        <v>110</v>
      </c>
      <c r="N210" t="s">
        <v>554</v>
      </c>
      <c r="O210" t="s">
        <v>556</v>
      </c>
      <c r="P210" t="s">
        <v>556</v>
      </c>
      <c r="Q210">
        <v>0.72</v>
      </c>
      <c r="R210">
        <v>0.83</v>
      </c>
      <c r="S210">
        <v>0.78</v>
      </c>
      <c r="T210">
        <v>200</v>
      </c>
      <c r="U210">
        <v>125</v>
      </c>
      <c r="V210">
        <v>210</v>
      </c>
      <c r="W210">
        <v>3</v>
      </c>
      <c r="X210">
        <v>15</v>
      </c>
      <c r="Y210" t="str">
        <f t="shared" si="27"/>
        <v>125210200150.780.830.72900,000900,000800,000110160120</v>
      </c>
      <c r="Z210">
        <f t="shared" si="28"/>
        <v>1</v>
      </c>
      <c r="AA210" s="20">
        <v>11</v>
      </c>
      <c r="AB210" s="20">
        <v>64</v>
      </c>
      <c r="AC210" s="20">
        <v>6</v>
      </c>
      <c r="AD210" t="str">
        <f t="shared" si="29"/>
        <v>11646</v>
      </c>
      <c r="AE210">
        <f t="shared" si="30"/>
        <v>1</v>
      </c>
    </row>
    <row r="211" spans="1:31" x14ac:dyDescent="0.25">
      <c r="A211" t="s">
        <v>197</v>
      </c>
      <c r="B211" t="s">
        <v>69</v>
      </c>
      <c r="C211">
        <v>114206068</v>
      </c>
      <c r="D211" t="str">
        <f t="shared" si="24"/>
        <v>Öztürk, Mehmet-114206068</v>
      </c>
      <c r="E211">
        <v>86</v>
      </c>
      <c r="F211">
        <v>125</v>
      </c>
      <c r="G211">
        <v>5</v>
      </c>
      <c r="H211">
        <v>7</v>
      </c>
      <c r="I211" t="str">
        <f t="shared" si="25"/>
        <v>8612557</v>
      </c>
      <c r="J211">
        <f t="shared" si="26"/>
        <v>1</v>
      </c>
      <c r="K211">
        <v>115</v>
      </c>
      <c r="L211">
        <v>155</v>
      </c>
      <c r="M211">
        <v>120</v>
      </c>
      <c r="N211" t="s">
        <v>554</v>
      </c>
      <c r="O211" t="s">
        <v>557</v>
      </c>
      <c r="P211" t="s">
        <v>554</v>
      </c>
      <c r="Q211">
        <v>0.78</v>
      </c>
      <c r="R211">
        <v>0.77</v>
      </c>
      <c r="S211">
        <v>0.84</v>
      </c>
      <c r="T211">
        <v>290</v>
      </c>
      <c r="U211">
        <v>125</v>
      </c>
      <c r="V211">
        <v>225</v>
      </c>
      <c r="W211">
        <v>3</v>
      </c>
      <c r="X211">
        <v>15</v>
      </c>
      <c r="Y211" t="str">
        <f t="shared" si="27"/>
        <v>125225290150.840.770.78800,000600,000800,000120155115</v>
      </c>
      <c r="Z211">
        <f t="shared" si="28"/>
        <v>1</v>
      </c>
      <c r="AA211" s="20">
        <v>13</v>
      </c>
      <c r="AB211" s="20">
        <v>89</v>
      </c>
      <c r="AC211" s="20">
        <v>6</v>
      </c>
      <c r="AD211" t="str">
        <f t="shared" si="29"/>
        <v>13896</v>
      </c>
      <c r="AE211">
        <f t="shared" si="30"/>
        <v>1</v>
      </c>
    </row>
    <row r="212" spans="1:31" x14ac:dyDescent="0.25">
      <c r="A212" t="s">
        <v>197</v>
      </c>
      <c r="B212" t="s">
        <v>65</v>
      </c>
      <c r="C212">
        <v>116206225</v>
      </c>
      <c r="D212" t="str">
        <f t="shared" si="24"/>
        <v>Öztürk, Onur-116206225</v>
      </c>
      <c r="E212">
        <v>71</v>
      </c>
      <c r="F212">
        <v>124</v>
      </c>
      <c r="G212">
        <v>9</v>
      </c>
      <c r="H212">
        <v>6</v>
      </c>
      <c r="I212" t="str">
        <f t="shared" si="25"/>
        <v>7112496</v>
      </c>
      <c r="J212">
        <f t="shared" si="26"/>
        <v>1</v>
      </c>
      <c r="K212">
        <v>150</v>
      </c>
      <c r="L212">
        <v>150</v>
      </c>
      <c r="M212">
        <v>120</v>
      </c>
      <c r="N212" t="s">
        <v>555</v>
      </c>
      <c r="O212" t="s">
        <v>556</v>
      </c>
      <c r="P212" t="s">
        <v>555</v>
      </c>
      <c r="Q212">
        <v>0.78</v>
      </c>
      <c r="R212">
        <v>0.85</v>
      </c>
      <c r="S212">
        <v>0.78</v>
      </c>
      <c r="T212">
        <v>235</v>
      </c>
      <c r="U212">
        <v>110</v>
      </c>
      <c r="V212">
        <v>295</v>
      </c>
      <c r="W212">
        <v>2</v>
      </c>
      <c r="X212">
        <v>10</v>
      </c>
      <c r="Y212" t="str">
        <f t="shared" si="27"/>
        <v>110295235100.780.850.78700,000900,000700,000120150150</v>
      </c>
      <c r="Z212">
        <f t="shared" si="28"/>
        <v>1</v>
      </c>
      <c r="AA212" s="20">
        <v>8</v>
      </c>
      <c r="AB212" s="20">
        <v>72</v>
      </c>
      <c r="AC212" s="20">
        <v>7</v>
      </c>
      <c r="AD212" t="str">
        <f t="shared" si="29"/>
        <v>8727</v>
      </c>
      <c r="AE212">
        <f t="shared" si="30"/>
        <v>1</v>
      </c>
    </row>
    <row r="213" spans="1:31" x14ac:dyDescent="0.25">
      <c r="A213" t="s">
        <v>197</v>
      </c>
      <c r="B213" t="s">
        <v>454</v>
      </c>
      <c r="C213">
        <v>114205060</v>
      </c>
      <c r="D213" t="str">
        <f t="shared" si="24"/>
        <v>Öztürk, Özcan-114205060</v>
      </c>
      <c r="E213">
        <v>84</v>
      </c>
      <c r="F213">
        <v>139</v>
      </c>
      <c r="G213">
        <v>5</v>
      </c>
      <c r="H213">
        <v>9</v>
      </c>
      <c r="I213" t="str">
        <f t="shared" si="25"/>
        <v>8413959</v>
      </c>
      <c r="J213">
        <f t="shared" si="26"/>
        <v>1</v>
      </c>
      <c r="K213">
        <v>130</v>
      </c>
      <c r="L213">
        <v>225</v>
      </c>
      <c r="M213">
        <v>110</v>
      </c>
      <c r="N213" t="s">
        <v>556</v>
      </c>
      <c r="O213" t="s">
        <v>555</v>
      </c>
      <c r="P213" t="s">
        <v>557</v>
      </c>
      <c r="Q213">
        <v>0.85</v>
      </c>
      <c r="R213">
        <v>0.7</v>
      </c>
      <c r="S213">
        <v>0.85</v>
      </c>
      <c r="T213">
        <v>285</v>
      </c>
      <c r="U213">
        <v>185</v>
      </c>
      <c r="V213">
        <v>300</v>
      </c>
      <c r="W213">
        <v>3</v>
      </c>
      <c r="X213">
        <v>15</v>
      </c>
      <c r="Y213" t="str">
        <f t="shared" si="27"/>
        <v>185300285150.850.70.85600,000700,000900,000110225130</v>
      </c>
      <c r="Z213">
        <f t="shared" si="28"/>
        <v>1</v>
      </c>
      <c r="AA213" s="20">
        <v>8</v>
      </c>
      <c r="AB213" s="20">
        <v>53</v>
      </c>
      <c r="AC213" s="20">
        <v>19</v>
      </c>
      <c r="AD213" t="str">
        <f t="shared" si="29"/>
        <v>85319</v>
      </c>
      <c r="AE213">
        <f t="shared" si="30"/>
        <v>1</v>
      </c>
    </row>
    <row r="214" spans="1:31" x14ac:dyDescent="0.25">
      <c r="A214" t="s">
        <v>456</v>
      </c>
      <c r="B214" t="s">
        <v>455</v>
      </c>
      <c r="C214">
        <v>114205016</v>
      </c>
      <c r="D214" t="str">
        <f t="shared" si="24"/>
        <v>Özübek, Anıl-114205016</v>
      </c>
      <c r="E214">
        <v>81</v>
      </c>
      <c r="F214">
        <v>144</v>
      </c>
      <c r="G214">
        <v>9</v>
      </c>
      <c r="H214">
        <v>6</v>
      </c>
      <c r="I214" t="str">
        <f t="shared" si="25"/>
        <v>8114496</v>
      </c>
      <c r="J214">
        <f t="shared" si="26"/>
        <v>1</v>
      </c>
      <c r="K214">
        <v>100</v>
      </c>
      <c r="L214">
        <v>215</v>
      </c>
      <c r="M214">
        <v>130</v>
      </c>
      <c r="N214" t="s">
        <v>555</v>
      </c>
      <c r="O214" t="s">
        <v>553</v>
      </c>
      <c r="P214" t="s">
        <v>553</v>
      </c>
      <c r="Q214">
        <v>0.85</v>
      </c>
      <c r="R214">
        <v>0.78</v>
      </c>
      <c r="S214">
        <v>0.79</v>
      </c>
      <c r="T214">
        <v>200</v>
      </c>
      <c r="U214">
        <v>195</v>
      </c>
      <c r="V214">
        <v>210</v>
      </c>
      <c r="W214">
        <v>2</v>
      </c>
      <c r="X214">
        <v>10</v>
      </c>
      <c r="Y214" t="str">
        <f t="shared" si="27"/>
        <v>195210200100.790.780.85500,000500,000700,000130215100</v>
      </c>
      <c r="Z214">
        <f t="shared" si="28"/>
        <v>1</v>
      </c>
      <c r="AA214" s="20">
        <v>12</v>
      </c>
      <c r="AB214" s="20">
        <v>43</v>
      </c>
      <c r="AC214" s="20">
        <v>19</v>
      </c>
      <c r="AD214" t="str">
        <f t="shared" si="29"/>
        <v>124319</v>
      </c>
      <c r="AE214">
        <f t="shared" si="30"/>
        <v>1</v>
      </c>
    </row>
    <row r="215" spans="1:31" x14ac:dyDescent="0.25">
      <c r="A215" t="s">
        <v>458</v>
      </c>
      <c r="B215" t="s">
        <v>457</v>
      </c>
      <c r="C215">
        <v>116203065</v>
      </c>
      <c r="D215" t="str">
        <f t="shared" si="24"/>
        <v>Özyurt, Yunus Emre-116203065</v>
      </c>
      <c r="E215">
        <v>78</v>
      </c>
      <c r="F215">
        <v>107</v>
      </c>
      <c r="G215">
        <v>6</v>
      </c>
      <c r="H215">
        <v>6</v>
      </c>
      <c r="I215" t="str">
        <f t="shared" si="25"/>
        <v>7810766</v>
      </c>
      <c r="J215">
        <f t="shared" si="26"/>
        <v>1</v>
      </c>
      <c r="K215">
        <v>130</v>
      </c>
      <c r="L215">
        <v>200</v>
      </c>
      <c r="M215">
        <v>110</v>
      </c>
      <c r="N215" t="s">
        <v>554</v>
      </c>
      <c r="O215" t="s">
        <v>556</v>
      </c>
      <c r="P215" t="s">
        <v>556</v>
      </c>
      <c r="Q215">
        <v>0.72</v>
      </c>
      <c r="R215">
        <v>0.72</v>
      </c>
      <c r="S215">
        <v>0.78</v>
      </c>
      <c r="T215">
        <v>235</v>
      </c>
      <c r="U215">
        <v>180</v>
      </c>
      <c r="V215">
        <v>200</v>
      </c>
      <c r="W215">
        <v>1</v>
      </c>
      <c r="X215">
        <v>8</v>
      </c>
      <c r="Y215" t="str">
        <f t="shared" si="27"/>
        <v>18020023580.780.720.72900,000900,000800,000110200130</v>
      </c>
      <c r="Z215">
        <f t="shared" si="28"/>
        <v>1</v>
      </c>
      <c r="AA215" s="20">
        <v>5</v>
      </c>
      <c r="AB215" s="20">
        <v>38</v>
      </c>
      <c r="AC215" s="20">
        <v>14</v>
      </c>
      <c r="AD215" t="str">
        <f t="shared" si="29"/>
        <v>53814</v>
      </c>
      <c r="AE215">
        <f t="shared" si="30"/>
        <v>1</v>
      </c>
    </row>
    <row r="216" spans="1:31" x14ac:dyDescent="0.25">
      <c r="A216" t="s">
        <v>460</v>
      </c>
      <c r="B216" t="s">
        <v>459</v>
      </c>
      <c r="C216">
        <v>113201010</v>
      </c>
      <c r="D216" t="str">
        <f t="shared" si="24"/>
        <v>Özzade, Ayça Büşra-113201010</v>
      </c>
      <c r="E216">
        <v>79</v>
      </c>
      <c r="F216">
        <v>134</v>
      </c>
      <c r="G216">
        <v>8</v>
      </c>
      <c r="H216">
        <v>6</v>
      </c>
      <c r="I216" t="str">
        <f t="shared" si="25"/>
        <v>7913486</v>
      </c>
      <c r="J216">
        <f t="shared" si="26"/>
        <v>1</v>
      </c>
      <c r="K216">
        <v>115</v>
      </c>
      <c r="L216">
        <v>240</v>
      </c>
      <c r="M216">
        <v>150</v>
      </c>
      <c r="N216" t="s">
        <v>553</v>
      </c>
      <c r="O216" t="s">
        <v>555</v>
      </c>
      <c r="P216" t="s">
        <v>553</v>
      </c>
      <c r="Q216">
        <v>0.72</v>
      </c>
      <c r="R216">
        <v>0.77</v>
      </c>
      <c r="S216">
        <v>0.7</v>
      </c>
      <c r="T216">
        <v>300</v>
      </c>
      <c r="U216">
        <v>210</v>
      </c>
      <c r="V216">
        <v>285</v>
      </c>
      <c r="W216">
        <v>2</v>
      </c>
      <c r="X216">
        <v>10</v>
      </c>
      <c r="Y216" t="str">
        <f t="shared" si="27"/>
        <v>210285300100.70.770.72500,000700,000500,000150240115</v>
      </c>
      <c r="Z216">
        <f t="shared" si="28"/>
        <v>1</v>
      </c>
      <c r="AA216" s="20">
        <v>8</v>
      </c>
      <c r="AB216" s="20">
        <v>40</v>
      </c>
      <c r="AC216" s="20">
        <v>8</v>
      </c>
      <c r="AD216" t="str">
        <f t="shared" si="29"/>
        <v>8408</v>
      </c>
      <c r="AE216">
        <f t="shared" si="30"/>
        <v>1</v>
      </c>
    </row>
    <row r="217" spans="1:31" x14ac:dyDescent="0.25">
      <c r="A217" t="s">
        <v>461</v>
      </c>
      <c r="B217" t="s">
        <v>97</v>
      </c>
      <c r="C217">
        <v>115206040</v>
      </c>
      <c r="D217" t="str">
        <f t="shared" si="24"/>
        <v>Palalı, Arda-115206040</v>
      </c>
      <c r="E217">
        <v>77</v>
      </c>
      <c r="F217">
        <v>118</v>
      </c>
      <c r="G217">
        <v>7</v>
      </c>
      <c r="H217">
        <v>5</v>
      </c>
      <c r="I217" t="str">
        <f t="shared" si="25"/>
        <v>7711875</v>
      </c>
      <c r="J217">
        <f t="shared" si="26"/>
        <v>1</v>
      </c>
      <c r="K217">
        <v>120</v>
      </c>
      <c r="L217">
        <v>250</v>
      </c>
      <c r="M217">
        <v>120</v>
      </c>
      <c r="N217" t="s">
        <v>555</v>
      </c>
      <c r="O217" t="s">
        <v>555</v>
      </c>
      <c r="P217" t="s">
        <v>553</v>
      </c>
      <c r="Q217">
        <v>0.7</v>
      </c>
      <c r="R217">
        <v>0.71</v>
      </c>
      <c r="S217">
        <v>0.75</v>
      </c>
      <c r="T217">
        <v>235</v>
      </c>
      <c r="U217">
        <v>210</v>
      </c>
      <c r="V217">
        <v>195</v>
      </c>
      <c r="W217">
        <v>2</v>
      </c>
      <c r="X217">
        <v>10</v>
      </c>
      <c r="Y217" t="str">
        <f t="shared" si="27"/>
        <v>210195235100.750.710.7500,000700,000700,000120250120</v>
      </c>
      <c r="Z217">
        <f t="shared" si="28"/>
        <v>1</v>
      </c>
      <c r="AA217" s="20">
        <v>7</v>
      </c>
      <c r="AB217" s="20">
        <v>65</v>
      </c>
      <c r="AC217" s="20">
        <v>11</v>
      </c>
      <c r="AD217" t="str">
        <f t="shared" si="29"/>
        <v>76511</v>
      </c>
      <c r="AE217">
        <f t="shared" si="30"/>
        <v>1</v>
      </c>
    </row>
    <row r="218" spans="1:31" x14ac:dyDescent="0.25">
      <c r="A218" t="s">
        <v>200</v>
      </c>
      <c r="B218" t="s">
        <v>199</v>
      </c>
      <c r="C218">
        <v>115205014</v>
      </c>
      <c r="D218" t="str">
        <f t="shared" si="24"/>
        <v>Palombo, Sami-115205014</v>
      </c>
      <c r="E218">
        <v>70</v>
      </c>
      <c r="F218">
        <v>145</v>
      </c>
      <c r="G218">
        <v>6</v>
      </c>
      <c r="H218">
        <v>8</v>
      </c>
      <c r="I218" t="str">
        <f t="shared" si="25"/>
        <v>7014568</v>
      </c>
      <c r="J218">
        <f t="shared" si="26"/>
        <v>1</v>
      </c>
      <c r="K218">
        <v>105</v>
      </c>
      <c r="L218">
        <v>230</v>
      </c>
      <c r="M218">
        <v>115</v>
      </c>
      <c r="N218" t="s">
        <v>553</v>
      </c>
      <c r="O218" t="s">
        <v>555</v>
      </c>
      <c r="P218" t="s">
        <v>554</v>
      </c>
      <c r="Q218">
        <v>0.82</v>
      </c>
      <c r="R218">
        <v>0.79</v>
      </c>
      <c r="S218">
        <v>0.77</v>
      </c>
      <c r="T218">
        <v>240</v>
      </c>
      <c r="U218">
        <v>190</v>
      </c>
      <c r="V218">
        <v>225</v>
      </c>
      <c r="W218">
        <v>2</v>
      </c>
      <c r="X218">
        <v>10</v>
      </c>
      <c r="Y218" t="str">
        <f t="shared" si="27"/>
        <v>190225240100.770.790.82800,000700,000500,000115230105</v>
      </c>
      <c r="Z218">
        <f t="shared" si="28"/>
        <v>1</v>
      </c>
      <c r="AA218" s="20">
        <v>5</v>
      </c>
      <c r="AB218" s="20">
        <v>36</v>
      </c>
      <c r="AC218" s="20">
        <v>15</v>
      </c>
      <c r="AD218" t="str">
        <f t="shared" si="29"/>
        <v>53615</v>
      </c>
      <c r="AE218">
        <f t="shared" si="30"/>
        <v>1</v>
      </c>
    </row>
    <row r="219" spans="1:31" x14ac:dyDescent="0.25">
      <c r="A219" t="s">
        <v>202</v>
      </c>
      <c r="B219" t="s">
        <v>201</v>
      </c>
      <c r="C219">
        <v>114206041</v>
      </c>
      <c r="D219" t="str">
        <f t="shared" si="24"/>
        <v>Pınar, Eren Can-114206041</v>
      </c>
      <c r="E219">
        <v>70</v>
      </c>
      <c r="F219">
        <v>121</v>
      </c>
      <c r="G219">
        <v>9</v>
      </c>
      <c r="H219">
        <v>7</v>
      </c>
      <c r="I219" t="str">
        <f t="shared" si="25"/>
        <v>7012197</v>
      </c>
      <c r="J219">
        <f t="shared" si="26"/>
        <v>1</v>
      </c>
      <c r="K219">
        <v>105</v>
      </c>
      <c r="L219">
        <v>175</v>
      </c>
      <c r="M219">
        <v>105</v>
      </c>
      <c r="N219" t="s">
        <v>554</v>
      </c>
      <c r="O219" t="s">
        <v>556</v>
      </c>
      <c r="P219" t="s">
        <v>556</v>
      </c>
      <c r="Q219">
        <v>0.81</v>
      </c>
      <c r="R219">
        <v>0.71</v>
      </c>
      <c r="S219">
        <v>0.79</v>
      </c>
      <c r="T219">
        <v>175</v>
      </c>
      <c r="U219">
        <v>140</v>
      </c>
      <c r="V219">
        <v>240</v>
      </c>
      <c r="W219">
        <v>1</v>
      </c>
      <c r="X219">
        <v>8</v>
      </c>
      <c r="Y219" t="str">
        <f t="shared" si="27"/>
        <v>14024017580.790.710.81900,000900,000800,000105175105</v>
      </c>
      <c r="Z219">
        <f t="shared" si="28"/>
        <v>1</v>
      </c>
      <c r="AA219" s="20">
        <v>8</v>
      </c>
      <c r="AB219" s="20">
        <v>48</v>
      </c>
      <c r="AC219" s="20">
        <v>17</v>
      </c>
      <c r="AD219" t="str">
        <f t="shared" si="29"/>
        <v>84817</v>
      </c>
      <c r="AE219">
        <f t="shared" si="30"/>
        <v>1</v>
      </c>
    </row>
    <row r="220" spans="1:31" x14ac:dyDescent="0.25">
      <c r="A220" t="s">
        <v>204</v>
      </c>
      <c r="B220" t="s">
        <v>203</v>
      </c>
      <c r="C220">
        <v>114205054</v>
      </c>
      <c r="D220" t="str">
        <f t="shared" si="24"/>
        <v>Renklioğlu, Ahmet-114205054</v>
      </c>
      <c r="E220">
        <v>81</v>
      </c>
      <c r="F220">
        <v>147</v>
      </c>
      <c r="G220">
        <v>7</v>
      </c>
      <c r="H220">
        <v>9</v>
      </c>
      <c r="I220" t="str">
        <f t="shared" si="25"/>
        <v>8114779</v>
      </c>
      <c r="J220">
        <f t="shared" si="26"/>
        <v>1</v>
      </c>
      <c r="K220">
        <v>140</v>
      </c>
      <c r="L220">
        <v>225</v>
      </c>
      <c r="M220">
        <v>100</v>
      </c>
      <c r="N220" t="s">
        <v>556</v>
      </c>
      <c r="O220" t="s">
        <v>553</v>
      </c>
      <c r="P220" t="s">
        <v>556</v>
      </c>
      <c r="Q220">
        <v>0.78</v>
      </c>
      <c r="R220">
        <v>0.72</v>
      </c>
      <c r="S220">
        <v>0.85</v>
      </c>
      <c r="T220">
        <v>205</v>
      </c>
      <c r="U220">
        <v>185</v>
      </c>
      <c r="V220">
        <v>205</v>
      </c>
      <c r="W220">
        <v>2</v>
      </c>
      <c r="X220">
        <v>10</v>
      </c>
      <c r="Y220" t="str">
        <f t="shared" si="27"/>
        <v>185205205100.850.720.78900,000500,000900,000100225140</v>
      </c>
      <c r="Z220">
        <f t="shared" si="28"/>
        <v>1</v>
      </c>
      <c r="AA220" s="20">
        <v>7</v>
      </c>
      <c r="AB220" s="20">
        <v>67</v>
      </c>
      <c r="AC220" s="20">
        <v>18</v>
      </c>
      <c r="AD220" t="str">
        <f t="shared" si="29"/>
        <v>76718</v>
      </c>
      <c r="AE220">
        <f t="shared" si="30"/>
        <v>1</v>
      </c>
    </row>
    <row r="221" spans="1:31" x14ac:dyDescent="0.25">
      <c r="A221" t="s">
        <v>206</v>
      </c>
      <c r="B221" t="s">
        <v>205</v>
      </c>
      <c r="C221">
        <v>114205064</v>
      </c>
      <c r="D221" t="str">
        <f t="shared" si="24"/>
        <v>Rud, Iliya-114205064</v>
      </c>
      <c r="E221">
        <v>89</v>
      </c>
      <c r="F221">
        <v>130</v>
      </c>
      <c r="G221">
        <v>9</v>
      </c>
      <c r="H221">
        <v>5</v>
      </c>
      <c r="I221" t="str">
        <f t="shared" si="25"/>
        <v>8913095</v>
      </c>
      <c r="J221">
        <f t="shared" si="26"/>
        <v>1</v>
      </c>
      <c r="K221">
        <v>110</v>
      </c>
      <c r="L221">
        <v>240</v>
      </c>
      <c r="M221">
        <v>130</v>
      </c>
      <c r="N221" t="s">
        <v>553</v>
      </c>
      <c r="O221" t="s">
        <v>553</v>
      </c>
      <c r="P221" t="s">
        <v>553</v>
      </c>
      <c r="Q221">
        <v>0.8</v>
      </c>
      <c r="R221">
        <v>0.83</v>
      </c>
      <c r="S221">
        <v>0.78</v>
      </c>
      <c r="T221">
        <v>180</v>
      </c>
      <c r="U221">
        <v>205</v>
      </c>
      <c r="V221">
        <v>250</v>
      </c>
      <c r="W221">
        <v>1</v>
      </c>
      <c r="X221">
        <v>8</v>
      </c>
      <c r="Y221" t="str">
        <f t="shared" si="27"/>
        <v>20525018080.780.830.8500,000500,000500,000130240110</v>
      </c>
      <c r="Z221">
        <f t="shared" si="28"/>
        <v>1</v>
      </c>
      <c r="AA221" s="20">
        <v>11</v>
      </c>
      <c r="AB221" s="20">
        <v>81</v>
      </c>
      <c r="AC221" s="20">
        <v>9</v>
      </c>
      <c r="AD221" t="str">
        <f t="shared" si="29"/>
        <v>11819</v>
      </c>
      <c r="AE221">
        <f t="shared" si="30"/>
        <v>1</v>
      </c>
    </row>
    <row r="222" spans="1:31" x14ac:dyDescent="0.25">
      <c r="A222" t="s">
        <v>479</v>
      </c>
      <c r="B222" t="s">
        <v>478</v>
      </c>
      <c r="C222">
        <v>114202021</v>
      </c>
      <c r="D222" t="str">
        <f t="shared" si="24"/>
        <v>Şabablı, Ebru-114202021</v>
      </c>
      <c r="E222">
        <v>82</v>
      </c>
      <c r="F222">
        <v>125</v>
      </c>
      <c r="G222">
        <v>5</v>
      </c>
      <c r="H222">
        <v>6</v>
      </c>
      <c r="I222" t="str">
        <f t="shared" si="25"/>
        <v>8212556</v>
      </c>
      <c r="J222">
        <f t="shared" si="26"/>
        <v>1</v>
      </c>
      <c r="K222">
        <v>145</v>
      </c>
      <c r="L222">
        <v>205</v>
      </c>
      <c r="M222">
        <v>145</v>
      </c>
      <c r="N222" t="s">
        <v>555</v>
      </c>
      <c r="O222" t="s">
        <v>553</v>
      </c>
      <c r="P222" t="s">
        <v>553</v>
      </c>
      <c r="Q222">
        <v>0.74</v>
      </c>
      <c r="R222">
        <v>0.7</v>
      </c>
      <c r="S222">
        <v>0.72</v>
      </c>
      <c r="T222">
        <v>175</v>
      </c>
      <c r="U222">
        <v>185</v>
      </c>
      <c r="V222">
        <v>225</v>
      </c>
      <c r="W222">
        <v>1</v>
      </c>
      <c r="X222">
        <v>8</v>
      </c>
      <c r="Y222" t="str">
        <f t="shared" si="27"/>
        <v>18522517580.720.70.74500,000500,000700,000145205145</v>
      </c>
      <c r="Z222">
        <f t="shared" si="28"/>
        <v>1</v>
      </c>
      <c r="AA222" s="20">
        <v>6</v>
      </c>
      <c r="AB222" s="20">
        <v>81</v>
      </c>
      <c r="AC222" s="20">
        <v>20</v>
      </c>
      <c r="AD222" t="str">
        <f t="shared" si="29"/>
        <v>68120</v>
      </c>
      <c r="AE222">
        <f t="shared" si="30"/>
        <v>1</v>
      </c>
    </row>
    <row r="223" spans="1:31" x14ac:dyDescent="0.25">
      <c r="A223" t="s">
        <v>463</v>
      </c>
      <c r="B223" t="s">
        <v>462</v>
      </c>
      <c r="C223">
        <v>115200100</v>
      </c>
      <c r="D223" t="str">
        <f t="shared" si="24"/>
        <v>Sadrimajd, Salva-115200100</v>
      </c>
      <c r="E223">
        <v>79</v>
      </c>
      <c r="F223">
        <v>108</v>
      </c>
      <c r="G223">
        <v>7</v>
      </c>
      <c r="H223">
        <v>8</v>
      </c>
      <c r="I223" t="str">
        <f t="shared" si="25"/>
        <v>7910878</v>
      </c>
      <c r="J223">
        <f t="shared" si="26"/>
        <v>1</v>
      </c>
      <c r="K223">
        <v>100</v>
      </c>
      <c r="L223">
        <v>240</v>
      </c>
      <c r="M223">
        <v>140</v>
      </c>
      <c r="N223" t="s">
        <v>556</v>
      </c>
      <c r="O223" t="s">
        <v>553</v>
      </c>
      <c r="P223" t="s">
        <v>556</v>
      </c>
      <c r="Q223">
        <v>0.76</v>
      </c>
      <c r="R223">
        <v>0.71</v>
      </c>
      <c r="S223">
        <v>0.82</v>
      </c>
      <c r="T223">
        <v>270</v>
      </c>
      <c r="U223">
        <v>205</v>
      </c>
      <c r="V223">
        <v>245</v>
      </c>
      <c r="W223">
        <v>3</v>
      </c>
      <c r="X223">
        <v>15</v>
      </c>
      <c r="Y223" t="str">
        <f t="shared" si="27"/>
        <v>205245270150.820.710.76900,000500,000900,000140240100</v>
      </c>
      <c r="Z223">
        <f t="shared" si="28"/>
        <v>1</v>
      </c>
      <c r="AA223" s="20">
        <v>7</v>
      </c>
      <c r="AB223" s="20">
        <v>36</v>
      </c>
      <c r="AC223" s="20">
        <v>8</v>
      </c>
      <c r="AD223" t="str">
        <f t="shared" si="29"/>
        <v>7368</v>
      </c>
      <c r="AE223">
        <f t="shared" si="30"/>
        <v>1</v>
      </c>
    </row>
    <row r="224" spans="1:31" x14ac:dyDescent="0.25">
      <c r="A224" t="s">
        <v>230</v>
      </c>
      <c r="B224" t="s">
        <v>229</v>
      </c>
      <c r="C224">
        <v>115204008</v>
      </c>
      <c r="D224" t="str">
        <f t="shared" si="24"/>
        <v>Şahin, Hazal Su-115204008</v>
      </c>
      <c r="E224">
        <v>74</v>
      </c>
      <c r="F224">
        <v>123</v>
      </c>
      <c r="G224">
        <v>9</v>
      </c>
      <c r="H224">
        <v>6</v>
      </c>
      <c r="I224" t="str">
        <f t="shared" si="25"/>
        <v>7412396</v>
      </c>
      <c r="J224">
        <f t="shared" si="26"/>
        <v>1</v>
      </c>
      <c r="K224">
        <v>140</v>
      </c>
      <c r="L224">
        <v>220</v>
      </c>
      <c r="M224">
        <v>150</v>
      </c>
      <c r="N224" t="s">
        <v>555</v>
      </c>
      <c r="O224" t="s">
        <v>556</v>
      </c>
      <c r="P224" t="s">
        <v>557</v>
      </c>
      <c r="Q224">
        <v>0.76</v>
      </c>
      <c r="R224">
        <v>0.74</v>
      </c>
      <c r="S224">
        <v>0.74</v>
      </c>
      <c r="T224">
        <v>180</v>
      </c>
      <c r="U224">
        <v>185</v>
      </c>
      <c r="V224">
        <v>275</v>
      </c>
      <c r="W224">
        <v>1</v>
      </c>
      <c r="X224">
        <v>8</v>
      </c>
      <c r="Y224" t="str">
        <f t="shared" si="27"/>
        <v>18527518080.740.740.76600,000900,000700,000150220140</v>
      </c>
      <c r="Z224">
        <f t="shared" si="28"/>
        <v>1</v>
      </c>
      <c r="AA224" s="20">
        <v>5</v>
      </c>
      <c r="AB224" s="20">
        <v>57</v>
      </c>
      <c r="AC224" s="20">
        <v>13</v>
      </c>
      <c r="AD224" t="str">
        <f t="shared" si="29"/>
        <v>55713</v>
      </c>
      <c r="AE224">
        <f t="shared" si="30"/>
        <v>1</v>
      </c>
    </row>
    <row r="225" spans="1:31" x14ac:dyDescent="0.25">
      <c r="A225" t="s">
        <v>230</v>
      </c>
      <c r="B225" t="s">
        <v>480</v>
      </c>
      <c r="C225">
        <v>114201050</v>
      </c>
      <c r="D225" t="str">
        <f t="shared" si="24"/>
        <v>Şahin, İlayda-114201050</v>
      </c>
      <c r="E225">
        <v>72</v>
      </c>
      <c r="F225">
        <v>104</v>
      </c>
      <c r="G225">
        <v>5</v>
      </c>
      <c r="H225">
        <v>7</v>
      </c>
      <c r="I225" t="str">
        <f t="shared" si="25"/>
        <v>7210457</v>
      </c>
      <c r="J225">
        <f t="shared" si="26"/>
        <v>1</v>
      </c>
      <c r="K225">
        <v>105</v>
      </c>
      <c r="L225">
        <v>250</v>
      </c>
      <c r="M225">
        <v>105</v>
      </c>
      <c r="N225" t="s">
        <v>555</v>
      </c>
      <c r="O225" t="s">
        <v>553</v>
      </c>
      <c r="P225" t="s">
        <v>554</v>
      </c>
      <c r="Q225">
        <v>0.7</v>
      </c>
      <c r="R225">
        <v>0.81</v>
      </c>
      <c r="S225">
        <v>0.78</v>
      </c>
      <c r="T225">
        <v>185</v>
      </c>
      <c r="U225">
        <v>220</v>
      </c>
      <c r="V225">
        <v>195</v>
      </c>
      <c r="W225">
        <v>1</v>
      </c>
      <c r="X225">
        <v>8</v>
      </c>
      <c r="Y225" t="str">
        <f t="shared" si="27"/>
        <v>22019518580.780.810.7800,000500,000700,000105250105</v>
      </c>
      <c r="Z225">
        <f t="shared" si="28"/>
        <v>1</v>
      </c>
      <c r="AA225" s="20">
        <v>12</v>
      </c>
      <c r="AB225" s="20">
        <v>57</v>
      </c>
      <c r="AC225" s="20">
        <v>22</v>
      </c>
      <c r="AD225" t="str">
        <f t="shared" si="29"/>
        <v>125722</v>
      </c>
      <c r="AE225">
        <f t="shared" si="30"/>
        <v>1</v>
      </c>
    </row>
    <row r="226" spans="1:31" x14ac:dyDescent="0.25">
      <c r="A226" t="s">
        <v>465</v>
      </c>
      <c r="B226" t="s">
        <v>464</v>
      </c>
      <c r="C226">
        <v>116203001</v>
      </c>
      <c r="D226" t="str">
        <f t="shared" si="24"/>
        <v>Saleem, Muhammad Farhan-116203001</v>
      </c>
      <c r="E226">
        <v>74</v>
      </c>
      <c r="F226">
        <v>105</v>
      </c>
      <c r="G226">
        <v>5</v>
      </c>
      <c r="H226">
        <v>5</v>
      </c>
      <c r="I226" t="str">
        <f t="shared" si="25"/>
        <v>7410555</v>
      </c>
      <c r="J226">
        <f t="shared" si="26"/>
        <v>1</v>
      </c>
      <c r="K226">
        <v>115</v>
      </c>
      <c r="L226">
        <v>220</v>
      </c>
      <c r="M226">
        <v>115</v>
      </c>
      <c r="N226" t="s">
        <v>554</v>
      </c>
      <c r="O226" t="s">
        <v>557</v>
      </c>
      <c r="P226" t="s">
        <v>556</v>
      </c>
      <c r="Q226">
        <v>0.81</v>
      </c>
      <c r="R226">
        <v>0.79</v>
      </c>
      <c r="S226">
        <v>0.81</v>
      </c>
      <c r="T226">
        <v>185</v>
      </c>
      <c r="U226">
        <v>200</v>
      </c>
      <c r="V226">
        <v>175</v>
      </c>
      <c r="W226">
        <v>2</v>
      </c>
      <c r="X226">
        <v>10</v>
      </c>
      <c r="Y226" t="str">
        <f t="shared" si="27"/>
        <v>200175185100.810.790.81900,000600,000800,000115220115</v>
      </c>
      <c r="Z226">
        <f t="shared" si="28"/>
        <v>1</v>
      </c>
      <c r="AA226" s="20">
        <v>8</v>
      </c>
      <c r="AB226" s="20">
        <v>43</v>
      </c>
      <c r="AC226" s="20">
        <v>17</v>
      </c>
      <c r="AD226" t="str">
        <f t="shared" si="29"/>
        <v>84317</v>
      </c>
      <c r="AE226">
        <f t="shared" si="30"/>
        <v>1</v>
      </c>
    </row>
    <row r="227" spans="1:31" x14ac:dyDescent="0.25">
      <c r="A227" t="s">
        <v>208</v>
      </c>
      <c r="B227" t="s">
        <v>207</v>
      </c>
      <c r="C227">
        <v>115206032</v>
      </c>
      <c r="D227" t="str">
        <f t="shared" si="24"/>
        <v>Samancı, Selahattin Alp-115206032</v>
      </c>
      <c r="E227">
        <v>86</v>
      </c>
      <c r="F227">
        <v>104</v>
      </c>
      <c r="G227">
        <v>7</v>
      </c>
      <c r="H227">
        <v>6</v>
      </c>
      <c r="I227" t="str">
        <f t="shared" si="25"/>
        <v>8610476</v>
      </c>
      <c r="J227">
        <f t="shared" si="26"/>
        <v>1</v>
      </c>
      <c r="K227">
        <v>125</v>
      </c>
      <c r="L227">
        <v>235</v>
      </c>
      <c r="M227">
        <v>140</v>
      </c>
      <c r="N227" t="s">
        <v>553</v>
      </c>
      <c r="O227" t="s">
        <v>554</v>
      </c>
      <c r="P227" t="s">
        <v>553</v>
      </c>
      <c r="Q227">
        <v>0.75</v>
      </c>
      <c r="R227">
        <v>0.81</v>
      </c>
      <c r="S227">
        <v>0.74</v>
      </c>
      <c r="T227">
        <v>220</v>
      </c>
      <c r="U227">
        <v>210</v>
      </c>
      <c r="V227">
        <v>285</v>
      </c>
      <c r="W227">
        <v>2</v>
      </c>
      <c r="X227">
        <v>10</v>
      </c>
      <c r="Y227" t="str">
        <f t="shared" si="27"/>
        <v>210285220100.740.810.75500,000800,000500,000140235125</v>
      </c>
      <c r="Z227">
        <f t="shared" si="28"/>
        <v>1</v>
      </c>
      <c r="AA227" s="20">
        <v>8</v>
      </c>
      <c r="AB227" s="20">
        <v>72</v>
      </c>
      <c r="AC227" s="20">
        <v>21</v>
      </c>
      <c r="AD227" t="str">
        <f t="shared" si="29"/>
        <v>87221</v>
      </c>
      <c r="AE227">
        <f t="shared" si="30"/>
        <v>1</v>
      </c>
    </row>
    <row r="228" spans="1:31" x14ac:dyDescent="0.25">
      <c r="A228" t="s">
        <v>467</v>
      </c>
      <c r="B228" t="s">
        <v>466</v>
      </c>
      <c r="C228">
        <v>111201034</v>
      </c>
      <c r="D228" t="str">
        <f t="shared" si="24"/>
        <v>Sandıkçı, Oğulcan-111201034</v>
      </c>
      <c r="E228">
        <v>87</v>
      </c>
      <c r="F228">
        <v>119</v>
      </c>
      <c r="G228">
        <v>7</v>
      </c>
      <c r="H228">
        <v>5</v>
      </c>
      <c r="I228" t="str">
        <f t="shared" si="25"/>
        <v>8711975</v>
      </c>
      <c r="J228">
        <f t="shared" si="26"/>
        <v>1</v>
      </c>
      <c r="K228">
        <v>145</v>
      </c>
      <c r="L228">
        <v>205</v>
      </c>
      <c r="M228">
        <v>130</v>
      </c>
      <c r="N228" t="s">
        <v>557</v>
      </c>
      <c r="O228" t="s">
        <v>553</v>
      </c>
      <c r="P228" t="s">
        <v>553</v>
      </c>
      <c r="Q228">
        <v>0.74</v>
      </c>
      <c r="R228">
        <v>0.71</v>
      </c>
      <c r="S228">
        <v>0.77</v>
      </c>
      <c r="T228">
        <v>235</v>
      </c>
      <c r="U228">
        <v>170</v>
      </c>
      <c r="V228">
        <v>195</v>
      </c>
      <c r="W228">
        <v>3</v>
      </c>
      <c r="X228">
        <v>15</v>
      </c>
      <c r="Y228" t="str">
        <f t="shared" si="27"/>
        <v>170195235150.770.710.74500,000500,000600,000130205145</v>
      </c>
      <c r="Z228">
        <f t="shared" si="28"/>
        <v>1</v>
      </c>
      <c r="AA228" s="20">
        <v>9</v>
      </c>
      <c r="AB228" s="20">
        <v>86</v>
      </c>
      <c r="AC228" s="20">
        <v>22</v>
      </c>
      <c r="AD228" t="str">
        <f t="shared" si="29"/>
        <v>98622</v>
      </c>
      <c r="AE228">
        <f t="shared" si="30"/>
        <v>1</v>
      </c>
    </row>
    <row r="229" spans="1:31" x14ac:dyDescent="0.25">
      <c r="A229" t="s">
        <v>210</v>
      </c>
      <c r="B229" t="s">
        <v>209</v>
      </c>
      <c r="C229">
        <v>11275008</v>
      </c>
      <c r="D229" t="str">
        <f t="shared" si="24"/>
        <v>Sanisoğlu, Ceren-11275008</v>
      </c>
      <c r="E229">
        <v>72</v>
      </c>
      <c r="F229">
        <v>121</v>
      </c>
      <c r="G229">
        <v>5</v>
      </c>
      <c r="H229">
        <v>9</v>
      </c>
      <c r="I229" t="str">
        <f t="shared" si="25"/>
        <v>7212159</v>
      </c>
      <c r="J229">
        <f t="shared" si="26"/>
        <v>1</v>
      </c>
      <c r="K229">
        <v>120</v>
      </c>
      <c r="L229">
        <v>200</v>
      </c>
      <c r="M229">
        <v>120</v>
      </c>
      <c r="N229" t="s">
        <v>557</v>
      </c>
      <c r="O229" t="s">
        <v>556</v>
      </c>
      <c r="P229" t="s">
        <v>555</v>
      </c>
      <c r="Q229">
        <v>0.75</v>
      </c>
      <c r="R229">
        <v>0.71</v>
      </c>
      <c r="S229">
        <v>0.77</v>
      </c>
      <c r="T229">
        <v>235</v>
      </c>
      <c r="U229">
        <v>165</v>
      </c>
      <c r="V229">
        <v>265</v>
      </c>
      <c r="W229">
        <v>2</v>
      </c>
      <c r="X229">
        <v>10</v>
      </c>
      <c r="Y229" t="str">
        <f t="shared" si="27"/>
        <v>165265235100.770.710.75700,000900,000600,000120200120</v>
      </c>
      <c r="Z229">
        <f t="shared" si="28"/>
        <v>1</v>
      </c>
      <c r="AA229" s="20">
        <v>6</v>
      </c>
      <c r="AB229" s="20">
        <v>72</v>
      </c>
      <c r="AC229" s="20">
        <v>16</v>
      </c>
      <c r="AD229" t="str">
        <f t="shared" si="29"/>
        <v>67216</v>
      </c>
      <c r="AE229">
        <f t="shared" si="30"/>
        <v>1</v>
      </c>
    </row>
    <row r="230" spans="1:31" x14ac:dyDescent="0.25">
      <c r="A230" t="s">
        <v>232</v>
      </c>
      <c r="B230" t="s">
        <v>231</v>
      </c>
      <c r="C230">
        <v>114202049</v>
      </c>
      <c r="D230" t="str">
        <f t="shared" si="24"/>
        <v>Şaşıoğlu, Kaan-114202049</v>
      </c>
      <c r="E230">
        <v>87</v>
      </c>
      <c r="F230">
        <v>105</v>
      </c>
      <c r="G230">
        <v>8</v>
      </c>
      <c r="H230">
        <v>8</v>
      </c>
      <c r="I230" t="str">
        <f t="shared" si="25"/>
        <v>8710588</v>
      </c>
      <c r="J230">
        <f t="shared" si="26"/>
        <v>1</v>
      </c>
      <c r="K230">
        <v>110</v>
      </c>
      <c r="L230">
        <v>175</v>
      </c>
      <c r="M230">
        <v>150</v>
      </c>
      <c r="N230" t="s">
        <v>555</v>
      </c>
      <c r="O230" t="s">
        <v>553</v>
      </c>
      <c r="P230" t="s">
        <v>556</v>
      </c>
      <c r="Q230">
        <v>0.71</v>
      </c>
      <c r="R230">
        <v>0.81</v>
      </c>
      <c r="S230">
        <v>0.83</v>
      </c>
      <c r="T230">
        <v>185</v>
      </c>
      <c r="U230">
        <v>140</v>
      </c>
      <c r="V230">
        <v>185</v>
      </c>
      <c r="W230">
        <v>1</v>
      </c>
      <c r="X230">
        <v>8</v>
      </c>
      <c r="Y230" t="str">
        <f t="shared" si="27"/>
        <v>14018518580.830.810.71900,000500,000700,000150175110</v>
      </c>
      <c r="Z230">
        <f t="shared" si="28"/>
        <v>1</v>
      </c>
      <c r="AA230" s="20">
        <v>10</v>
      </c>
      <c r="AB230" s="20">
        <v>53</v>
      </c>
      <c r="AC230" s="20">
        <v>23</v>
      </c>
      <c r="AD230" t="str">
        <f t="shared" si="29"/>
        <v>105323</v>
      </c>
      <c r="AE230">
        <f t="shared" si="30"/>
        <v>1</v>
      </c>
    </row>
    <row r="231" spans="1:31" x14ac:dyDescent="0.25">
      <c r="A231" t="s">
        <v>468</v>
      </c>
      <c r="B231" t="s">
        <v>265</v>
      </c>
      <c r="C231">
        <v>115202021</v>
      </c>
      <c r="D231" t="str">
        <f t="shared" si="24"/>
        <v>Satış, Furkan-115202021</v>
      </c>
      <c r="E231">
        <v>74</v>
      </c>
      <c r="F231">
        <v>100</v>
      </c>
      <c r="G231">
        <v>9</v>
      </c>
      <c r="H231">
        <v>7</v>
      </c>
      <c r="I231" t="str">
        <f t="shared" si="25"/>
        <v>7410097</v>
      </c>
      <c r="J231">
        <f t="shared" si="26"/>
        <v>1</v>
      </c>
      <c r="K231">
        <v>140</v>
      </c>
      <c r="L231">
        <v>250</v>
      </c>
      <c r="M231">
        <v>140</v>
      </c>
      <c r="N231" t="s">
        <v>553</v>
      </c>
      <c r="O231" t="s">
        <v>553</v>
      </c>
      <c r="P231" t="s">
        <v>553</v>
      </c>
      <c r="Q231">
        <v>0.84</v>
      </c>
      <c r="R231">
        <v>0.85</v>
      </c>
      <c r="S231">
        <v>0.79</v>
      </c>
      <c r="T231">
        <v>290</v>
      </c>
      <c r="U231">
        <v>225</v>
      </c>
      <c r="V231">
        <v>255</v>
      </c>
      <c r="W231">
        <v>3</v>
      </c>
      <c r="X231">
        <v>15</v>
      </c>
      <c r="Y231" t="str">
        <f t="shared" si="27"/>
        <v>225255290150.790.850.84500,000500,000500,000140250140</v>
      </c>
      <c r="Z231">
        <f t="shared" si="28"/>
        <v>1</v>
      </c>
      <c r="AA231" s="20">
        <v>15</v>
      </c>
      <c r="AB231" s="20">
        <v>36</v>
      </c>
      <c r="AC231" s="20">
        <v>8</v>
      </c>
      <c r="AD231" t="str">
        <f t="shared" si="29"/>
        <v>15368</v>
      </c>
      <c r="AE231">
        <f t="shared" si="30"/>
        <v>1</v>
      </c>
    </row>
    <row r="232" spans="1:31" x14ac:dyDescent="0.25">
      <c r="A232" t="s">
        <v>212</v>
      </c>
      <c r="B232" t="s">
        <v>211</v>
      </c>
      <c r="C232">
        <v>113203007</v>
      </c>
      <c r="D232" t="str">
        <f t="shared" si="24"/>
        <v>Sayek, Alexander-113203007</v>
      </c>
      <c r="E232">
        <v>84</v>
      </c>
      <c r="F232">
        <v>102</v>
      </c>
      <c r="G232">
        <v>9</v>
      </c>
      <c r="H232">
        <v>7</v>
      </c>
      <c r="I232" t="str">
        <f t="shared" si="25"/>
        <v>8410297</v>
      </c>
      <c r="J232">
        <f t="shared" si="26"/>
        <v>1</v>
      </c>
      <c r="K232">
        <v>120</v>
      </c>
      <c r="L232">
        <v>235</v>
      </c>
      <c r="M232">
        <v>120</v>
      </c>
      <c r="N232" t="s">
        <v>557</v>
      </c>
      <c r="O232" t="s">
        <v>555</v>
      </c>
      <c r="P232" t="s">
        <v>555</v>
      </c>
      <c r="Q232">
        <v>0.71</v>
      </c>
      <c r="R232">
        <v>0.75</v>
      </c>
      <c r="S232">
        <v>0.77</v>
      </c>
      <c r="T232">
        <v>300</v>
      </c>
      <c r="U232">
        <v>200</v>
      </c>
      <c r="V232">
        <v>190</v>
      </c>
      <c r="W232">
        <v>1</v>
      </c>
      <c r="X232">
        <v>8</v>
      </c>
      <c r="Y232" t="str">
        <f t="shared" si="27"/>
        <v>20019030080.770.750.71700,000700,000600,000120235120</v>
      </c>
      <c r="Z232">
        <f t="shared" si="28"/>
        <v>1</v>
      </c>
      <c r="AA232" s="20">
        <v>12</v>
      </c>
      <c r="AB232" s="20">
        <v>33</v>
      </c>
      <c r="AC232" s="20">
        <v>7</v>
      </c>
      <c r="AD232" t="str">
        <f t="shared" si="29"/>
        <v>12337</v>
      </c>
      <c r="AE232">
        <f t="shared" si="30"/>
        <v>1</v>
      </c>
    </row>
    <row r="233" spans="1:31" x14ac:dyDescent="0.25">
      <c r="A233" t="s">
        <v>214</v>
      </c>
      <c r="B233" t="s">
        <v>213</v>
      </c>
      <c r="C233">
        <v>114204046</v>
      </c>
      <c r="D233" t="str">
        <f t="shared" si="24"/>
        <v>Selçuk, Ahmet Mert-114204046</v>
      </c>
      <c r="E233">
        <v>73</v>
      </c>
      <c r="F233">
        <v>122</v>
      </c>
      <c r="G233">
        <v>6</v>
      </c>
      <c r="H233">
        <v>6</v>
      </c>
      <c r="I233" t="str">
        <f t="shared" si="25"/>
        <v>7312266</v>
      </c>
      <c r="J233">
        <f t="shared" si="26"/>
        <v>1</v>
      </c>
      <c r="K233">
        <v>115</v>
      </c>
      <c r="L233">
        <v>240</v>
      </c>
      <c r="M233">
        <v>125</v>
      </c>
      <c r="N233" t="s">
        <v>555</v>
      </c>
      <c r="O233" t="s">
        <v>556</v>
      </c>
      <c r="P233" t="s">
        <v>557</v>
      </c>
      <c r="Q233">
        <v>0.82</v>
      </c>
      <c r="R233">
        <v>0.77</v>
      </c>
      <c r="S233">
        <v>0.81</v>
      </c>
      <c r="T233">
        <v>220</v>
      </c>
      <c r="U233">
        <v>205</v>
      </c>
      <c r="V233">
        <v>285</v>
      </c>
      <c r="W233">
        <v>1</v>
      </c>
      <c r="X233">
        <v>8</v>
      </c>
      <c r="Y233" t="str">
        <f t="shared" si="27"/>
        <v>20528522080.810.770.82600,000900,000700,000125240115</v>
      </c>
      <c r="Z233">
        <f t="shared" si="28"/>
        <v>1</v>
      </c>
      <c r="AA233" s="20">
        <v>5</v>
      </c>
      <c r="AB233" s="20">
        <v>58</v>
      </c>
      <c r="AC233" s="20">
        <v>12</v>
      </c>
      <c r="AD233" t="str">
        <f t="shared" si="29"/>
        <v>55812</v>
      </c>
      <c r="AE233">
        <f t="shared" si="30"/>
        <v>1</v>
      </c>
    </row>
    <row r="234" spans="1:31" x14ac:dyDescent="0.25">
      <c r="A234" t="s">
        <v>214</v>
      </c>
      <c r="B234" t="s">
        <v>469</v>
      </c>
      <c r="C234">
        <v>113205041</v>
      </c>
      <c r="D234" t="str">
        <f t="shared" si="24"/>
        <v>Selçuk, Yağız-113205041</v>
      </c>
      <c r="E234">
        <v>82</v>
      </c>
      <c r="F234">
        <v>145</v>
      </c>
      <c r="G234">
        <v>7</v>
      </c>
      <c r="H234">
        <v>7</v>
      </c>
      <c r="I234" t="str">
        <f t="shared" si="25"/>
        <v>8214577</v>
      </c>
      <c r="J234">
        <f t="shared" si="26"/>
        <v>1</v>
      </c>
      <c r="K234">
        <v>120</v>
      </c>
      <c r="L234">
        <v>190</v>
      </c>
      <c r="M234">
        <v>145</v>
      </c>
      <c r="N234" t="s">
        <v>556</v>
      </c>
      <c r="O234" t="s">
        <v>554</v>
      </c>
      <c r="P234" t="s">
        <v>556</v>
      </c>
      <c r="Q234">
        <v>0.77</v>
      </c>
      <c r="R234">
        <v>0.73</v>
      </c>
      <c r="S234">
        <v>0.7</v>
      </c>
      <c r="T234">
        <v>275</v>
      </c>
      <c r="U234">
        <v>155</v>
      </c>
      <c r="V234">
        <v>230</v>
      </c>
      <c r="W234">
        <v>2</v>
      </c>
      <c r="X234">
        <v>10</v>
      </c>
      <c r="Y234" t="str">
        <f t="shared" si="27"/>
        <v>155230275100.70.730.77900,000800,000900,000145190120</v>
      </c>
      <c r="Z234">
        <f t="shared" si="28"/>
        <v>1</v>
      </c>
      <c r="AA234" s="20">
        <v>14</v>
      </c>
      <c r="AB234" s="20">
        <v>82</v>
      </c>
      <c r="AC234" s="20">
        <v>6</v>
      </c>
      <c r="AD234" t="str">
        <f t="shared" si="29"/>
        <v>14826</v>
      </c>
      <c r="AE234">
        <f t="shared" si="30"/>
        <v>1</v>
      </c>
    </row>
    <row r="235" spans="1:31" x14ac:dyDescent="0.25">
      <c r="A235" t="s">
        <v>481</v>
      </c>
      <c r="B235" t="s">
        <v>375</v>
      </c>
      <c r="C235">
        <v>116203035</v>
      </c>
      <c r="D235" t="str">
        <f t="shared" si="24"/>
        <v>Şenel, Utku-116203035</v>
      </c>
      <c r="E235">
        <v>89</v>
      </c>
      <c r="F235">
        <v>133</v>
      </c>
      <c r="G235">
        <v>7</v>
      </c>
      <c r="H235">
        <v>6</v>
      </c>
      <c r="I235" t="str">
        <f t="shared" si="25"/>
        <v>8913376</v>
      </c>
      <c r="J235">
        <f t="shared" si="26"/>
        <v>1</v>
      </c>
      <c r="K235">
        <v>115</v>
      </c>
      <c r="L235">
        <v>230</v>
      </c>
      <c r="M235">
        <v>125</v>
      </c>
      <c r="N235" t="s">
        <v>556</v>
      </c>
      <c r="O235" t="s">
        <v>557</v>
      </c>
      <c r="P235" t="s">
        <v>553</v>
      </c>
      <c r="Q235">
        <v>0.7</v>
      </c>
      <c r="R235">
        <v>0.84</v>
      </c>
      <c r="S235">
        <v>0.81</v>
      </c>
      <c r="T235">
        <v>300</v>
      </c>
      <c r="U235">
        <v>190</v>
      </c>
      <c r="V235">
        <v>285</v>
      </c>
      <c r="W235">
        <v>3</v>
      </c>
      <c r="X235">
        <v>15</v>
      </c>
      <c r="Y235" t="str">
        <f t="shared" si="27"/>
        <v>190285300150.810.840.7500,000600,000900,000125230115</v>
      </c>
      <c r="Z235">
        <f t="shared" si="28"/>
        <v>1</v>
      </c>
      <c r="AA235" s="20">
        <v>9</v>
      </c>
      <c r="AB235" s="20">
        <v>66</v>
      </c>
      <c r="AC235" s="20">
        <v>25</v>
      </c>
      <c r="AD235" t="str">
        <f t="shared" si="29"/>
        <v>96625</v>
      </c>
      <c r="AE235">
        <f t="shared" si="30"/>
        <v>1</v>
      </c>
    </row>
    <row r="236" spans="1:31" x14ac:dyDescent="0.25">
      <c r="A236" t="s">
        <v>482</v>
      </c>
      <c r="B236" t="s">
        <v>119</v>
      </c>
      <c r="C236">
        <v>115203071</v>
      </c>
      <c r="D236" t="str">
        <f t="shared" si="24"/>
        <v>Şengül, Eda-115203071</v>
      </c>
      <c r="E236">
        <v>77</v>
      </c>
      <c r="F236">
        <v>135</v>
      </c>
      <c r="G236">
        <v>9</v>
      </c>
      <c r="H236">
        <v>5</v>
      </c>
      <c r="I236" t="str">
        <f t="shared" si="25"/>
        <v>7713595</v>
      </c>
      <c r="J236">
        <f t="shared" si="26"/>
        <v>1</v>
      </c>
      <c r="K236">
        <v>100</v>
      </c>
      <c r="L236">
        <v>150</v>
      </c>
      <c r="M236">
        <v>130</v>
      </c>
      <c r="N236" t="s">
        <v>553</v>
      </c>
      <c r="O236" t="s">
        <v>554</v>
      </c>
      <c r="P236" t="s">
        <v>556</v>
      </c>
      <c r="Q236">
        <v>0.84</v>
      </c>
      <c r="R236">
        <v>0.77</v>
      </c>
      <c r="S236">
        <v>0.84</v>
      </c>
      <c r="T236">
        <v>265</v>
      </c>
      <c r="U236">
        <v>110</v>
      </c>
      <c r="V236">
        <v>285</v>
      </c>
      <c r="W236">
        <v>1</v>
      </c>
      <c r="X236">
        <v>8</v>
      </c>
      <c r="Y236" t="str">
        <f t="shared" si="27"/>
        <v>11028526580.840.770.84900,000800,000500,000130150100</v>
      </c>
      <c r="Z236">
        <f t="shared" si="28"/>
        <v>1</v>
      </c>
      <c r="AA236" s="20">
        <v>14</v>
      </c>
      <c r="AB236" s="20">
        <v>39</v>
      </c>
      <c r="AC236" s="20">
        <v>22</v>
      </c>
      <c r="AD236" t="str">
        <f t="shared" si="29"/>
        <v>143922</v>
      </c>
      <c r="AE236">
        <f t="shared" si="30"/>
        <v>1</v>
      </c>
    </row>
    <row r="237" spans="1:31" x14ac:dyDescent="0.25">
      <c r="A237" t="s">
        <v>234</v>
      </c>
      <c r="B237" t="s">
        <v>233</v>
      </c>
      <c r="C237">
        <v>114207018</v>
      </c>
      <c r="D237" t="str">
        <f t="shared" si="24"/>
        <v>Şensoy, Emin Alper-114207018</v>
      </c>
      <c r="E237">
        <v>88</v>
      </c>
      <c r="F237">
        <v>126</v>
      </c>
      <c r="G237">
        <v>7</v>
      </c>
      <c r="H237">
        <v>8</v>
      </c>
      <c r="I237" t="str">
        <f t="shared" si="25"/>
        <v>8812678</v>
      </c>
      <c r="J237">
        <f t="shared" si="26"/>
        <v>1</v>
      </c>
      <c r="K237">
        <v>110</v>
      </c>
      <c r="L237">
        <v>230</v>
      </c>
      <c r="M237">
        <v>105</v>
      </c>
      <c r="N237" t="s">
        <v>554</v>
      </c>
      <c r="O237" t="s">
        <v>554</v>
      </c>
      <c r="P237" t="s">
        <v>556</v>
      </c>
      <c r="Q237">
        <v>0.83</v>
      </c>
      <c r="R237">
        <v>0.74</v>
      </c>
      <c r="S237">
        <v>0.74</v>
      </c>
      <c r="T237">
        <v>295</v>
      </c>
      <c r="U237">
        <v>200</v>
      </c>
      <c r="V237">
        <v>280</v>
      </c>
      <c r="W237">
        <v>2</v>
      </c>
      <c r="X237">
        <v>10</v>
      </c>
      <c r="Y237" t="str">
        <f t="shared" si="27"/>
        <v>200280295100.740.740.83900,000800,000800,000105230110</v>
      </c>
      <c r="Z237">
        <f t="shared" si="28"/>
        <v>1</v>
      </c>
      <c r="AA237" s="20">
        <v>15</v>
      </c>
      <c r="AB237" s="20">
        <v>74</v>
      </c>
      <c r="AC237" s="20">
        <v>23</v>
      </c>
      <c r="AD237" t="str">
        <f t="shared" si="29"/>
        <v>157423</v>
      </c>
      <c r="AE237">
        <f t="shared" si="30"/>
        <v>1</v>
      </c>
    </row>
    <row r="238" spans="1:31" x14ac:dyDescent="0.25">
      <c r="A238" t="s">
        <v>471</v>
      </c>
      <c r="B238" t="s">
        <v>470</v>
      </c>
      <c r="C238">
        <v>116201154</v>
      </c>
      <c r="D238" t="str">
        <f t="shared" si="24"/>
        <v>Serdaroğlu, Hüdanur-116201154</v>
      </c>
      <c r="E238">
        <v>77</v>
      </c>
      <c r="F238">
        <v>102</v>
      </c>
      <c r="G238">
        <v>6</v>
      </c>
      <c r="H238">
        <v>5</v>
      </c>
      <c r="I238" t="str">
        <f t="shared" si="25"/>
        <v>7710265</v>
      </c>
      <c r="J238">
        <f t="shared" si="26"/>
        <v>1</v>
      </c>
      <c r="K238">
        <v>150</v>
      </c>
      <c r="L238">
        <v>215</v>
      </c>
      <c r="M238">
        <v>100</v>
      </c>
      <c r="N238" t="s">
        <v>554</v>
      </c>
      <c r="O238" t="s">
        <v>556</v>
      </c>
      <c r="P238" t="s">
        <v>554</v>
      </c>
      <c r="Q238">
        <v>0.85</v>
      </c>
      <c r="R238">
        <v>0.83</v>
      </c>
      <c r="S238">
        <v>0.85</v>
      </c>
      <c r="T238">
        <v>205</v>
      </c>
      <c r="U238">
        <v>195</v>
      </c>
      <c r="V238">
        <v>230</v>
      </c>
      <c r="W238">
        <v>1</v>
      </c>
      <c r="X238">
        <v>8</v>
      </c>
      <c r="Y238" t="str">
        <f t="shared" si="27"/>
        <v>19523020580.850.830.85800,000900,000800,000100215150</v>
      </c>
      <c r="Z238">
        <f t="shared" si="28"/>
        <v>1</v>
      </c>
      <c r="AA238" s="20">
        <v>5</v>
      </c>
      <c r="AB238" s="20">
        <v>66</v>
      </c>
      <c r="AC238" s="20">
        <v>9</v>
      </c>
      <c r="AD238" t="str">
        <f t="shared" si="29"/>
        <v>5669</v>
      </c>
      <c r="AE238">
        <f t="shared" si="30"/>
        <v>1</v>
      </c>
    </row>
    <row r="239" spans="1:31" x14ac:dyDescent="0.25">
      <c r="A239" t="s">
        <v>216</v>
      </c>
      <c r="B239" t="s">
        <v>215</v>
      </c>
      <c r="C239">
        <v>115204014</v>
      </c>
      <c r="D239" t="str">
        <f t="shared" si="24"/>
        <v>Serin, Ali Emre-115204014</v>
      </c>
      <c r="E239">
        <v>72</v>
      </c>
      <c r="F239">
        <v>125</v>
      </c>
      <c r="G239">
        <v>9</v>
      </c>
      <c r="H239">
        <v>8</v>
      </c>
      <c r="I239" t="str">
        <f t="shared" si="25"/>
        <v>7212598</v>
      </c>
      <c r="J239">
        <f t="shared" si="26"/>
        <v>1</v>
      </c>
      <c r="K239">
        <v>130</v>
      </c>
      <c r="L239">
        <v>175</v>
      </c>
      <c r="M239">
        <v>130</v>
      </c>
      <c r="N239" t="s">
        <v>553</v>
      </c>
      <c r="O239" t="s">
        <v>555</v>
      </c>
      <c r="P239" t="s">
        <v>553</v>
      </c>
      <c r="Q239">
        <v>0.74</v>
      </c>
      <c r="R239">
        <v>0.8</v>
      </c>
      <c r="S239">
        <v>0.74</v>
      </c>
      <c r="T239">
        <v>210</v>
      </c>
      <c r="U239">
        <v>135</v>
      </c>
      <c r="V239">
        <v>295</v>
      </c>
      <c r="W239">
        <v>3</v>
      </c>
      <c r="X239">
        <v>15</v>
      </c>
      <c r="Y239" t="str">
        <f t="shared" si="27"/>
        <v>135295210150.740.80.74500,000700,000500,000130175130</v>
      </c>
      <c r="Z239">
        <f t="shared" si="28"/>
        <v>1</v>
      </c>
      <c r="AA239" s="20">
        <v>13</v>
      </c>
      <c r="AB239" s="20">
        <v>39</v>
      </c>
      <c r="AC239" s="20">
        <v>23</v>
      </c>
      <c r="AD239" t="str">
        <f t="shared" si="29"/>
        <v>133923</v>
      </c>
      <c r="AE239">
        <f t="shared" si="30"/>
        <v>1</v>
      </c>
    </row>
    <row r="240" spans="1:31" x14ac:dyDescent="0.25">
      <c r="A240" t="s">
        <v>218</v>
      </c>
      <c r="B240" t="s">
        <v>217</v>
      </c>
      <c r="C240">
        <v>116204054</v>
      </c>
      <c r="D240" t="str">
        <f t="shared" si="24"/>
        <v>Sev, Onat Çağıl-116204054</v>
      </c>
      <c r="E240">
        <v>78</v>
      </c>
      <c r="F240">
        <v>147</v>
      </c>
      <c r="G240">
        <v>7</v>
      </c>
      <c r="H240">
        <v>8</v>
      </c>
      <c r="I240" t="str">
        <f t="shared" si="25"/>
        <v>7814778</v>
      </c>
      <c r="J240">
        <f t="shared" si="26"/>
        <v>1</v>
      </c>
      <c r="K240">
        <v>125</v>
      </c>
      <c r="L240">
        <v>225</v>
      </c>
      <c r="M240">
        <v>115</v>
      </c>
      <c r="N240" t="s">
        <v>556</v>
      </c>
      <c r="O240" t="s">
        <v>554</v>
      </c>
      <c r="P240" t="s">
        <v>555</v>
      </c>
      <c r="Q240">
        <v>0.74</v>
      </c>
      <c r="R240">
        <v>0.78</v>
      </c>
      <c r="S240">
        <v>0.85</v>
      </c>
      <c r="T240">
        <v>300</v>
      </c>
      <c r="U240">
        <v>190</v>
      </c>
      <c r="V240">
        <v>180</v>
      </c>
      <c r="W240">
        <v>2</v>
      </c>
      <c r="X240">
        <v>10</v>
      </c>
      <c r="Y240" t="str">
        <f t="shared" si="27"/>
        <v>190180300100.850.780.74700,000800,000900,000115225125</v>
      </c>
      <c r="Z240">
        <f t="shared" si="28"/>
        <v>1</v>
      </c>
      <c r="AA240" s="20">
        <v>11</v>
      </c>
      <c r="AB240" s="20">
        <v>70</v>
      </c>
      <c r="AC240" s="20">
        <v>9</v>
      </c>
      <c r="AD240" t="str">
        <f t="shared" si="29"/>
        <v>11709</v>
      </c>
      <c r="AE240">
        <f t="shared" si="30"/>
        <v>1</v>
      </c>
    </row>
    <row r="241" spans="1:31" x14ac:dyDescent="0.25">
      <c r="A241" t="s">
        <v>220</v>
      </c>
      <c r="B241" t="s">
        <v>219</v>
      </c>
      <c r="C241">
        <v>113202064</v>
      </c>
      <c r="D241" t="str">
        <f t="shared" si="24"/>
        <v>Sevim, Mehmet Emin-113202064</v>
      </c>
      <c r="E241">
        <v>74</v>
      </c>
      <c r="F241">
        <v>141</v>
      </c>
      <c r="G241">
        <v>7</v>
      </c>
      <c r="H241">
        <v>6</v>
      </c>
      <c r="I241" t="str">
        <f t="shared" si="25"/>
        <v>7414176</v>
      </c>
      <c r="J241">
        <f t="shared" si="26"/>
        <v>1</v>
      </c>
      <c r="K241">
        <v>110</v>
      </c>
      <c r="L241">
        <v>175</v>
      </c>
      <c r="M241">
        <v>130</v>
      </c>
      <c r="N241" t="s">
        <v>553</v>
      </c>
      <c r="O241" t="s">
        <v>554</v>
      </c>
      <c r="P241" t="s">
        <v>556</v>
      </c>
      <c r="Q241">
        <v>0.8</v>
      </c>
      <c r="R241">
        <v>0.83</v>
      </c>
      <c r="S241">
        <v>0.85</v>
      </c>
      <c r="T241">
        <v>250</v>
      </c>
      <c r="U241">
        <v>140</v>
      </c>
      <c r="V241">
        <v>250</v>
      </c>
      <c r="W241">
        <v>1</v>
      </c>
      <c r="X241">
        <v>8</v>
      </c>
      <c r="Y241" t="str">
        <f t="shared" si="27"/>
        <v>14025025080.850.830.8900,000800,000500,000130175110</v>
      </c>
      <c r="Z241">
        <f t="shared" si="28"/>
        <v>1</v>
      </c>
      <c r="AA241" s="20">
        <v>6</v>
      </c>
      <c r="AB241" s="20">
        <v>33</v>
      </c>
      <c r="AC241" s="20">
        <v>17</v>
      </c>
      <c r="AD241" t="str">
        <f t="shared" si="29"/>
        <v>63317</v>
      </c>
      <c r="AE241">
        <f t="shared" si="30"/>
        <v>1</v>
      </c>
    </row>
    <row r="242" spans="1:31" x14ac:dyDescent="0.25">
      <c r="A242" t="s">
        <v>222</v>
      </c>
      <c r="B242" t="s">
        <v>221</v>
      </c>
      <c r="C242">
        <v>116201155</v>
      </c>
      <c r="D242" t="str">
        <f t="shared" si="24"/>
        <v>Sevimli, Gülşah-116201155</v>
      </c>
      <c r="E242">
        <v>76</v>
      </c>
      <c r="F242">
        <v>147</v>
      </c>
      <c r="G242">
        <v>9</v>
      </c>
      <c r="H242">
        <v>8</v>
      </c>
      <c r="I242" t="str">
        <f t="shared" si="25"/>
        <v>7614798</v>
      </c>
      <c r="J242">
        <f t="shared" si="26"/>
        <v>1</v>
      </c>
      <c r="K242">
        <v>125</v>
      </c>
      <c r="L242">
        <v>170</v>
      </c>
      <c r="M242">
        <v>105</v>
      </c>
      <c r="N242" t="s">
        <v>557</v>
      </c>
      <c r="O242" t="s">
        <v>557</v>
      </c>
      <c r="P242" t="s">
        <v>555</v>
      </c>
      <c r="Q242">
        <v>0.83</v>
      </c>
      <c r="R242">
        <v>0.76</v>
      </c>
      <c r="S242">
        <v>0.84</v>
      </c>
      <c r="T242">
        <v>220</v>
      </c>
      <c r="U242">
        <v>150</v>
      </c>
      <c r="V242">
        <v>210</v>
      </c>
      <c r="W242">
        <v>1</v>
      </c>
      <c r="X242">
        <v>8</v>
      </c>
      <c r="Y242" t="str">
        <f t="shared" si="27"/>
        <v>15021022080.840.760.83700,000600,000600,000105170125</v>
      </c>
      <c r="Z242">
        <f t="shared" si="28"/>
        <v>1</v>
      </c>
      <c r="AA242" s="20">
        <v>14</v>
      </c>
      <c r="AB242" s="20">
        <v>88</v>
      </c>
      <c r="AC242" s="20">
        <v>21</v>
      </c>
      <c r="AD242" t="str">
        <f t="shared" si="29"/>
        <v>148821</v>
      </c>
      <c r="AE242">
        <f t="shared" si="30"/>
        <v>1</v>
      </c>
    </row>
    <row r="243" spans="1:31" x14ac:dyDescent="0.25">
      <c r="A243" t="s">
        <v>224</v>
      </c>
      <c r="B243" t="s">
        <v>223</v>
      </c>
      <c r="C243">
        <v>116206226</v>
      </c>
      <c r="D243" t="str">
        <f t="shared" si="24"/>
        <v>Sevinçhan, İbrahim Yuşah-116206226</v>
      </c>
      <c r="E243">
        <v>80</v>
      </c>
      <c r="F243">
        <v>139</v>
      </c>
      <c r="G243">
        <v>9</v>
      </c>
      <c r="H243">
        <v>6</v>
      </c>
      <c r="I243" t="str">
        <f t="shared" si="25"/>
        <v>8013996</v>
      </c>
      <c r="J243">
        <f t="shared" si="26"/>
        <v>1</v>
      </c>
      <c r="K243">
        <v>120</v>
      </c>
      <c r="L243">
        <v>175</v>
      </c>
      <c r="M243">
        <v>115</v>
      </c>
      <c r="N243" t="s">
        <v>554</v>
      </c>
      <c r="O243" t="s">
        <v>553</v>
      </c>
      <c r="P243" t="s">
        <v>555</v>
      </c>
      <c r="Q243">
        <v>0.85</v>
      </c>
      <c r="R243">
        <v>0.73</v>
      </c>
      <c r="S243">
        <v>0.75</v>
      </c>
      <c r="T243">
        <v>180</v>
      </c>
      <c r="U243">
        <v>145</v>
      </c>
      <c r="V243">
        <v>200</v>
      </c>
      <c r="W243">
        <v>3</v>
      </c>
      <c r="X243">
        <v>15</v>
      </c>
      <c r="Y243" t="str">
        <f t="shared" si="27"/>
        <v>145200180150.750.730.85700,000500,000800,000115175120</v>
      </c>
      <c r="Z243">
        <f t="shared" si="28"/>
        <v>1</v>
      </c>
      <c r="AA243" s="20">
        <v>5</v>
      </c>
      <c r="AB243" s="20">
        <v>30</v>
      </c>
      <c r="AC243" s="20">
        <v>20</v>
      </c>
      <c r="AD243" t="str">
        <f t="shared" si="29"/>
        <v>53020</v>
      </c>
      <c r="AE243">
        <f t="shared" si="30"/>
        <v>1</v>
      </c>
    </row>
    <row r="244" spans="1:31" x14ac:dyDescent="0.25">
      <c r="A244" t="s">
        <v>226</v>
      </c>
      <c r="B244" t="s">
        <v>225</v>
      </c>
      <c r="C244">
        <v>117203094</v>
      </c>
      <c r="D244" t="str">
        <f t="shared" si="24"/>
        <v>Sezer, Erkmen-117203094</v>
      </c>
      <c r="E244">
        <v>72</v>
      </c>
      <c r="F244">
        <v>144</v>
      </c>
      <c r="G244">
        <v>5</v>
      </c>
      <c r="H244">
        <v>5</v>
      </c>
      <c r="I244" t="str">
        <f t="shared" si="25"/>
        <v>7214455</v>
      </c>
      <c r="J244">
        <f t="shared" si="26"/>
        <v>1</v>
      </c>
      <c r="K244">
        <v>140</v>
      </c>
      <c r="L244">
        <v>205</v>
      </c>
      <c r="M244">
        <v>115</v>
      </c>
      <c r="N244" t="s">
        <v>557</v>
      </c>
      <c r="O244" t="s">
        <v>554</v>
      </c>
      <c r="P244" t="s">
        <v>556</v>
      </c>
      <c r="Q244">
        <v>0.82</v>
      </c>
      <c r="R244">
        <v>0.75</v>
      </c>
      <c r="S244">
        <v>0.85</v>
      </c>
      <c r="T244">
        <v>265</v>
      </c>
      <c r="U244">
        <v>175</v>
      </c>
      <c r="V244">
        <v>215</v>
      </c>
      <c r="W244">
        <v>3</v>
      </c>
      <c r="X244">
        <v>15</v>
      </c>
      <c r="Y244" t="str">
        <f t="shared" si="27"/>
        <v>175215265150.850.750.82900,000800,000600,000115205140</v>
      </c>
      <c r="Z244">
        <f t="shared" si="28"/>
        <v>1</v>
      </c>
      <c r="AA244" s="20">
        <v>11</v>
      </c>
      <c r="AB244" s="20">
        <v>45</v>
      </c>
      <c r="AC244" s="20">
        <v>24</v>
      </c>
      <c r="AD244" t="str">
        <f t="shared" si="29"/>
        <v>114524</v>
      </c>
      <c r="AE244">
        <f t="shared" si="30"/>
        <v>1</v>
      </c>
    </row>
    <row r="245" spans="1:31" x14ac:dyDescent="0.25">
      <c r="A245" t="s">
        <v>226</v>
      </c>
      <c r="B245" t="s">
        <v>115</v>
      </c>
      <c r="C245">
        <v>115203064</v>
      </c>
      <c r="D245" t="str">
        <f t="shared" si="24"/>
        <v>Sezer, Zeynep-115203064</v>
      </c>
      <c r="E245">
        <v>78</v>
      </c>
      <c r="F245">
        <v>103</v>
      </c>
      <c r="G245">
        <v>5</v>
      </c>
      <c r="H245">
        <v>6</v>
      </c>
      <c r="I245" t="str">
        <f t="shared" si="25"/>
        <v>7810356</v>
      </c>
      <c r="J245">
        <f t="shared" si="26"/>
        <v>1</v>
      </c>
      <c r="K245">
        <v>145</v>
      </c>
      <c r="L245">
        <v>235</v>
      </c>
      <c r="M245">
        <v>110</v>
      </c>
      <c r="N245" t="s">
        <v>554</v>
      </c>
      <c r="O245" t="s">
        <v>553</v>
      </c>
      <c r="P245" t="s">
        <v>556</v>
      </c>
      <c r="Q245">
        <v>0.8</v>
      </c>
      <c r="R245">
        <v>0.77</v>
      </c>
      <c r="S245">
        <v>0.73</v>
      </c>
      <c r="T245">
        <v>280</v>
      </c>
      <c r="U245">
        <v>210</v>
      </c>
      <c r="V245">
        <v>295</v>
      </c>
      <c r="W245">
        <v>3</v>
      </c>
      <c r="X245">
        <v>15</v>
      </c>
      <c r="Y245" t="str">
        <f t="shared" si="27"/>
        <v>210295280150.730.770.8900,000500,000800,000110235145</v>
      </c>
      <c r="Z245">
        <f t="shared" si="28"/>
        <v>1</v>
      </c>
      <c r="AA245" s="20">
        <v>14</v>
      </c>
      <c r="AB245" s="20">
        <v>39</v>
      </c>
      <c r="AC245" s="20">
        <v>8</v>
      </c>
      <c r="AD245" t="str">
        <f t="shared" si="29"/>
        <v>14398</v>
      </c>
      <c r="AE245">
        <f t="shared" si="30"/>
        <v>1</v>
      </c>
    </row>
    <row r="246" spans="1:31" x14ac:dyDescent="0.25">
      <c r="A246" t="s">
        <v>236</v>
      </c>
      <c r="B246" t="s">
        <v>235</v>
      </c>
      <c r="C246">
        <v>114200047</v>
      </c>
      <c r="D246" t="str">
        <f t="shared" si="24"/>
        <v>Şimşek, Onurcan-114200047</v>
      </c>
      <c r="E246">
        <v>70</v>
      </c>
      <c r="F246">
        <v>106</v>
      </c>
      <c r="G246">
        <v>9</v>
      </c>
      <c r="H246">
        <v>7</v>
      </c>
      <c r="I246" t="str">
        <f t="shared" si="25"/>
        <v>7010697</v>
      </c>
      <c r="J246">
        <f t="shared" si="26"/>
        <v>1</v>
      </c>
      <c r="K246">
        <v>130</v>
      </c>
      <c r="L246">
        <v>175</v>
      </c>
      <c r="M246">
        <v>120</v>
      </c>
      <c r="N246" t="s">
        <v>555</v>
      </c>
      <c r="O246" t="s">
        <v>557</v>
      </c>
      <c r="P246" t="s">
        <v>557</v>
      </c>
      <c r="Q246">
        <v>0.71</v>
      </c>
      <c r="R246">
        <v>0.74</v>
      </c>
      <c r="S246">
        <v>0.84</v>
      </c>
      <c r="T246">
        <v>280</v>
      </c>
      <c r="U246">
        <v>140</v>
      </c>
      <c r="V246">
        <v>280</v>
      </c>
      <c r="W246">
        <v>1</v>
      </c>
      <c r="X246">
        <v>8</v>
      </c>
      <c r="Y246" t="str">
        <f t="shared" si="27"/>
        <v>14028028080.840.740.71600,000600,000700,000120175130</v>
      </c>
      <c r="Z246">
        <f t="shared" si="28"/>
        <v>1</v>
      </c>
      <c r="AA246" s="20">
        <v>7</v>
      </c>
      <c r="AB246" s="20">
        <v>75</v>
      </c>
      <c r="AC246" s="20">
        <v>23</v>
      </c>
      <c r="AD246" t="str">
        <f t="shared" si="29"/>
        <v>77523</v>
      </c>
      <c r="AE246">
        <f t="shared" si="30"/>
        <v>1</v>
      </c>
    </row>
    <row r="247" spans="1:31" x14ac:dyDescent="0.25">
      <c r="A247" t="s">
        <v>236</v>
      </c>
      <c r="B247" t="s">
        <v>237</v>
      </c>
      <c r="C247">
        <v>115206142</v>
      </c>
      <c r="D247" t="str">
        <f t="shared" si="24"/>
        <v>Şimşek, Sedat-115206142</v>
      </c>
      <c r="E247">
        <v>83</v>
      </c>
      <c r="F247">
        <v>117</v>
      </c>
      <c r="G247">
        <v>9</v>
      </c>
      <c r="H247">
        <v>8</v>
      </c>
      <c r="I247" t="str">
        <f t="shared" si="25"/>
        <v>8311798</v>
      </c>
      <c r="J247">
        <f t="shared" si="26"/>
        <v>1</v>
      </c>
      <c r="K247">
        <v>125</v>
      </c>
      <c r="L247">
        <v>240</v>
      </c>
      <c r="M247">
        <v>125</v>
      </c>
      <c r="N247" t="s">
        <v>555</v>
      </c>
      <c r="O247" t="s">
        <v>554</v>
      </c>
      <c r="P247" t="s">
        <v>557</v>
      </c>
      <c r="Q247">
        <v>0.84</v>
      </c>
      <c r="R247">
        <v>0.78</v>
      </c>
      <c r="S247">
        <v>0.81</v>
      </c>
      <c r="T247">
        <v>215</v>
      </c>
      <c r="U247">
        <v>200</v>
      </c>
      <c r="V247">
        <v>255</v>
      </c>
      <c r="W247">
        <v>3</v>
      </c>
      <c r="X247">
        <v>15</v>
      </c>
      <c r="Y247" t="str">
        <f t="shared" si="27"/>
        <v>200255215150.810.780.84600,000800,000700,000125240125</v>
      </c>
      <c r="Z247">
        <f t="shared" si="28"/>
        <v>1</v>
      </c>
      <c r="AA247" s="20">
        <v>11</v>
      </c>
      <c r="AB247" s="20">
        <v>70</v>
      </c>
      <c r="AC247" s="20">
        <v>11</v>
      </c>
      <c r="AD247" t="str">
        <f t="shared" si="29"/>
        <v>117011</v>
      </c>
      <c r="AE247">
        <f t="shared" si="30"/>
        <v>1</v>
      </c>
    </row>
    <row r="248" spans="1:31" x14ac:dyDescent="0.25">
      <c r="A248" t="s">
        <v>239</v>
      </c>
      <c r="B248" t="s">
        <v>238</v>
      </c>
      <c r="C248">
        <v>115203037</v>
      </c>
      <c r="D248" t="str">
        <f t="shared" si="24"/>
        <v>Şimşir, Mısra-115203037</v>
      </c>
      <c r="E248">
        <v>74</v>
      </c>
      <c r="F248">
        <v>132</v>
      </c>
      <c r="G248">
        <v>6</v>
      </c>
      <c r="H248">
        <v>5</v>
      </c>
      <c r="I248" t="str">
        <f t="shared" si="25"/>
        <v>7413265</v>
      </c>
      <c r="J248">
        <f t="shared" si="26"/>
        <v>1</v>
      </c>
      <c r="K248">
        <v>115</v>
      </c>
      <c r="L248">
        <v>235</v>
      </c>
      <c r="M248">
        <v>130</v>
      </c>
      <c r="N248" t="s">
        <v>556</v>
      </c>
      <c r="O248" t="s">
        <v>557</v>
      </c>
      <c r="P248" t="s">
        <v>553</v>
      </c>
      <c r="Q248">
        <v>0.74</v>
      </c>
      <c r="R248">
        <v>0.83</v>
      </c>
      <c r="S248">
        <v>0.73</v>
      </c>
      <c r="T248">
        <v>245</v>
      </c>
      <c r="U248">
        <v>200</v>
      </c>
      <c r="V248">
        <v>290</v>
      </c>
      <c r="W248">
        <v>3</v>
      </c>
      <c r="X248">
        <v>15</v>
      </c>
      <c r="Y248" t="str">
        <f t="shared" si="27"/>
        <v>200290245150.730.830.74500,000600,000900,000130235115</v>
      </c>
      <c r="Z248">
        <f t="shared" si="28"/>
        <v>1</v>
      </c>
      <c r="AA248" s="20">
        <v>5</v>
      </c>
      <c r="AB248" s="20">
        <v>56</v>
      </c>
      <c r="AC248" s="20">
        <v>13</v>
      </c>
      <c r="AD248" t="str">
        <f t="shared" si="29"/>
        <v>55613</v>
      </c>
      <c r="AE248">
        <f t="shared" si="30"/>
        <v>1</v>
      </c>
    </row>
    <row r="249" spans="1:31" x14ac:dyDescent="0.25">
      <c r="A249" t="s">
        <v>239</v>
      </c>
      <c r="B249" t="s">
        <v>240</v>
      </c>
      <c r="C249">
        <v>116203155</v>
      </c>
      <c r="D249" t="str">
        <f t="shared" si="24"/>
        <v>Şimşir, Serra-116203155</v>
      </c>
      <c r="E249">
        <v>78</v>
      </c>
      <c r="F249">
        <v>122</v>
      </c>
      <c r="G249">
        <v>9</v>
      </c>
      <c r="H249">
        <v>8</v>
      </c>
      <c r="I249" t="str">
        <f t="shared" si="25"/>
        <v>7812298</v>
      </c>
      <c r="J249">
        <f t="shared" si="26"/>
        <v>1</v>
      </c>
      <c r="K249">
        <v>140</v>
      </c>
      <c r="L249">
        <v>235</v>
      </c>
      <c r="M249">
        <v>130</v>
      </c>
      <c r="N249" t="s">
        <v>557</v>
      </c>
      <c r="O249" t="s">
        <v>555</v>
      </c>
      <c r="P249" t="s">
        <v>553</v>
      </c>
      <c r="Q249">
        <v>0.72</v>
      </c>
      <c r="R249">
        <v>0.83</v>
      </c>
      <c r="S249">
        <v>0.77</v>
      </c>
      <c r="T249">
        <v>215</v>
      </c>
      <c r="U249">
        <v>200</v>
      </c>
      <c r="V249">
        <v>265</v>
      </c>
      <c r="W249">
        <v>1</v>
      </c>
      <c r="X249">
        <v>8</v>
      </c>
      <c r="Y249" t="str">
        <f t="shared" si="27"/>
        <v>20026521580.770.830.72500,000700,000600,000130235140</v>
      </c>
      <c r="Z249">
        <f t="shared" si="28"/>
        <v>1</v>
      </c>
      <c r="AA249" s="20">
        <v>10</v>
      </c>
      <c r="AB249" s="20">
        <v>37</v>
      </c>
      <c r="AC249" s="20">
        <v>8</v>
      </c>
      <c r="AD249" t="str">
        <f t="shared" si="29"/>
        <v>10378</v>
      </c>
      <c r="AE249">
        <f t="shared" si="30"/>
        <v>1</v>
      </c>
    </row>
    <row r="250" spans="1:31" x14ac:dyDescent="0.25">
      <c r="A250" t="s">
        <v>242</v>
      </c>
      <c r="B250" t="s">
        <v>241</v>
      </c>
      <c r="C250">
        <v>114205025</v>
      </c>
      <c r="D250" t="str">
        <f t="shared" si="24"/>
        <v>Şişli, Bahar-114205025</v>
      </c>
      <c r="E250">
        <v>79</v>
      </c>
      <c r="F250">
        <v>125</v>
      </c>
      <c r="G250">
        <v>9</v>
      </c>
      <c r="H250">
        <v>5</v>
      </c>
      <c r="I250" t="str">
        <f t="shared" si="25"/>
        <v>7912595</v>
      </c>
      <c r="J250">
        <f t="shared" si="26"/>
        <v>1</v>
      </c>
      <c r="K250">
        <v>140</v>
      </c>
      <c r="L250">
        <v>180</v>
      </c>
      <c r="M250">
        <v>115</v>
      </c>
      <c r="N250" t="s">
        <v>553</v>
      </c>
      <c r="O250" t="s">
        <v>557</v>
      </c>
      <c r="P250" t="s">
        <v>555</v>
      </c>
      <c r="Q250">
        <v>0.75</v>
      </c>
      <c r="R250">
        <v>0.73</v>
      </c>
      <c r="S250">
        <v>0.75</v>
      </c>
      <c r="T250">
        <v>240</v>
      </c>
      <c r="U250">
        <v>140</v>
      </c>
      <c r="V250">
        <v>280</v>
      </c>
      <c r="W250">
        <v>1</v>
      </c>
      <c r="X250">
        <v>8</v>
      </c>
      <c r="Y250" t="str">
        <f t="shared" si="27"/>
        <v>14028024080.750.730.75700,000600,000500,000115180140</v>
      </c>
      <c r="Z250">
        <f t="shared" si="28"/>
        <v>1</v>
      </c>
      <c r="AA250" s="20">
        <v>11</v>
      </c>
      <c r="AB250" s="20">
        <v>45</v>
      </c>
      <c r="AC250" s="20">
        <v>11</v>
      </c>
      <c r="AD250" t="str">
        <f t="shared" si="29"/>
        <v>114511</v>
      </c>
      <c r="AE250">
        <f t="shared" si="30"/>
        <v>1</v>
      </c>
    </row>
    <row r="251" spans="1:31" x14ac:dyDescent="0.25">
      <c r="A251" t="s">
        <v>473</v>
      </c>
      <c r="B251" t="s">
        <v>472</v>
      </c>
      <c r="C251">
        <v>116203188</v>
      </c>
      <c r="D251" t="str">
        <f t="shared" si="24"/>
        <v>Su, Ertuğrul-116203188</v>
      </c>
      <c r="E251">
        <v>76</v>
      </c>
      <c r="F251">
        <v>147</v>
      </c>
      <c r="G251">
        <v>7</v>
      </c>
      <c r="H251">
        <v>5</v>
      </c>
      <c r="I251" t="str">
        <f t="shared" si="25"/>
        <v>7614775</v>
      </c>
      <c r="J251">
        <f t="shared" si="26"/>
        <v>1</v>
      </c>
      <c r="K251">
        <v>100</v>
      </c>
      <c r="L251">
        <v>175</v>
      </c>
      <c r="M251">
        <v>120</v>
      </c>
      <c r="N251" t="s">
        <v>557</v>
      </c>
      <c r="O251" t="s">
        <v>556</v>
      </c>
      <c r="P251" t="s">
        <v>553</v>
      </c>
      <c r="Q251">
        <v>0.71</v>
      </c>
      <c r="R251">
        <v>0.79</v>
      </c>
      <c r="S251">
        <v>0.74</v>
      </c>
      <c r="T251">
        <v>285</v>
      </c>
      <c r="U251">
        <v>145</v>
      </c>
      <c r="V251">
        <v>230</v>
      </c>
      <c r="W251">
        <v>3</v>
      </c>
      <c r="X251">
        <v>15</v>
      </c>
      <c r="Y251" t="str">
        <f t="shared" si="27"/>
        <v>145230285150.740.790.71500,000900,000600,000120175100</v>
      </c>
      <c r="Z251">
        <f t="shared" si="28"/>
        <v>1</v>
      </c>
      <c r="AA251" s="20">
        <v>6</v>
      </c>
      <c r="AB251" s="20">
        <v>71</v>
      </c>
      <c r="AC251" s="20">
        <v>23</v>
      </c>
      <c r="AD251" t="str">
        <f t="shared" si="29"/>
        <v>67123</v>
      </c>
      <c r="AE251">
        <f t="shared" si="30"/>
        <v>1</v>
      </c>
    </row>
    <row r="252" spans="1:31" x14ac:dyDescent="0.25">
      <c r="A252" t="s">
        <v>475</v>
      </c>
      <c r="B252" t="s">
        <v>474</v>
      </c>
      <c r="C252">
        <v>114205055</v>
      </c>
      <c r="D252" t="str">
        <f t="shared" si="24"/>
        <v>Sunay, Volkan-114205055</v>
      </c>
      <c r="E252">
        <v>81</v>
      </c>
      <c r="F252">
        <v>119</v>
      </c>
      <c r="G252">
        <v>7</v>
      </c>
      <c r="H252">
        <v>8</v>
      </c>
      <c r="I252" t="str">
        <f t="shared" si="25"/>
        <v>8111978</v>
      </c>
      <c r="J252">
        <f t="shared" si="26"/>
        <v>1</v>
      </c>
      <c r="K252">
        <v>115</v>
      </c>
      <c r="L252">
        <v>165</v>
      </c>
      <c r="M252">
        <v>125</v>
      </c>
      <c r="N252" t="s">
        <v>556</v>
      </c>
      <c r="O252" t="s">
        <v>554</v>
      </c>
      <c r="P252" t="s">
        <v>557</v>
      </c>
      <c r="Q252">
        <v>0.78</v>
      </c>
      <c r="R252">
        <v>0.71</v>
      </c>
      <c r="S252">
        <v>0.83</v>
      </c>
      <c r="T252">
        <v>225</v>
      </c>
      <c r="U252">
        <v>140</v>
      </c>
      <c r="V252">
        <v>300</v>
      </c>
      <c r="W252">
        <v>2</v>
      </c>
      <c r="X252">
        <v>10</v>
      </c>
      <c r="Y252" t="str">
        <f t="shared" si="27"/>
        <v>140300225100.830.710.78600,000800,000900,000125165115</v>
      </c>
      <c r="Z252">
        <f t="shared" si="28"/>
        <v>1</v>
      </c>
      <c r="AA252" s="20">
        <v>5</v>
      </c>
      <c r="AB252" s="20">
        <v>53</v>
      </c>
      <c r="AC252" s="20">
        <v>23</v>
      </c>
      <c r="AD252" t="str">
        <f t="shared" si="29"/>
        <v>55323</v>
      </c>
      <c r="AE252">
        <f t="shared" si="30"/>
        <v>1</v>
      </c>
    </row>
    <row r="253" spans="1:31" x14ac:dyDescent="0.25">
      <c r="A253" t="s">
        <v>477</v>
      </c>
      <c r="B253" t="s">
        <v>476</v>
      </c>
      <c r="C253">
        <v>115205043</v>
      </c>
      <c r="D253" t="str">
        <f t="shared" si="24"/>
        <v>Sürmeli, Mehmet Cahit-115205043</v>
      </c>
      <c r="E253">
        <v>73</v>
      </c>
      <c r="F253">
        <v>140</v>
      </c>
      <c r="G253">
        <v>9</v>
      </c>
      <c r="H253">
        <v>9</v>
      </c>
      <c r="I253" t="str">
        <f t="shared" si="25"/>
        <v>7314099</v>
      </c>
      <c r="J253">
        <f t="shared" si="26"/>
        <v>1</v>
      </c>
      <c r="K253">
        <v>150</v>
      </c>
      <c r="L253">
        <v>160</v>
      </c>
      <c r="M253">
        <v>135</v>
      </c>
      <c r="N253" t="s">
        <v>555</v>
      </c>
      <c r="O253" t="s">
        <v>553</v>
      </c>
      <c r="P253" t="s">
        <v>555</v>
      </c>
      <c r="Q253">
        <v>0.72</v>
      </c>
      <c r="R253">
        <v>0.85</v>
      </c>
      <c r="S253">
        <v>0.81</v>
      </c>
      <c r="T253">
        <v>215</v>
      </c>
      <c r="U253">
        <v>135</v>
      </c>
      <c r="V253">
        <v>220</v>
      </c>
      <c r="W253">
        <v>1</v>
      </c>
      <c r="X253">
        <v>8</v>
      </c>
      <c r="Y253" t="str">
        <f t="shared" si="27"/>
        <v>13522021580.810.850.72700,000500,000700,000135160150</v>
      </c>
      <c r="Z253">
        <f t="shared" si="28"/>
        <v>1</v>
      </c>
      <c r="AA253" s="20">
        <v>6</v>
      </c>
      <c r="AB253" s="20">
        <v>86</v>
      </c>
      <c r="AC253" s="20">
        <v>12</v>
      </c>
      <c r="AD253" t="str">
        <f t="shared" si="29"/>
        <v>68612</v>
      </c>
      <c r="AE253">
        <f t="shared" si="30"/>
        <v>1</v>
      </c>
    </row>
    <row r="254" spans="1:31" x14ac:dyDescent="0.25">
      <c r="A254" t="s">
        <v>228</v>
      </c>
      <c r="B254" t="s">
        <v>227</v>
      </c>
      <c r="C254">
        <v>117203010</v>
      </c>
      <c r="D254" t="str">
        <f t="shared" si="24"/>
        <v>Sweid, Mohamad Rushdi-117203010</v>
      </c>
      <c r="E254">
        <v>75</v>
      </c>
      <c r="F254">
        <v>104</v>
      </c>
      <c r="G254">
        <v>9</v>
      </c>
      <c r="H254">
        <v>9</v>
      </c>
      <c r="I254" t="str">
        <f t="shared" si="25"/>
        <v>7510499</v>
      </c>
      <c r="J254">
        <f t="shared" si="26"/>
        <v>1</v>
      </c>
      <c r="K254">
        <v>100</v>
      </c>
      <c r="L254">
        <v>250</v>
      </c>
      <c r="M254">
        <v>115</v>
      </c>
      <c r="N254" t="s">
        <v>557</v>
      </c>
      <c r="O254" t="s">
        <v>556</v>
      </c>
      <c r="P254" t="s">
        <v>554</v>
      </c>
      <c r="Q254">
        <v>0.85</v>
      </c>
      <c r="R254">
        <v>0.71</v>
      </c>
      <c r="S254">
        <v>0.79</v>
      </c>
      <c r="T254">
        <v>265</v>
      </c>
      <c r="U254">
        <v>210</v>
      </c>
      <c r="V254">
        <v>205</v>
      </c>
      <c r="W254">
        <v>1</v>
      </c>
      <c r="X254">
        <v>8</v>
      </c>
      <c r="Y254" t="str">
        <f t="shared" si="27"/>
        <v>21020526580.790.710.85800,000900,000600,000115250100</v>
      </c>
      <c r="Z254">
        <f t="shared" si="28"/>
        <v>1</v>
      </c>
      <c r="AA254" s="20">
        <v>8</v>
      </c>
      <c r="AB254" s="20">
        <v>54</v>
      </c>
      <c r="AC254" s="20">
        <v>22</v>
      </c>
      <c r="AD254" t="str">
        <f t="shared" si="29"/>
        <v>85422</v>
      </c>
      <c r="AE254">
        <f t="shared" si="30"/>
        <v>1</v>
      </c>
    </row>
    <row r="255" spans="1:31" x14ac:dyDescent="0.25">
      <c r="A255" t="s">
        <v>244</v>
      </c>
      <c r="B255" t="s">
        <v>243</v>
      </c>
      <c r="C255">
        <v>115206058</v>
      </c>
      <c r="D255" t="str">
        <f t="shared" si="24"/>
        <v>Tahmaz, Ecem Naz-115206058</v>
      </c>
      <c r="E255">
        <v>90</v>
      </c>
      <c r="F255">
        <v>132</v>
      </c>
      <c r="G255">
        <v>6</v>
      </c>
      <c r="H255">
        <v>5</v>
      </c>
      <c r="I255" t="str">
        <f t="shared" si="25"/>
        <v>9013265</v>
      </c>
      <c r="J255">
        <f t="shared" si="26"/>
        <v>1</v>
      </c>
      <c r="K255">
        <v>125</v>
      </c>
      <c r="L255">
        <v>220</v>
      </c>
      <c r="M255">
        <v>145</v>
      </c>
      <c r="N255" t="s">
        <v>557</v>
      </c>
      <c r="O255" t="s">
        <v>555</v>
      </c>
      <c r="P255" t="s">
        <v>556</v>
      </c>
      <c r="Q255">
        <v>0.78</v>
      </c>
      <c r="R255">
        <v>0.77</v>
      </c>
      <c r="S255">
        <v>0.71</v>
      </c>
      <c r="T255">
        <v>250</v>
      </c>
      <c r="U255">
        <v>180</v>
      </c>
      <c r="V255">
        <v>230</v>
      </c>
      <c r="W255">
        <v>2</v>
      </c>
      <c r="X255">
        <v>10</v>
      </c>
      <c r="Y255" t="str">
        <f t="shared" si="27"/>
        <v>180230250100.710.770.78900,000700,000600,000145220125</v>
      </c>
      <c r="Z255">
        <f t="shared" si="28"/>
        <v>1</v>
      </c>
      <c r="AA255" s="20">
        <v>11</v>
      </c>
      <c r="AB255" s="20">
        <v>48</v>
      </c>
      <c r="AC255" s="20">
        <v>6</v>
      </c>
      <c r="AD255" t="str">
        <f t="shared" si="29"/>
        <v>11486</v>
      </c>
      <c r="AE255">
        <f t="shared" si="30"/>
        <v>1</v>
      </c>
    </row>
    <row r="256" spans="1:31" x14ac:dyDescent="0.25">
      <c r="A256" t="s">
        <v>484</v>
      </c>
      <c r="B256" t="s">
        <v>483</v>
      </c>
      <c r="C256">
        <v>113202030</v>
      </c>
      <c r="D256" t="str">
        <f t="shared" si="24"/>
        <v>Takıl, Buse-113202030</v>
      </c>
      <c r="E256">
        <v>79</v>
      </c>
      <c r="F256">
        <v>119</v>
      </c>
      <c r="G256">
        <v>7</v>
      </c>
      <c r="H256">
        <v>6</v>
      </c>
      <c r="I256" t="str">
        <f t="shared" si="25"/>
        <v>7911976</v>
      </c>
      <c r="J256">
        <f t="shared" si="26"/>
        <v>1</v>
      </c>
      <c r="K256">
        <v>100</v>
      </c>
      <c r="L256">
        <v>220</v>
      </c>
      <c r="M256">
        <v>125</v>
      </c>
      <c r="N256" t="s">
        <v>556</v>
      </c>
      <c r="O256" t="s">
        <v>556</v>
      </c>
      <c r="P256" t="s">
        <v>553</v>
      </c>
      <c r="Q256">
        <v>0.82</v>
      </c>
      <c r="R256">
        <v>0.81</v>
      </c>
      <c r="S256">
        <v>0.78</v>
      </c>
      <c r="T256">
        <v>265</v>
      </c>
      <c r="U256">
        <v>200</v>
      </c>
      <c r="V256">
        <v>200</v>
      </c>
      <c r="W256">
        <v>1</v>
      </c>
      <c r="X256">
        <v>8</v>
      </c>
      <c r="Y256" t="str">
        <f t="shared" si="27"/>
        <v>20020026580.780.810.82500,000900,000900,000125220100</v>
      </c>
      <c r="Z256">
        <f t="shared" si="28"/>
        <v>1</v>
      </c>
      <c r="AA256" s="20">
        <v>6</v>
      </c>
      <c r="AB256" s="20">
        <v>54</v>
      </c>
      <c r="AC256" s="20">
        <v>17</v>
      </c>
      <c r="AD256" t="str">
        <f t="shared" si="29"/>
        <v>65417</v>
      </c>
      <c r="AE256">
        <f t="shared" si="30"/>
        <v>1</v>
      </c>
    </row>
    <row r="257" spans="1:31" x14ac:dyDescent="0.25">
      <c r="A257" t="s">
        <v>246</v>
      </c>
      <c r="B257" t="s">
        <v>245</v>
      </c>
      <c r="C257">
        <v>115204025</v>
      </c>
      <c r="D257" t="str">
        <f t="shared" si="24"/>
        <v>Tarakçı, Ömer-115204025</v>
      </c>
      <c r="E257">
        <v>70</v>
      </c>
      <c r="F257">
        <v>103</v>
      </c>
      <c r="G257">
        <v>8</v>
      </c>
      <c r="H257">
        <v>6</v>
      </c>
      <c r="I257" t="str">
        <f t="shared" si="25"/>
        <v>7010386</v>
      </c>
      <c r="J257">
        <f t="shared" si="26"/>
        <v>1</v>
      </c>
      <c r="K257">
        <v>110</v>
      </c>
      <c r="L257">
        <v>190</v>
      </c>
      <c r="M257">
        <v>115</v>
      </c>
      <c r="N257" t="s">
        <v>555</v>
      </c>
      <c r="O257" t="s">
        <v>557</v>
      </c>
      <c r="P257" t="s">
        <v>553</v>
      </c>
      <c r="Q257">
        <v>0.7</v>
      </c>
      <c r="R257">
        <v>0.75</v>
      </c>
      <c r="S257">
        <v>0.83</v>
      </c>
      <c r="T257">
        <v>255</v>
      </c>
      <c r="U257">
        <v>165</v>
      </c>
      <c r="V257">
        <v>285</v>
      </c>
      <c r="W257">
        <v>3</v>
      </c>
      <c r="X257">
        <v>15</v>
      </c>
      <c r="Y257" t="str">
        <f t="shared" si="27"/>
        <v>165285255150.830.750.7500,000600,000700,000115190110</v>
      </c>
      <c r="Z257">
        <f t="shared" si="28"/>
        <v>1</v>
      </c>
      <c r="AA257" s="20">
        <v>15</v>
      </c>
      <c r="AB257" s="20">
        <v>74</v>
      </c>
      <c r="AC257" s="20">
        <v>16</v>
      </c>
      <c r="AD257" t="str">
        <f t="shared" si="29"/>
        <v>157416</v>
      </c>
      <c r="AE257">
        <f t="shared" si="30"/>
        <v>1</v>
      </c>
    </row>
    <row r="258" spans="1:31" x14ac:dyDescent="0.25">
      <c r="A258" t="s">
        <v>248</v>
      </c>
      <c r="B258" t="s">
        <v>247</v>
      </c>
      <c r="C258">
        <v>116201148</v>
      </c>
      <c r="D258" t="str">
        <f t="shared" si="24"/>
        <v>Taşçı, Tamay Seda-116201148</v>
      </c>
      <c r="E258">
        <v>80</v>
      </c>
      <c r="F258">
        <v>101</v>
      </c>
      <c r="G258">
        <v>6</v>
      </c>
      <c r="H258">
        <v>5</v>
      </c>
      <c r="I258" t="str">
        <f t="shared" si="25"/>
        <v>8010165</v>
      </c>
      <c r="J258">
        <f t="shared" si="26"/>
        <v>1</v>
      </c>
      <c r="K258">
        <v>100</v>
      </c>
      <c r="L258">
        <v>155</v>
      </c>
      <c r="M258">
        <v>130</v>
      </c>
      <c r="N258" t="s">
        <v>555</v>
      </c>
      <c r="O258" t="s">
        <v>556</v>
      </c>
      <c r="P258" t="s">
        <v>553</v>
      </c>
      <c r="Q258">
        <v>0.78</v>
      </c>
      <c r="R258">
        <v>0.73</v>
      </c>
      <c r="S258">
        <v>0.72</v>
      </c>
      <c r="T258">
        <v>215</v>
      </c>
      <c r="U258">
        <v>130</v>
      </c>
      <c r="V258">
        <v>185</v>
      </c>
      <c r="W258">
        <v>3</v>
      </c>
      <c r="X258">
        <v>15</v>
      </c>
      <c r="Y258" t="str">
        <f t="shared" si="27"/>
        <v>130185215150.720.730.78500,000900,000700,000130155100</v>
      </c>
      <c r="Z258">
        <f t="shared" si="28"/>
        <v>1</v>
      </c>
      <c r="AA258" s="20">
        <v>6</v>
      </c>
      <c r="AB258" s="20">
        <v>86</v>
      </c>
      <c r="AC258" s="20">
        <v>11</v>
      </c>
      <c r="AD258" t="str">
        <f t="shared" si="29"/>
        <v>68611</v>
      </c>
      <c r="AE258">
        <f t="shared" si="30"/>
        <v>1</v>
      </c>
    </row>
    <row r="259" spans="1:31" x14ac:dyDescent="0.25">
      <c r="A259" t="s">
        <v>249</v>
      </c>
      <c r="B259" t="s">
        <v>119</v>
      </c>
      <c r="C259">
        <v>116203027</v>
      </c>
      <c r="D259" t="str">
        <f t="shared" si="24"/>
        <v>Taşkıran, Eda-116203027</v>
      </c>
      <c r="E259">
        <v>89</v>
      </c>
      <c r="F259">
        <v>138</v>
      </c>
      <c r="G259">
        <v>7</v>
      </c>
      <c r="H259">
        <v>5</v>
      </c>
      <c r="I259" t="str">
        <f t="shared" si="25"/>
        <v>8913875</v>
      </c>
      <c r="J259">
        <f t="shared" si="26"/>
        <v>1</v>
      </c>
      <c r="K259">
        <v>135</v>
      </c>
      <c r="L259">
        <v>200</v>
      </c>
      <c r="M259">
        <v>130</v>
      </c>
      <c r="N259" t="s">
        <v>553</v>
      </c>
      <c r="O259" t="s">
        <v>555</v>
      </c>
      <c r="P259" t="s">
        <v>556</v>
      </c>
      <c r="Q259">
        <v>0.77</v>
      </c>
      <c r="R259">
        <v>0.85</v>
      </c>
      <c r="S259">
        <v>0.7</v>
      </c>
      <c r="T259">
        <v>280</v>
      </c>
      <c r="U259">
        <v>165</v>
      </c>
      <c r="V259">
        <v>175</v>
      </c>
      <c r="W259">
        <v>2</v>
      </c>
      <c r="X259">
        <v>10</v>
      </c>
      <c r="Y259" t="str">
        <f t="shared" si="27"/>
        <v>165175280100.70.850.77900,000700,000500,000130200135</v>
      </c>
      <c r="Z259">
        <f t="shared" si="28"/>
        <v>1</v>
      </c>
      <c r="AA259" s="20">
        <v>10</v>
      </c>
      <c r="AB259" s="20">
        <v>53</v>
      </c>
      <c r="AC259" s="20">
        <v>20</v>
      </c>
      <c r="AD259" t="str">
        <f t="shared" si="29"/>
        <v>105320</v>
      </c>
      <c r="AE259">
        <f t="shared" si="30"/>
        <v>1</v>
      </c>
    </row>
    <row r="260" spans="1:31" x14ac:dyDescent="0.25">
      <c r="A260" t="s">
        <v>251</v>
      </c>
      <c r="B260" t="s">
        <v>250</v>
      </c>
      <c r="C260">
        <v>114200032</v>
      </c>
      <c r="D260" t="str">
        <f t="shared" ref="D260:D317" si="31">A260&amp;", "&amp;B260&amp;"-"&amp;C260</f>
        <v>Tekgül, Hüma-114200032</v>
      </c>
      <c r="E260">
        <v>84</v>
      </c>
      <c r="F260">
        <v>128</v>
      </c>
      <c r="G260">
        <v>7</v>
      </c>
      <c r="H260">
        <v>5</v>
      </c>
      <c r="I260" t="str">
        <f t="shared" si="25"/>
        <v>8412875</v>
      </c>
      <c r="J260">
        <f t="shared" si="26"/>
        <v>1</v>
      </c>
      <c r="K260">
        <v>150</v>
      </c>
      <c r="L260">
        <v>165</v>
      </c>
      <c r="M260">
        <v>140</v>
      </c>
      <c r="N260" t="s">
        <v>554</v>
      </c>
      <c r="O260" t="s">
        <v>557</v>
      </c>
      <c r="P260" t="s">
        <v>557</v>
      </c>
      <c r="Q260">
        <v>0.71</v>
      </c>
      <c r="R260">
        <v>0.78</v>
      </c>
      <c r="S260">
        <v>0.85</v>
      </c>
      <c r="T260">
        <v>215</v>
      </c>
      <c r="U260">
        <v>125</v>
      </c>
      <c r="V260">
        <v>280</v>
      </c>
      <c r="W260">
        <v>3</v>
      </c>
      <c r="X260">
        <v>15</v>
      </c>
      <c r="Y260" t="str">
        <f t="shared" si="27"/>
        <v>125280215150.850.780.71600,000600,000800,000140165150</v>
      </c>
      <c r="Z260">
        <f t="shared" si="28"/>
        <v>1</v>
      </c>
      <c r="AA260" s="20">
        <v>8</v>
      </c>
      <c r="AB260" s="20">
        <v>65</v>
      </c>
      <c r="AC260" s="20">
        <v>6</v>
      </c>
      <c r="AD260" t="str">
        <f t="shared" si="29"/>
        <v>8656</v>
      </c>
      <c r="AE260">
        <f t="shared" si="30"/>
        <v>1</v>
      </c>
    </row>
    <row r="261" spans="1:31" x14ac:dyDescent="0.25">
      <c r="A261" t="s">
        <v>253</v>
      </c>
      <c r="B261" t="s">
        <v>252</v>
      </c>
      <c r="C261">
        <v>115202080</v>
      </c>
      <c r="D261" t="str">
        <f t="shared" si="31"/>
        <v>Tekin, Engincan-115202080</v>
      </c>
      <c r="E261">
        <v>82</v>
      </c>
      <c r="F261">
        <v>129</v>
      </c>
      <c r="G261">
        <v>6</v>
      </c>
      <c r="H261">
        <v>9</v>
      </c>
      <c r="I261" t="str">
        <f t="shared" ref="I261:I317" si="32">E261&amp;F261&amp;G261&amp;H261</f>
        <v>8212969</v>
      </c>
      <c r="J261">
        <f t="shared" ref="J261:J317" si="33">COUNTIF($I$4:$I$317,I261)</f>
        <v>1</v>
      </c>
      <c r="K261">
        <v>145</v>
      </c>
      <c r="L261">
        <v>190</v>
      </c>
      <c r="M261">
        <v>120</v>
      </c>
      <c r="N261" t="s">
        <v>557</v>
      </c>
      <c r="O261" t="s">
        <v>554</v>
      </c>
      <c r="P261" t="s">
        <v>554</v>
      </c>
      <c r="Q261">
        <v>0.84</v>
      </c>
      <c r="R261">
        <v>0.79</v>
      </c>
      <c r="S261">
        <v>0.77</v>
      </c>
      <c r="T261">
        <v>190</v>
      </c>
      <c r="U261">
        <v>160</v>
      </c>
      <c r="V261">
        <v>205</v>
      </c>
      <c r="W261">
        <v>3</v>
      </c>
      <c r="X261">
        <v>15</v>
      </c>
      <c r="Y261" t="str">
        <f t="shared" ref="Y261:Y317" si="34">U261&amp;V261&amp;T261&amp;X261&amp;S261&amp;R261&amp;Q261&amp;P261&amp;O261&amp;N261&amp;M261&amp;L261&amp;K261</f>
        <v>160205190150.770.790.84800,000800,000600,000120190145</v>
      </c>
      <c r="Z261">
        <f t="shared" ref="Z261:Z317" si="35">COUNTIF($Y$4:$Y$317,Y261)</f>
        <v>1</v>
      </c>
      <c r="AA261" s="20">
        <v>7</v>
      </c>
      <c r="AB261" s="20">
        <v>79</v>
      </c>
      <c r="AC261" s="20">
        <v>12</v>
      </c>
      <c r="AD261" t="str">
        <f t="shared" ref="AD261:AD317" si="36">AA261&amp;AB261&amp;AC261</f>
        <v>77912</v>
      </c>
      <c r="AE261">
        <f t="shared" ref="AE261:AE317" si="37">COUNTIF($AD$4:$AD$317,AD261)</f>
        <v>1</v>
      </c>
    </row>
    <row r="262" spans="1:31" x14ac:dyDescent="0.25">
      <c r="A262" t="s">
        <v>486</v>
      </c>
      <c r="B262" t="s">
        <v>485</v>
      </c>
      <c r="C262">
        <v>114205011</v>
      </c>
      <c r="D262" t="str">
        <f t="shared" si="31"/>
        <v>Temel, Münür Uğur-114205011</v>
      </c>
      <c r="E262">
        <v>90</v>
      </c>
      <c r="F262">
        <v>150</v>
      </c>
      <c r="G262">
        <v>8</v>
      </c>
      <c r="H262">
        <v>8</v>
      </c>
      <c r="I262" t="str">
        <f t="shared" si="32"/>
        <v>9015088</v>
      </c>
      <c r="J262">
        <f t="shared" si="33"/>
        <v>1</v>
      </c>
      <c r="K262">
        <v>140</v>
      </c>
      <c r="L262">
        <v>170</v>
      </c>
      <c r="M262">
        <v>110</v>
      </c>
      <c r="N262" t="s">
        <v>557</v>
      </c>
      <c r="O262" t="s">
        <v>557</v>
      </c>
      <c r="P262" t="s">
        <v>554</v>
      </c>
      <c r="Q262">
        <v>0.85</v>
      </c>
      <c r="R262">
        <v>0.73</v>
      </c>
      <c r="S262">
        <v>0.83</v>
      </c>
      <c r="T262">
        <v>230</v>
      </c>
      <c r="U262">
        <v>145</v>
      </c>
      <c r="V262">
        <v>215</v>
      </c>
      <c r="W262">
        <v>2</v>
      </c>
      <c r="X262">
        <v>10</v>
      </c>
      <c r="Y262" t="str">
        <f t="shared" si="34"/>
        <v>145215230100.830.730.85800,000600,000600,000110170140</v>
      </c>
      <c r="Z262">
        <f t="shared" si="35"/>
        <v>1</v>
      </c>
      <c r="AA262" s="20">
        <v>11</v>
      </c>
      <c r="AB262" s="20">
        <v>59</v>
      </c>
      <c r="AC262" s="20">
        <v>23</v>
      </c>
      <c r="AD262" t="str">
        <f t="shared" si="36"/>
        <v>115923</v>
      </c>
      <c r="AE262">
        <f t="shared" si="37"/>
        <v>1</v>
      </c>
    </row>
    <row r="263" spans="1:31" x14ac:dyDescent="0.25">
      <c r="A263" t="s">
        <v>487</v>
      </c>
      <c r="B263" t="s">
        <v>151</v>
      </c>
      <c r="C263">
        <v>115205046</v>
      </c>
      <c r="D263" t="str">
        <f t="shared" si="31"/>
        <v>Temizer, Selim-115205046</v>
      </c>
      <c r="E263">
        <v>87</v>
      </c>
      <c r="F263">
        <v>117</v>
      </c>
      <c r="G263">
        <v>8</v>
      </c>
      <c r="H263">
        <v>8</v>
      </c>
      <c r="I263" t="str">
        <f t="shared" si="32"/>
        <v>8711788</v>
      </c>
      <c r="J263">
        <f t="shared" si="33"/>
        <v>1</v>
      </c>
      <c r="K263">
        <v>150</v>
      </c>
      <c r="L263">
        <v>215</v>
      </c>
      <c r="M263">
        <v>135</v>
      </c>
      <c r="N263" t="s">
        <v>554</v>
      </c>
      <c r="O263" t="s">
        <v>554</v>
      </c>
      <c r="P263" t="s">
        <v>554</v>
      </c>
      <c r="Q263">
        <v>0.71</v>
      </c>
      <c r="R263">
        <v>0.8</v>
      </c>
      <c r="S263">
        <v>0.82</v>
      </c>
      <c r="T263">
        <v>295</v>
      </c>
      <c r="U263">
        <v>185</v>
      </c>
      <c r="V263">
        <v>195</v>
      </c>
      <c r="W263">
        <v>2</v>
      </c>
      <c r="X263">
        <v>10</v>
      </c>
      <c r="Y263" t="str">
        <f t="shared" si="34"/>
        <v>185195295100.820.80.71800,000800,000800,000135215150</v>
      </c>
      <c r="Z263">
        <f t="shared" si="35"/>
        <v>1</v>
      </c>
      <c r="AA263" s="20">
        <v>13</v>
      </c>
      <c r="AB263" s="20">
        <v>56</v>
      </c>
      <c r="AC263" s="20">
        <v>18</v>
      </c>
      <c r="AD263" t="str">
        <f t="shared" si="36"/>
        <v>135618</v>
      </c>
      <c r="AE263">
        <f t="shared" si="37"/>
        <v>1</v>
      </c>
    </row>
    <row r="264" spans="1:31" x14ac:dyDescent="0.25">
      <c r="A264" t="s">
        <v>488</v>
      </c>
      <c r="B264" t="s">
        <v>168</v>
      </c>
      <c r="C264">
        <v>112205028</v>
      </c>
      <c r="D264" t="str">
        <f t="shared" si="31"/>
        <v>Tesbihci, Büşra-112205028</v>
      </c>
      <c r="E264">
        <v>89</v>
      </c>
      <c r="F264">
        <v>122</v>
      </c>
      <c r="G264">
        <v>7</v>
      </c>
      <c r="H264">
        <v>8</v>
      </c>
      <c r="I264" t="str">
        <f t="shared" si="32"/>
        <v>8912278</v>
      </c>
      <c r="J264">
        <f t="shared" si="33"/>
        <v>1</v>
      </c>
      <c r="K264">
        <v>140</v>
      </c>
      <c r="L264">
        <v>200</v>
      </c>
      <c r="M264">
        <v>110</v>
      </c>
      <c r="N264" t="s">
        <v>556</v>
      </c>
      <c r="O264" t="s">
        <v>556</v>
      </c>
      <c r="P264" t="s">
        <v>557</v>
      </c>
      <c r="Q264">
        <v>0.85</v>
      </c>
      <c r="R264">
        <v>0.8</v>
      </c>
      <c r="S264">
        <v>0.85</v>
      </c>
      <c r="T264">
        <v>235</v>
      </c>
      <c r="U264">
        <v>165</v>
      </c>
      <c r="V264">
        <v>245</v>
      </c>
      <c r="W264">
        <v>3</v>
      </c>
      <c r="X264">
        <v>15</v>
      </c>
      <c r="Y264" t="str">
        <f t="shared" si="34"/>
        <v>165245235150.850.80.85600,000900,000900,000110200140</v>
      </c>
      <c r="Z264">
        <f t="shared" si="35"/>
        <v>1</v>
      </c>
      <c r="AA264" s="20">
        <v>15</v>
      </c>
      <c r="AB264" s="20">
        <v>55</v>
      </c>
      <c r="AC264" s="20">
        <v>20</v>
      </c>
      <c r="AD264" t="str">
        <f t="shared" si="36"/>
        <v>155520</v>
      </c>
      <c r="AE264">
        <f t="shared" si="37"/>
        <v>1</v>
      </c>
    </row>
    <row r="265" spans="1:31" x14ac:dyDescent="0.25">
      <c r="A265" t="s">
        <v>489</v>
      </c>
      <c r="B265" t="s">
        <v>115</v>
      </c>
      <c r="C265">
        <v>115203073</v>
      </c>
      <c r="D265" t="str">
        <f t="shared" si="31"/>
        <v>Tevrüz, Zeynep-115203073</v>
      </c>
      <c r="E265">
        <v>90</v>
      </c>
      <c r="F265">
        <v>125</v>
      </c>
      <c r="G265">
        <v>5</v>
      </c>
      <c r="H265">
        <v>7</v>
      </c>
      <c r="I265" t="str">
        <f t="shared" si="32"/>
        <v>9012557</v>
      </c>
      <c r="J265">
        <f t="shared" si="33"/>
        <v>1</v>
      </c>
      <c r="K265">
        <v>145</v>
      </c>
      <c r="L265">
        <v>215</v>
      </c>
      <c r="M265">
        <v>110</v>
      </c>
      <c r="N265" t="s">
        <v>553</v>
      </c>
      <c r="O265" t="s">
        <v>557</v>
      </c>
      <c r="P265" t="s">
        <v>554</v>
      </c>
      <c r="Q265">
        <v>0.8</v>
      </c>
      <c r="R265">
        <v>0.8</v>
      </c>
      <c r="S265">
        <v>0.76</v>
      </c>
      <c r="T265">
        <v>265</v>
      </c>
      <c r="U265">
        <v>175</v>
      </c>
      <c r="V265">
        <v>285</v>
      </c>
      <c r="W265">
        <v>3</v>
      </c>
      <c r="X265">
        <v>15</v>
      </c>
      <c r="Y265" t="str">
        <f t="shared" si="34"/>
        <v>175285265150.760.80.8800,000600,000500,000110215145</v>
      </c>
      <c r="Z265">
        <f t="shared" si="35"/>
        <v>1</v>
      </c>
      <c r="AA265" s="20">
        <v>7</v>
      </c>
      <c r="AB265" s="20">
        <v>55</v>
      </c>
      <c r="AC265" s="20">
        <v>18</v>
      </c>
      <c r="AD265" t="str">
        <f t="shared" si="36"/>
        <v>75518</v>
      </c>
      <c r="AE265">
        <f t="shared" si="37"/>
        <v>1</v>
      </c>
    </row>
    <row r="266" spans="1:31" x14ac:dyDescent="0.25">
      <c r="A266" t="s">
        <v>255</v>
      </c>
      <c r="B266" t="s">
        <v>254</v>
      </c>
      <c r="C266">
        <v>115203110</v>
      </c>
      <c r="D266" t="str">
        <f t="shared" si="31"/>
        <v>Toker, Furkan Salih-115203110</v>
      </c>
      <c r="E266">
        <v>80</v>
      </c>
      <c r="F266">
        <v>119</v>
      </c>
      <c r="G266">
        <v>9</v>
      </c>
      <c r="H266">
        <v>8</v>
      </c>
      <c r="I266" t="str">
        <f t="shared" si="32"/>
        <v>8011998</v>
      </c>
      <c r="J266">
        <f t="shared" si="33"/>
        <v>1</v>
      </c>
      <c r="K266">
        <v>100</v>
      </c>
      <c r="L266">
        <v>215</v>
      </c>
      <c r="M266">
        <v>150</v>
      </c>
      <c r="N266" t="s">
        <v>554</v>
      </c>
      <c r="O266" t="s">
        <v>557</v>
      </c>
      <c r="P266" t="s">
        <v>556</v>
      </c>
      <c r="Q266">
        <v>0.82</v>
      </c>
      <c r="R266">
        <v>0.83</v>
      </c>
      <c r="S266">
        <v>0.78</v>
      </c>
      <c r="T266">
        <v>255</v>
      </c>
      <c r="U266">
        <v>195</v>
      </c>
      <c r="V266">
        <v>215</v>
      </c>
      <c r="W266">
        <v>1</v>
      </c>
      <c r="X266">
        <v>8</v>
      </c>
      <c r="Y266" t="str">
        <f t="shared" si="34"/>
        <v>19521525580.780.830.82900,000600,000800,000150215100</v>
      </c>
      <c r="Z266">
        <f t="shared" si="35"/>
        <v>1</v>
      </c>
      <c r="AA266" s="20">
        <v>12</v>
      </c>
      <c r="AB266" s="20">
        <v>31</v>
      </c>
      <c r="AC266" s="20">
        <v>7</v>
      </c>
      <c r="AD266" t="str">
        <f t="shared" si="36"/>
        <v>12317</v>
      </c>
      <c r="AE266">
        <f t="shared" si="37"/>
        <v>1</v>
      </c>
    </row>
    <row r="267" spans="1:31" x14ac:dyDescent="0.25">
      <c r="A267" t="s">
        <v>491</v>
      </c>
      <c r="B267" t="s">
        <v>490</v>
      </c>
      <c r="C267">
        <v>115203057</v>
      </c>
      <c r="D267" t="str">
        <f t="shared" si="31"/>
        <v>Toledo, Rıfat-115203057</v>
      </c>
      <c r="E267">
        <v>72</v>
      </c>
      <c r="F267">
        <v>108</v>
      </c>
      <c r="G267">
        <v>6</v>
      </c>
      <c r="H267">
        <v>5</v>
      </c>
      <c r="I267" t="str">
        <f t="shared" si="32"/>
        <v>7210865</v>
      </c>
      <c r="J267">
        <f t="shared" si="33"/>
        <v>1</v>
      </c>
      <c r="K267">
        <v>115</v>
      </c>
      <c r="L267">
        <v>235</v>
      </c>
      <c r="M267">
        <v>100</v>
      </c>
      <c r="N267" t="s">
        <v>553</v>
      </c>
      <c r="O267" t="s">
        <v>556</v>
      </c>
      <c r="P267" t="s">
        <v>556</v>
      </c>
      <c r="Q267">
        <v>0.84</v>
      </c>
      <c r="R267">
        <v>0.7</v>
      </c>
      <c r="S267">
        <v>0.75</v>
      </c>
      <c r="T267">
        <v>270</v>
      </c>
      <c r="U267">
        <v>205</v>
      </c>
      <c r="V267">
        <v>250</v>
      </c>
      <c r="W267">
        <v>1</v>
      </c>
      <c r="X267">
        <v>8</v>
      </c>
      <c r="Y267" t="str">
        <f t="shared" si="34"/>
        <v>20525027080.750.70.84900,000900,000500,000100235115</v>
      </c>
      <c r="Z267">
        <f t="shared" si="35"/>
        <v>1</v>
      </c>
      <c r="AA267" s="20">
        <v>15</v>
      </c>
      <c r="AB267" s="20">
        <v>52</v>
      </c>
      <c r="AC267" s="20">
        <v>14</v>
      </c>
      <c r="AD267" t="str">
        <f t="shared" si="36"/>
        <v>155214</v>
      </c>
      <c r="AE267">
        <f t="shared" si="37"/>
        <v>1</v>
      </c>
    </row>
    <row r="268" spans="1:31" x14ac:dyDescent="0.25">
      <c r="A268" t="s">
        <v>492</v>
      </c>
      <c r="B268" t="s">
        <v>265</v>
      </c>
      <c r="C268">
        <v>115204023</v>
      </c>
      <c r="D268" t="str">
        <f t="shared" si="31"/>
        <v>Topal, Furkan-115204023</v>
      </c>
      <c r="E268">
        <v>81</v>
      </c>
      <c r="F268">
        <v>141</v>
      </c>
      <c r="G268">
        <v>8</v>
      </c>
      <c r="H268">
        <v>5</v>
      </c>
      <c r="I268" t="str">
        <f t="shared" si="32"/>
        <v>8114185</v>
      </c>
      <c r="J268">
        <f t="shared" si="33"/>
        <v>1</v>
      </c>
      <c r="K268">
        <v>110</v>
      </c>
      <c r="L268">
        <v>195</v>
      </c>
      <c r="M268">
        <v>115</v>
      </c>
      <c r="N268" t="s">
        <v>553</v>
      </c>
      <c r="O268" t="s">
        <v>556</v>
      </c>
      <c r="P268" t="s">
        <v>554</v>
      </c>
      <c r="Q268">
        <v>0.84</v>
      </c>
      <c r="R268">
        <v>0.72</v>
      </c>
      <c r="S268">
        <v>0.81</v>
      </c>
      <c r="T268">
        <v>250</v>
      </c>
      <c r="U268">
        <v>170</v>
      </c>
      <c r="V268">
        <v>225</v>
      </c>
      <c r="W268">
        <v>1</v>
      </c>
      <c r="X268">
        <v>8</v>
      </c>
      <c r="Y268" t="str">
        <f t="shared" si="34"/>
        <v>17022525080.810.720.84800,000900,000500,000115195110</v>
      </c>
      <c r="Z268">
        <f t="shared" si="35"/>
        <v>1</v>
      </c>
      <c r="AA268" s="20">
        <v>5</v>
      </c>
      <c r="AB268" s="20">
        <v>31</v>
      </c>
      <c r="AC268" s="20">
        <v>17</v>
      </c>
      <c r="AD268" t="str">
        <f t="shared" si="36"/>
        <v>53117</v>
      </c>
      <c r="AE268">
        <f t="shared" si="37"/>
        <v>1</v>
      </c>
    </row>
    <row r="269" spans="1:31" x14ac:dyDescent="0.25">
      <c r="A269" t="s">
        <v>493</v>
      </c>
      <c r="B269" t="s">
        <v>24</v>
      </c>
      <c r="C269">
        <v>116201126</v>
      </c>
      <c r="D269" t="str">
        <f t="shared" si="31"/>
        <v>Topaloğlu, İrem-116201126</v>
      </c>
      <c r="E269">
        <v>85</v>
      </c>
      <c r="F269">
        <v>142</v>
      </c>
      <c r="G269">
        <v>6</v>
      </c>
      <c r="H269">
        <v>5</v>
      </c>
      <c r="I269" t="str">
        <f t="shared" si="32"/>
        <v>8514265</v>
      </c>
      <c r="J269">
        <f t="shared" si="33"/>
        <v>1</v>
      </c>
      <c r="K269">
        <v>110</v>
      </c>
      <c r="L269">
        <v>205</v>
      </c>
      <c r="M269">
        <v>150</v>
      </c>
      <c r="N269" t="s">
        <v>557</v>
      </c>
      <c r="O269" t="s">
        <v>553</v>
      </c>
      <c r="P269" t="s">
        <v>553</v>
      </c>
      <c r="Q269">
        <v>0.78</v>
      </c>
      <c r="R269">
        <v>0.77</v>
      </c>
      <c r="S269">
        <v>0.85</v>
      </c>
      <c r="T269">
        <v>270</v>
      </c>
      <c r="U269">
        <v>175</v>
      </c>
      <c r="V269">
        <v>300</v>
      </c>
      <c r="W269">
        <v>3</v>
      </c>
      <c r="X269">
        <v>15</v>
      </c>
      <c r="Y269" t="str">
        <f t="shared" si="34"/>
        <v>175300270150.850.770.78500,000500,000600,000150205110</v>
      </c>
      <c r="Z269">
        <f t="shared" si="35"/>
        <v>1</v>
      </c>
      <c r="AA269" s="20">
        <v>9</v>
      </c>
      <c r="AB269" s="20">
        <v>89</v>
      </c>
      <c r="AC269" s="20">
        <v>8</v>
      </c>
      <c r="AD269" t="str">
        <f t="shared" si="36"/>
        <v>9898</v>
      </c>
      <c r="AE269">
        <f t="shared" si="37"/>
        <v>1</v>
      </c>
    </row>
    <row r="270" spans="1:31" x14ac:dyDescent="0.25">
      <c r="A270" t="s">
        <v>257</v>
      </c>
      <c r="B270" t="s">
        <v>256</v>
      </c>
      <c r="C270">
        <v>115203045</v>
      </c>
      <c r="D270" t="str">
        <f t="shared" si="31"/>
        <v>Toz, Bersu İrem-115203045</v>
      </c>
      <c r="E270">
        <v>77</v>
      </c>
      <c r="F270">
        <v>142</v>
      </c>
      <c r="G270">
        <v>9</v>
      </c>
      <c r="H270">
        <v>9</v>
      </c>
      <c r="I270" t="str">
        <f t="shared" si="32"/>
        <v>7714299</v>
      </c>
      <c r="J270">
        <f t="shared" si="33"/>
        <v>1</v>
      </c>
      <c r="K270">
        <v>120</v>
      </c>
      <c r="L270">
        <v>210</v>
      </c>
      <c r="M270">
        <v>115</v>
      </c>
      <c r="N270" t="s">
        <v>554</v>
      </c>
      <c r="O270" t="s">
        <v>557</v>
      </c>
      <c r="P270" t="s">
        <v>556</v>
      </c>
      <c r="Q270">
        <v>0.7</v>
      </c>
      <c r="R270">
        <v>0.82</v>
      </c>
      <c r="S270">
        <v>0.76</v>
      </c>
      <c r="T270">
        <v>260</v>
      </c>
      <c r="U270">
        <v>175</v>
      </c>
      <c r="V270">
        <v>285</v>
      </c>
      <c r="W270">
        <v>1</v>
      </c>
      <c r="X270">
        <v>8</v>
      </c>
      <c r="Y270" t="str">
        <f t="shared" si="34"/>
        <v>17528526080.760.820.7900,000600,000800,000115210120</v>
      </c>
      <c r="Z270">
        <f t="shared" si="35"/>
        <v>1</v>
      </c>
      <c r="AA270" s="20">
        <v>11</v>
      </c>
      <c r="AB270" s="20">
        <v>56</v>
      </c>
      <c r="AC270" s="20">
        <v>7</v>
      </c>
      <c r="AD270" t="str">
        <f t="shared" si="36"/>
        <v>11567</v>
      </c>
      <c r="AE270">
        <f t="shared" si="37"/>
        <v>1</v>
      </c>
    </row>
    <row r="271" spans="1:31" x14ac:dyDescent="0.25">
      <c r="A271" t="s">
        <v>259</v>
      </c>
      <c r="B271" t="s">
        <v>258</v>
      </c>
      <c r="C271">
        <v>113205023</v>
      </c>
      <c r="D271" t="str">
        <f t="shared" si="31"/>
        <v>Turan, Can-113205023</v>
      </c>
      <c r="E271">
        <v>70</v>
      </c>
      <c r="F271">
        <v>139</v>
      </c>
      <c r="G271">
        <v>9</v>
      </c>
      <c r="H271">
        <v>6</v>
      </c>
      <c r="I271" t="str">
        <f t="shared" si="32"/>
        <v>7013996</v>
      </c>
      <c r="J271">
        <f t="shared" si="33"/>
        <v>1</v>
      </c>
      <c r="K271">
        <v>100</v>
      </c>
      <c r="L271">
        <v>160</v>
      </c>
      <c r="M271">
        <v>100</v>
      </c>
      <c r="N271" t="s">
        <v>556</v>
      </c>
      <c r="O271" t="s">
        <v>553</v>
      </c>
      <c r="P271" t="s">
        <v>557</v>
      </c>
      <c r="Q271">
        <v>0.77</v>
      </c>
      <c r="R271">
        <v>0.8</v>
      </c>
      <c r="S271">
        <v>0.8</v>
      </c>
      <c r="T271">
        <v>185</v>
      </c>
      <c r="U271">
        <v>125</v>
      </c>
      <c r="V271">
        <v>190</v>
      </c>
      <c r="W271">
        <v>1</v>
      </c>
      <c r="X271">
        <v>8</v>
      </c>
      <c r="Y271" t="str">
        <f t="shared" si="34"/>
        <v>12519018580.80.80.77600,000500,000900,000100160100</v>
      </c>
      <c r="Z271">
        <f t="shared" si="35"/>
        <v>1</v>
      </c>
      <c r="AA271" s="20">
        <v>7</v>
      </c>
      <c r="AB271" s="20">
        <v>50</v>
      </c>
      <c r="AC271" s="20">
        <v>17</v>
      </c>
      <c r="AD271" t="str">
        <f t="shared" si="36"/>
        <v>75017</v>
      </c>
      <c r="AE271">
        <f t="shared" si="37"/>
        <v>1</v>
      </c>
    </row>
    <row r="272" spans="1:31" x14ac:dyDescent="0.25">
      <c r="A272" t="s">
        <v>259</v>
      </c>
      <c r="B272" t="s">
        <v>494</v>
      </c>
      <c r="C272">
        <v>113204025</v>
      </c>
      <c r="D272" t="str">
        <f t="shared" si="31"/>
        <v>Turan, Yekcan-113204025</v>
      </c>
      <c r="E272">
        <v>87</v>
      </c>
      <c r="F272">
        <v>129</v>
      </c>
      <c r="G272">
        <v>8</v>
      </c>
      <c r="H272">
        <v>5</v>
      </c>
      <c r="I272" t="str">
        <f t="shared" si="32"/>
        <v>8712985</v>
      </c>
      <c r="J272">
        <f t="shared" si="33"/>
        <v>1</v>
      </c>
      <c r="K272">
        <v>150</v>
      </c>
      <c r="L272">
        <v>165</v>
      </c>
      <c r="M272">
        <v>125</v>
      </c>
      <c r="N272" t="s">
        <v>556</v>
      </c>
      <c r="O272" t="s">
        <v>555</v>
      </c>
      <c r="P272" t="s">
        <v>554</v>
      </c>
      <c r="Q272">
        <v>0.82</v>
      </c>
      <c r="R272">
        <v>0.7</v>
      </c>
      <c r="S272">
        <v>0.73</v>
      </c>
      <c r="T272">
        <v>210</v>
      </c>
      <c r="U272">
        <v>135</v>
      </c>
      <c r="V272">
        <v>185</v>
      </c>
      <c r="W272">
        <v>3</v>
      </c>
      <c r="X272">
        <v>15</v>
      </c>
      <c r="Y272" t="str">
        <f t="shared" si="34"/>
        <v>135185210150.730.70.82800,000700,000900,000125165150</v>
      </c>
      <c r="Z272">
        <f t="shared" si="35"/>
        <v>1</v>
      </c>
      <c r="AA272" s="20">
        <v>12</v>
      </c>
      <c r="AB272" s="20">
        <v>30</v>
      </c>
      <c r="AC272" s="20">
        <v>20</v>
      </c>
      <c r="AD272" t="str">
        <f t="shared" si="36"/>
        <v>123020</v>
      </c>
      <c r="AE272">
        <f t="shared" si="37"/>
        <v>1</v>
      </c>
    </row>
    <row r="273" spans="1:31" x14ac:dyDescent="0.25">
      <c r="A273" t="s">
        <v>496</v>
      </c>
      <c r="B273" t="s">
        <v>495</v>
      </c>
      <c r="C273">
        <v>116204070</v>
      </c>
      <c r="D273" t="str">
        <f t="shared" si="31"/>
        <v>Türkay, Şehadet-116204070</v>
      </c>
      <c r="E273">
        <v>80</v>
      </c>
      <c r="F273">
        <v>136</v>
      </c>
      <c r="G273">
        <v>6</v>
      </c>
      <c r="H273">
        <v>9</v>
      </c>
      <c r="I273" t="str">
        <f t="shared" si="32"/>
        <v>8013669</v>
      </c>
      <c r="J273">
        <f t="shared" si="33"/>
        <v>1</v>
      </c>
      <c r="K273">
        <v>120</v>
      </c>
      <c r="L273">
        <v>155</v>
      </c>
      <c r="M273">
        <v>135</v>
      </c>
      <c r="N273" t="s">
        <v>555</v>
      </c>
      <c r="O273" t="s">
        <v>555</v>
      </c>
      <c r="P273" t="s">
        <v>554</v>
      </c>
      <c r="Q273">
        <v>0.79</v>
      </c>
      <c r="R273">
        <v>0.72</v>
      </c>
      <c r="S273">
        <v>0.71</v>
      </c>
      <c r="T273">
        <v>295</v>
      </c>
      <c r="U273">
        <v>130</v>
      </c>
      <c r="V273">
        <v>280</v>
      </c>
      <c r="W273">
        <v>2</v>
      </c>
      <c r="X273">
        <v>10</v>
      </c>
      <c r="Y273" t="str">
        <f t="shared" si="34"/>
        <v>130280295100.710.720.79800,000700,000700,000135155120</v>
      </c>
      <c r="Z273">
        <f t="shared" si="35"/>
        <v>1</v>
      </c>
      <c r="AA273" s="20">
        <v>11</v>
      </c>
      <c r="AB273" s="20">
        <v>66</v>
      </c>
      <c r="AC273" s="20">
        <v>18</v>
      </c>
      <c r="AD273" t="str">
        <f t="shared" si="36"/>
        <v>116618</v>
      </c>
      <c r="AE273">
        <f t="shared" si="37"/>
        <v>1</v>
      </c>
    </row>
    <row r="274" spans="1:31" x14ac:dyDescent="0.25">
      <c r="A274" t="s">
        <v>261</v>
      </c>
      <c r="B274" t="s">
        <v>260</v>
      </c>
      <c r="C274">
        <v>113200061</v>
      </c>
      <c r="D274" t="str">
        <f t="shared" si="31"/>
        <v>Türkeli, Anıl Emek-113200061</v>
      </c>
      <c r="E274">
        <v>71</v>
      </c>
      <c r="F274">
        <v>138</v>
      </c>
      <c r="G274">
        <v>9</v>
      </c>
      <c r="H274">
        <v>9</v>
      </c>
      <c r="I274" t="str">
        <f t="shared" si="32"/>
        <v>7113899</v>
      </c>
      <c r="J274">
        <f t="shared" si="33"/>
        <v>1</v>
      </c>
      <c r="K274">
        <v>130</v>
      </c>
      <c r="L274">
        <v>245</v>
      </c>
      <c r="M274">
        <v>120</v>
      </c>
      <c r="N274" t="s">
        <v>555</v>
      </c>
      <c r="O274" t="s">
        <v>554</v>
      </c>
      <c r="P274" t="s">
        <v>557</v>
      </c>
      <c r="Q274">
        <v>0.8</v>
      </c>
      <c r="R274">
        <v>0.77</v>
      </c>
      <c r="S274">
        <v>0.72</v>
      </c>
      <c r="T274">
        <v>245</v>
      </c>
      <c r="U274">
        <v>210</v>
      </c>
      <c r="V274">
        <v>200</v>
      </c>
      <c r="W274">
        <v>2</v>
      </c>
      <c r="X274">
        <v>10</v>
      </c>
      <c r="Y274" t="str">
        <f t="shared" si="34"/>
        <v>210200245100.720.770.8600,000800,000700,000120245130</v>
      </c>
      <c r="Z274">
        <f t="shared" si="35"/>
        <v>1</v>
      </c>
      <c r="AA274" s="20">
        <v>12</v>
      </c>
      <c r="AB274" s="20">
        <v>89</v>
      </c>
      <c r="AC274" s="20">
        <v>12</v>
      </c>
      <c r="AD274" t="str">
        <f t="shared" si="36"/>
        <v>128912</v>
      </c>
      <c r="AE274">
        <f t="shared" si="37"/>
        <v>1</v>
      </c>
    </row>
    <row r="275" spans="1:31" x14ac:dyDescent="0.25">
      <c r="A275" t="s">
        <v>263</v>
      </c>
      <c r="B275" t="s">
        <v>262</v>
      </c>
      <c r="C275">
        <v>116204062</v>
      </c>
      <c r="D275" t="str">
        <f t="shared" si="31"/>
        <v>Türker, Sabedin Berat-116204062</v>
      </c>
      <c r="E275">
        <v>81</v>
      </c>
      <c r="F275">
        <v>148</v>
      </c>
      <c r="G275">
        <v>7</v>
      </c>
      <c r="H275">
        <v>6</v>
      </c>
      <c r="I275" t="str">
        <f t="shared" si="32"/>
        <v>8114876</v>
      </c>
      <c r="J275">
        <f t="shared" si="33"/>
        <v>1</v>
      </c>
      <c r="K275">
        <v>140</v>
      </c>
      <c r="L275">
        <v>190</v>
      </c>
      <c r="M275">
        <v>110</v>
      </c>
      <c r="N275" t="s">
        <v>555</v>
      </c>
      <c r="O275" t="s">
        <v>553</v>
      </c>
      <c r="P275" t="s">
        <v>556</v>
      </c>
      <c r="Q275">
        <v>0.74</v>
      </c>
      <c r="R275">
        <v>0.8</v>
      </c>
      <c r="S275">
        <v>0.73</v>
      </c>
      <c r="T275">
        <v>205</v>
      </c>
      <c r="U275">
        <v>170</v>
      </c>
      <c r="V275">
        <v>280</v>
      </c>
      <c r="W275">
        <v>1</v>
      </c>
      <c r="X275">
        <v>8</v>
      </c>
      <c r="Y275" t="str">
        <f t="shared" si="34"/>
        <v>17028020580.730.80.74900,000500,000700,000110190140</v>
      </c>
      <c r="Z275">
        <f t="shared" si="35"/>
        <v>1</v>
      </c>
      <c r="AA275" s="20">
        <v>11</v>
      </c>
      <c r="AB275" s="20">
        <v>32</v>
      </c>
      <c r="AC275" s="20">
        <v>17</v>
      </c>
      <c r="AD275" t="str">
        <f t="shared" si="36"/>
        <v>113217</v>
      </c>
      <c r="AE275">
        <f t="shared" si="37"/>
        <v>1</v>
      </c>
    </row>
    <row r="276" spans="1:31" x14ac:dyDescent="0.25">
      <c r="A276" t="s">
        <v>264</v>
      </c>
      <c r="B276" t="s">
        <v>168</v>
      </c>
      <c r="C276">
        <v>115202078</v>
      </c>
      <c r="D276" t="str">
        <f t="shared" si="31"/>
        <v>Uçar, Büşra-115202078</v>
      </c>
      <c r="E276">
        <v>75</v>
      </c>
      <c r="F276">
        <v>146</v>
      </c>
      <c r="G276">
        <v>8</v>
      </c>
      <c r="H276">
        <v>5</v>
      </c>
      <c r="I276" t="str">
        <f t="shared" si="32"/>
        <v>7514685</v>
      </c>
      <c r="J276">
        <f t="shared" si="33"/>
        <v>1</v>
      </c>
      <c r="K276">
        <v>110</v>
      </c>
      <c r="L276">
        <v>190</v>
      </c>
      <c r="M276">
        <v>140</v>
      </c>
      <c r="N276" t="s">
        <v>557</v>
      </c>
      <c r="O276" t="s">
        <v>556</v>
      </c>
      <c r="P276" t="s">
        <v>556</v>
      </c>
      <c r="Q276">
        <v>0.85</v>
      </c>
      <c r="R276">
        <v>0.84</v>
      </c>
      <c r="S276">
        <v>0.76</v>
      </c>
      <c r="T276">
        <v>175</v>
      </c>
      <c r="U276">
        <v>155</v>
      </c>
      <c r="V276">
        <v>290</v>
      </c>
      <c r="W276">
        <v>1</v>
      </c>
      <c r="X276">
        <v>8</v>
      </c>
      <c r="Y276" t="str">
        <f t="shared" si="34"/>
        <v>15529017580.760.840.85900,000900,000600,000140190110</v>
      </c>
      <c r="Z276">
        <f t="shared" si="35"/>
        <v>1</v>
      </c>
      <c r="AA276" s="20">
        <v>13</v>
      </c>
      <c r="AB276" s="20">
        <v>58</v>
      </c>
      <c r="AC276" s="20">
        <v>25</v>
      </c>
      <c r="AD276" t="str">
        <f t="shared" si="36"/>
        <v>135825</v>
      </c>
      <c r="AE276">
        <f t="shared" si="37"/>
        <v>1</v>
      </c>
    </row>
    <row r="277" spans="1:31" x14ac:dyDescent="0.25">
      <c r="A277" t="s">
        <v>497</v>
      </c>
      <c r="B277" t="s">
        <v>455</v>
      </c>
      <c r="C277">
        <v>115205023</v>
      </c>
      <c r="D277" t="str">
        <f t="shared" si="31"/>
        <v>Uçarer, Anıl-115205023</v>
      </c>
      <c r="E277">
        <v>73</v>
      </c>
      <c r="F277">
        <v>130</v>
      </c>
      <c r="G277">
        <v>7</v>
      </c>
      <c r="H277">
        <v>6</v>
      </c>
      <c r="I277" t="str">
        <f t="shared" si="32"/>
        <v>7313076</v>
      </c>
      <c r="J277">
        <f t="shared" si="33"/>
        <v>1</v>
      </c>
      <c r="K277">
        <v>105</v>
      </c>
      <c r="L277">
        <v>230</v>
      </c>
      <c r="M277">
        <v>115</v>
      </c>
      <c r="N277" t="s">
        <v>555</v>
      </c>
      <c r="O277" t="s">
        <v>554</v>
      </c>
      <c r="P277" t="s">
        <v>554</v>
      </c>
      <c r="Q277">
        <v>0.84</v>
      </c>
      <c r="R277">
        <v>0.84</v>
      </c>
      <c r="S277">
        <v>0.85</v>
      </c>
      <c r="T277">
        <v>270</v>
      </c>
      <c r="U277">
        <v>195</v>
      </c>
      <c r="V277">
        <v>195</v>
      </c>
      <c r="W277">
        <v>3</v>
      </c>
      <c r="X277">
        <v>15</v>
      </c>
      <c r="Y277" t="str">
        <f t="shared" si="34"/>
        <v>195195270150.850.840.84800,000800,000700,000115230105</v>
      </c>
      <c r="Z277">
        <f t="shared" si="35"/>
        <v>1</v>
      </c>
      <c r="AA277" s="20">
        <v>12</v>
      </c>
      <c r="AB277" s="20">
        <v>55</v>
      </c>
      <c r="AC277" s="20">
        <v>24</v>
      </c>
      <c r="AD277" t="str">
        <f t="shared" si="36"/>
        <v>125524</v>
      </c>
      <c r="AE277">
        <f t="shared" si="37"/>
        <v>1</v>
      </c>
    </row>
    <row r="278" spans="1:31" x14ac:dyDescent="0.25">
      <c r="A278" t="s">
        <v>499</v>
      </c>
      <c r="B278" t="s">
        <v>498</v>
      </c>
      <c r="C278">
        <v>112200054</v>
      </c>
      <c r="D278" t="str">
        <f t="shared" si="31"/>
        <v>Uğurlu, Özden Kübra-112200054</v>
      </c>
      <c r="E278">
        <v>85</v>
      </c>
      <c r="F278">
        <v>119</v>
      </c>
      <c r="G278">
        <v>6</v>
      </c>
      <c r="H278">
        <v>7</v>
      </c>
      <c r="I278" t="str">
        <f t="shared" si="32"/>
        <v>8511967</v>
      </c>
      <c r="J278">
        <f t="shared" si="33"/>
        <v>1</v>
      </c>
      <c r="K278">
        <v>100</v>
      </c>
      <c r="L278">
        <v>180</v>
      </c>
      <c r="M278">
        <v>140</v>
      </c>
      <c r="N278" t="s">
        <v>556</v>
      </c>
      <c r="O278" t="s">
        <v>557</v>
      </c>
      <c r="P278" t="s">
        <v>555</v>
      </c>
      <c r="Q278">
        <v>0.76</v>
      </c>
      <c r="R278">
        <v>0.82</v>
      </c>
      <c r="S278">
        <v>0.76</v>
      </c>
      <c r="T278">
        <v>285</v>
      </c>
      <c r="U278">
        <v>150</v>
      </c>
      <c r="V278">
        <v>220</v>
      </c>
      <c r="W278">
        <v>1</v>
      </c>
      <c r="X278">
        <v>8</v>
      </c>
      <c r="Y278" t="str">
        <f t="shared" si="34"/>
        <v>15022028580.760.820.76700,000600,000900,000140180100</v>
      </c>
      <c r="Z278">
        <f t="shared" si="35"/>
        <v>1</v>
      </c>
      <c r="AA278" s="20">
        <v>12</v>
      </c>
      <c r="AB278" s="20">
        <v>82</v>
      </c>
      <c r="AC278" s="20">
        <v>18</v>
      </c>
      <c r="AD278" t="str">
        <f t="shared" si="36"/>
        <v>128218</v>
      </c>
      <c r="AE278">
        <f t="shared" si="37"/>
        <v>1</v>
      </c>
    </row>
    <row r="279" spans="1:31" x14ac:dyDescent="0.25">
      <c r="A279" t="s">
        <v>499</v>
      </c>
      <c r="B279" t="s">
        <v>237</v>
      </c>
      <c r="C279">
        <v>115205109</v>
      </c>
      <c r="D279" t="str">
        <f t="shared" si="31"/>
        <v>Uğurlu, Sedat-115205109</v>
      </c>
      <c r="E279">
        <v>82</v>
      </c>
      <c r="F279">
        <v>117</v>
      </c>
      <c r="G279">
        <v>5</v>
      </c>
      <c r="H279">
        <v>8</v>
      </c>
      <c r="I279" t="str">
        <f t="shared" si="32"/>
        <v>8211758</v>
      </c>
      <c r="J279">
        <f t="shared" si="33"/>
        <v>1</v>
      </c>
      <c r="K279">
        <v>120</v>
      </c>
      <c r="L279">
        <v>170</v>
      </c>
      <c r="M279">
        <v>150</v>
      </c>
      <c r="N279" t="s">
        <v>553</v>
      </c>
      <c r="O279" t="s">
        <v>557</v>
      </c>
      <c r="P279" t="s">
        <v>554</v>
      </c>
      <c r="Q279">
        <v>0.84</v>
      </c>
      <c r="R279">
        <v>0.84</v>
      </c>
      <c r="S279">
        <v>0.75</v>
      </c>
      <c r="T279">
        <v>295</v>
      </c>
      <c r="U279">
        <v>135</v>
      </c>
      <c r="V279">
        <v>205</v>
      </c>
      <c r="W279">
        <v>1</v>
      </c>
      <c r="X279">
        <v>8</v>
      </c>
      <c r="Y279" t="str">
        <f t="shared" si="34"/>
        <v>13520529580.750.840.84800,000600,000500,000150170120</v>
      </c>
      <c r="Z279">
        <f t="shared" si="35"/>
        <v>1</v>
      </c>
      <c r="AA279" s="20">
        <v>7</v>
      </c>
      <c r="AB279" s="20">
        <v>66</v>
      </c>
      <c r="AC279" s="20">
        <v>11</v>
      </c>
      <c r="AD279" t="str">
        <f t="shared" si="36"/>
        <v>76611</v>
      </c>
      <c r="AE279">
        <f t="shared" si="37"/>
        <v>1</v>
      </c>
    </row>
    <row r="280" spans="1:31" x14ac:dyDescent="0.25">
      <c r="A280" t="s">
        <v>499</v>
      </c>
      <c r="B280" t="s">
        <v>469</v>
      </c>
      <c r="C280">
        <v>115200110</v>
      </c>
      <c r="D280" t="str">
        <f t="shared" si="31"/>
        <v>Uğurlu, Yağız-115200110</v>
      </c>
      <c r="E280">
        <v>77</v>
      </c>
      <c r="F280">
        <v>147</v>
      </c>
      <c r="G280">
        <v>8</v>
      </c>
      <c r="H280">
        <v>8</v>
      </c>
      <c r="I280" t="str">
        <f t="shared" si="32"/>
        <v>7714788</v>
      </c>
      <c r="J280">
        <f t="shared" si="33"/>
        <v>1</v>
      </c>
      <c r="K280">
        <v>140</v>
      </c>
      <c r="L280">
        <v>165</v>
      </c>
      <c r="M280">
        <v>130</v>
      </c>
      <c r="N280" t="s">
        <v>554</v>
      </c>
      <c r="O280" t="s">
        <v>557</v>
      </c>
      <c r="P280" t="s">
        <v>556</v>
      </c>
      <c r="Q280">
        <v>0.82</v>
      </c>
      <c r="R280">
        <v>0.73</v>
      </c>
      <c r="S280">
        <v>0.73</v>
      </c>
      <c r="T280">
        <v>300</v>
      </c>
      <c r="U280">
        <v>145</v>
      </c>
      <c r="V280">
        <v>250</v>
      </c>
      <c r="W280">
        <v>2</v>
      </c>
      <c r="X280">
        <v>10</v>
      </c>
      <c r="Y280" t="str">
        <f t="shared" si="34"/>
        <v>145250300100.730.730.82900,000600,000800,000130165140</v>
      </c>
      <c r="Z280">
        <f t="shared" si="35"/>
        <v>1</v>
      </c>
      <c r="AA280" s="20">
        <v>12</v>
      </c>
      <c r="AB280" s="20">
        <v>69</v>
      </c>
      <c r="AC280" s="20">
        <v>13</v>
      </c>
      <c r="AD280" t="str">
        <f t="shared" si="36"/>
        <v>126913</v>
      </c>
      <c r="AE280">
        <f t="shared" si="37"/>
        <v>1</v>
      </c>
    </row>
    <row r="281" spans="1:31" x14ac:dyDescent="0.25">
      <c r="A281" t="s">
        <v>266</v>
      </c>
      <c r="B281" t="s">
        <v>265</v>
      </c>
      <c r="C281">
        <v>114205062</v>
      </c>
      <c r="D281" t="str">
        <f t="shared" si="31"/>
        <v>Ulu, Furkan-114205062</v>
      </c>
      <c r="E281">
        <v>71</v>
      </c>
      <c r="F281">
        <v>106</v>
      </c>
      <c r="G281">
        <v>6</v>
      </c>
      <c r="H281">
        <v>8</v>
      </c>
      <c r="I281" t="str">
        <f t="shared" si="32"/>
        <v>7110668</v>
      </c>
      <c r="J281">
        <f t="shared" si="33"/>
        <v>1</v>
      </c>
      <c r="K281">
        <v>135</v>
      </c>
      <c r="L281">
        <v>180</v>
      </c>
      <c r="M281">
        <v>135</v>
      </c>
      <c r="N281" t="s">
        <v>553</v>
      </c>
      <c r="O281" t="s">
        <v>553</v>
      </c>
      <c r="P281" t="s">
        <v>554</v>
      </c>
      <c r="Q281">
        <v>0.72</v>
      </c>
      <c r="R281">
        <v>0.78</v>
      </c>
      <c r="S281">
        <v>0.82</v>
      </c>
      <c r="T281">
        <v>275</v>
      </c>
      <c r="U281">
        <v>150</v>
      </c>
      <c r="V281">
        <v>300</v>
      </c>
      <c r="W281">
        <v>1</v>
      </c>
      <c r="X281">
        <v>8</v>
      </c>
      <c r="Y281" t="str">
        <f t="shared" si="34"/>
        <v>15030027580.820.780.72800,000500,000500,000135180135</v>
      </c>
      <c r="Z281">
        <f t="shared" si="35"/>
        <v>1</v>
      </c>
      <c r="AA281" s="20">
        <v>7</v>
      </c>
      <c r="AB281" s="20">
        <v>44</v>
      </c>
      <c r="AC281" s="20">
        <v>13</v>
      </c>
      <c r="AD281" t="str">
        <f t="shared" si="36"/>
        <v>74413</v>
      </c>
      <c r="AE281">
        <f t="shared" si="37"/>
        <v>1</v>
      </c>
    </row>
    <row r="282" spans="1:31" x14ac:dyDescent="0.25">
      <c r="A282" t="s">
        <v>501</v>
      </c>
      <c r="B282" t="s">
        <v>500</v>
      </c>
      <c r="C282">
        <v>115203066</v>
      </c>
      <c r="D282" t="str">
        <f t="shared" si="31"/>
        <v>Uluhansın, Orkun-115203066</v>
      </c>
      <c r="E282">
        <v>90</v>
      </c>
      <c r="F282">
        <v>144</v>
      </c>
      <c r="G282">
        <v>5</v>
      </c>
      <c r="H282">
        <v>6</v>
      </c>
      <c r="I282" t="str">
        <f t="shared" si="32"/>
        <v>9014456</v>
      </c>
      <c r="J282">
        <f t="shared" si="33"/>
        <v>1</v>
      </c>
      <c r="K282">
        <v>140</v>
      </c>
      <c r="L282">
        <v>250</v>
      </c>
      <c r="M282">
        <v>125</v>
      </c>
      <c r="N282" t="s">
        <v>554</v>
      </c>
      <c r="O282" t="s">
        <v>553</v>
      </c>
      <c r="P282" t="s">
        <v>555</v>
      </c>
      <c r="Q282">
        <v>0.81</v>
      </c>
      <c r="R282">
        <v>0.75</v>
      </c>
      <c r="S282">
        <v>0.8</v>
      </c>
      <c r="T282">
        <v>275</v>
      </c>
      <c r="U282">
        <v>230</v>
      </c>
      <c r="V282">
        <v>275</v>
      </c>
      <c r="W282">
        <v>1</v>
      </c>
      <c r="X282">
        <v>8</v>
      </c>
      <c r="Y282" t="str">
        <f t="shared" si="34"/>
        <v>23027527580.80.750.81700,000500,000800,000125250140</v>
      </c>
      <c r="Z282">
        <f t="shared" si="35"/>
        <v>1</v>
      </c>
      <c r="AA282" s="20">
        <v>11</v>
      </c>
      <c r="AB282" s="20">
        <v>88</v>
      </c>
      <c r="AC282" s="20">
        <v>8</v>
      </c>
      <c r="AD282" t="str">
        <f t="shared" si="36"/>
        <v>11888</v>
      </c>
      <c r="AE282">
        <f t="shared" si="37"/>
        <v>1</v>
      </c>
    </row>
    <row r="283" spans="1:31" x14ac:dyDescent="0.25">
      <c r="A283" t="s">
        <v>268</v>
      </c>
      <c r="B283" t="s">
        <v>267</v>
      </c>
      <c r="C283">
        <v>114205017</v>
      </c>
      <c r="D283" t="str">
        <f t="shared" si="31"/>
        <v>Ulusoy, Eylül-114205017</v>
      </c>
      <c r="E283">
        <v>81</v>
      </c>
      <c r="F283">
        <v>136</v>
      </c>
      <c r="G283">
        <v>7</v>
      </c>
      <c r="H283">
        <v>7</v>
      </c>
      <c r="I283" t="str">
        <f t="shared" si="32"/>
        <v>8113677</v>
      </c>
      <c r="J283">
        <f t="shared" si="33"/>
        <v>1</v>
      </c>
      <c r="K283">
        <v>115</v>
      </c>
      <c r="L283">
        <v>215</v>
      </c>
      <c r="M283">
        <v>115</v>
      </c>
      <c r="N283" t="s">
        <v>555</v>
      </c>
      <c r="O283" t="s">
        <v>555</v>
      </c>
      <c r="P283" t="s">
        <v>554</v>
      </c>
      <c r="Q283">
        <v>0.76</v>
      </c>
      <c r="R283">
        <v>0.74</v>
      </c>
      <c r="S283">
        <v>0.85</v>
      </c>
      <c r="T283">
        <v>300</v>
      </c>
      <c r="U283">
        <v>180</v>
      </c>
      <c r="V283">
        <v>295</v>
      </c>
      <c r="W283">
        <v>2</v>
      </c>
      <c r="X283">
        <v>10</v>
      </c>
      <c r="Y283" t="str">
        <f t="shared" si="34"/>
        <v>180295300100.850.740.76800,000700,000700,000115215115</v>
      </c>
      <c r="Z283">
        <f t="shared" si="35"/>
        <v>1</v>
      </c>
      <c r="AA283" s="20">
        <v>5</v>
      </c>
      <c r="AB283" s="20">
        <v>35</v>
      </c>
      <c r="AC283" s="20">
        <v>21</v>
      </c>
      <c r="AD283" t="str">
        <f t="shared" si="36"/>
        <v>53521</v>
      </c>
      <c r="AE283">
        <f t="shared" si="37"/>
        <v>1</v>
      </c>
    </row>
    <row r="284" spans="1:31" x14ac:dyDescent="0.25">
      <c r="A284" t="s">
        <v>511</v>
      </c>
      <c r="B284" t="s">
        <v>510</v>
      </c>
      <c r="C284">
        <v>114203052</v>
      </c>
      <c r="D284" t="str">
        <f t="shared" si="31"/>
        <v>Ünal, Canberk-114203052</v>
      </c>
      <c r="E284">
        <v>73</v>
      </c>
      <c r="F284">
        <v>118</v>
      </c>
      <c r="G284">
        <v>9</v>
      </c>
      <c r="H284">
        <v>7</v>
      </c>
      <c r="I284" t="str">
        <f t="shared" si="32"/>
        <v>7311897</v>
      </c>
      <c r="J284">
        <f t="shared" si="33"/>
        <v>1</v>
      </c>
      <c r="K284">
        <v>100</v>
      </c>
      <c r="L284">
        <v>205</v>
      </c>
      <c r="M284">
        <v>130</v>
      </c>
      <c r="N284" t="s">
        <v>554</v>
      </c>
      <c r="O284" t="s">
        <v>556</v>
      </c>
      <c r="P284" t="s">
        <v>557</v>
      </c>
      <c r="Q284">
        <v>0.76</v>
      </c>
      <c r="R284">
        <v>0.7</v>
      </c>
      <c r="S284">
        <v>0.76</v>
      </c>
      <c r="T284">
        <v>300</v>
      </c>
      <c r="U284">
        <v>170</v>
      </c>
      <c r="V284">
        <v>175</v>
      </c>
      <c r="W284">
        <v>2</v>
      </c>
      <c r="X284">
        <v>10</v>
      </c>
      <c r="Y284" t="str">
        <f t="shared" si="34"/>
        <v>170175300100.760.70.76600,000900,000800,000130205100</v>
      </c>
      <c r="Z284">
        <f t="shared" si="35"/>
        <v>1</v>
      </c>
      <c r="AA284" s="20">
        <v>15</v>
      </c>
      <c r="AB284" s="20">
        <v>48</v>
      </c>
      <c r="AC284" s="20">
        <v>12</v>
      </c>
      <c r="AD284" t="str">
        <f t="shared" si="36"/>
        <v>154812</v>
      </c>
      <c r="AE284">
        <f t="shared" si="37"/>
        <v>1</v>
      </c>
    </row>
    <row r="285" spans="1:31" x14ac:dyDescent="0.25">
      <c r="A285" t="s">
        <v>511</v>
      </c>
      <c r="B285" t="s">
        <v>512</v>
      </c>
      <c r="C285">
        <v>115204030</v>
      </c>
      <c r="D285" t="str">
        <f t="shared" si="31"/>
        <v>Ünal, Ufuk-115204030</v>
      </c>
      <c r="E285">
        <v>90</v>
      </c>
      <c r="F285">
        <v>139</v>
      </c>
      <c r="G285">
        <v>5</v>
      </c>
      <c r="H285">
        <v>6</v>
      </c>
      <c r="I285" t="str">
        <f t="shared" si="32"/>
        <v>9013956</v>
      </c>
      <c r="J285">
        <f t="shared" si="33"/>
        <v>1</v>
      </c>
      <c r="K285">
        <v>145</v>
      </c>
      <c r="L285">
        <v>220</v>
      </c>
      <c r="M285">
        <v>145</v>
      </c>
      <c r="N285" t="s">
        <v>556</v>
      </c>
      <c r="O285" t="s">
        <v>555</v>
      </c>
      <c r="P285" t="s">
        <v>557</v>
      </c>
      <c r="Q285">
        <v>0.74</v>
      </c>
      <c r="R285">
        <v>0.81</v>
      </c>
      <c r="S285">
        <v>0.73</v>
      </c>
      <c r="T285">
        <v>280</v>
      </c>
      <c r="U285">
        <v>200</v>
      </c>
      <c r="V285">
        <v>260</v>
      </c>
      <c r="W285">
        <v>2</v>
      </c>
      <c r="X285">
        <v>10</v>
      </c>
      <c r="Y285" t="str">
        <f t="shared" si="34"/>
        <v>200260280100.730.810.74600,000700,000900,000145220145</v>
      </c>
      <c r="Z285">
        <f t="shared" si="35"/>
        <v>1</v>
      </c>
      <c r="AA285" s="20">
        <v>14</v>
      </c>
      <c r="AB285" s="20">
        <v>69</v>
      </c>
      <c r="AC285" s="20">
        <v>14</v>
      </c>
      <c r="AD285" t="str">
        <f t="shared" si="36"/>
        <v>146914</v>
      </c>
      <c r="AE285">
        <f t="shared" si="37"/>
        <v>1</v>
      </c>
    </row>
    <row r="286" spans="1:31" x14ac:dyDescent="0.25">
      <c r="A286" t="s">
        <v>275</v>
      </c>
      <c r="B286" t="s">
        <v>274</v>
      </c>
      <c r="C286">
        <v>114206072</v>
      </c>
      <c r="D286" t="str">
        <f t="shared" si="31"/>
        <v>Ünver, Batuhan-114206072</v>
      </c>
      <c r="E286">
        <v>74</v>
      </c>
      <c r="F286">
        <v>134</v>
      </c>
      <c r="G286">
        <v>8</v>
      </c>
      <c r="H286">
        <v>5</v>
      </c>
      <c r="I286" t="str">
        <f t="shared" si="32"/>
        <v>7413485</v>
      </c>
      <c r="J286">
        <f t="shared" si="33"/>
        <v>1</v>
      </c>
      <c r="K286">
        <v>140</v>
      </c>
      <c r="L286">
        <v>250</v>
      </c>
      <c r="M286">
        <v>135</v>
      </c>
      <c r="N286" t="s">
        <v>557</v>
      </c>
      <c r="O286" t="s">
        <v>555</v>
      </c>
      <c r="P286" t="s">
        <v>557</v>
      </c>
      <c r="Q286">
        <v>0.81</v>
      </c>
      <c r="R286">
        <v>0.75</v>
      </c>
      <c r="S286">
        <v>0.84</v>
      </c>
      <c r="T286">
        <v>285</v>
      </c>
      <c r="U286">
        <v>210</v>
      </c>
      <c r="V286">
        <v>300</v>
      </c>
      <c r="W286">
        <v>3</v>
      </c>
      <c r="X286">
        <v>15</v>
      </c>
      <c r="Y286" t="str">
        <f t="shared" si="34"/>
        <v>210300285150.840.750.81600,000700,000600,000135250140</v>
      </c>
      <c r="Z286">
        <f t="shared" si="35"/>
        <v>1</v>
      </c>
      <c r="AA286" s="20">
        <v>12</v>
      </c>
      <c r="AB286" s="20">
        <v>43</v>
      </c>
      <c r="AC286" s="20">
        <v>9</v>
      </c>
      <c r="AD286" t="str">
        <f t="shared" si="36"/>
        <v>12439</v>
      </c>
      <c r="AE286">
        <f t="shared" si="37"/>
        <v>1</v>
      </c>
    </row>
    <row r="287" spans="1:31" x14ac:dyDescent="0.25">
      <c r="A287" t="s">
        <v>503</v>
      </c>
      <c r="B287" t="s">
        <v>502</v>
      </c>
      <c r="C287">
        <v>114204014</v>
      </c>
      <c r="D287" t="str">
        <f t="shared" si="31"/>
        <v>Uras, Ege Salih-114204014</v>
      </c>
      <c r="E287">
        <v>77</v>
      </c>
      <c r="F287">
        <v>111</v>
      </c>
      <c r="G287">
        <v>6</v>
      </c>
      <c r="H287">
        <v>5</v>
      </c>
      <c r="I287" t="str">
        <f t="shared" si="32"/>
        <v>7711165</v>
      </c>
      <c r="J287">
        <f t="shared" si="33"/>
        <v>1</v>
      </c>
      <c r="K287">
        <v>110</v>
      </c>
      <c r="L287">
        <v>185</v>
      </c>
      <c r="M287">
        <v>130</v>
      </c>
      <c r="N287" t="s">
        <v>556</v>
      </c>
      <c r="O287" t="s">
        <v>553</v>
      </c>
      <c r="P287" t="s">
        <v>557</v>
      </c>
      <c r="Q287">
        <v>0.74</v>
      </c>
      <c r="R287">
        <v>0.74</v>
      </c>
      <c r="S287">
        <v>0.75</v>
      </c>
      <c r="T287">
        <v>260</v>
      </c>
      <c r="U287">
        <v>145</v>
      </c>
      <c r="V287">
        <v>285</v>
      </c>
      <c r="W287">
        <v>2</v>
      </c>
      <c r="X287">
        <v>10</v>
      </c>
      <c r="Y287" t="str">
        <f t="shared" si="34"/>
        <v>145285260100.750.740.74600,000500,000900,000130185110</v>
      </c>
      <c r="Z287">
        <f t="shared" si="35"/>
        <v>1</v>
      </c>
      <c r="AA287" s="20">
        <v>6</v>
      </c>
      <c r="AB287" s="20">
        <v>35</v>
      </c>
      <c r="AC287" s="20">
        <v>21</v>
      </c>
      <c r="AD287" t="str">
        <f t="shared" si="36"/>
        <v>63521</v>
      </c>
      <c r="AE287">
        <f t="shared" si="37"/>
        <v>1</v>
      </c>
    </row>
    <row r="288" spans="1:31" x14ac:dyDescent="0.25">
      <c r="A288" t="s">
        <v>505</v>
      </c>
      <c r="B288" t="s">
        <v>504</v>
      </c>
      <c r="C288">
        <v>116204026</v>
      </c>
      <c r="D288" t="str">
        <f t="shared" si="31"/>
        <v>Urgancı, Hakkı-116204026</v>
      </c>
      <c r="E288">
        <v>84</v>
      </c>
      <c r="F288">
        <v>143</v>
      </c>
      <c r="G288">
        <v>6</v>
      </c>
      <c r="H288">
        <v>5</v>
      </c>
      <c r="I288" t="str">
        <f t="shared" si="32"/>
        <v>8414365</v>
      </c>
      <c r="J288">
        <f t="shared" si="33"/>
        <v>1</v>
      </c>
      <c r="K288">
        <v>140</v>
      </c>
      <c r="L288">
        <v>160</v>
      </c>
      <c r="M288">
        <v>150</v>
      </c>
      <c r="N288" t="s">
        <v>557</v>
      </c>
      <c r="O288" t="s">
        <v>557</v>
      </c>
      <c r="P288" t="s">
        <v>553</v>
      </c>
      <c r="Q288">
        <v>0.78</v>
      </c>
      <c r="R288">
        <v>0.79</v>
      </c>
      <c r="S288">
        <v>0.79</v>
      </c>
      <c r="T288">
        <v>205</v>
      </c>
      <c r="U288">
        <v>130</v>
      </c>
      <c r="V288">
        <v>175</v>
      </c>
      <c r="W288">
        <v>3</v>
      </c>
      <c r="X288">
        <v>15</v>
      </c>
      <c r="Y288" t="str">
        <f t="shared" si="34"/>
        <v>130175205150.790.790.78500,000600,000600,000150160140</v>
      </c>
      <c r="Z288">
        <f t="shared" si="35"/>
        <v>1</v>
      </c>
      <c r="AA288" s="20">
        <v>10</v>
      </c>
      <c r="AB288" s="20">
        <v>39</v>
      </c>
      <c r="AC288" s="20">
        <v>10</v>
      </c>
      <c r="AD288" t="str">
        <f t="shared" si="36"/>
        <v>103910</v>
      </c>
      <c r="AE288">
        <f t="shared" si="37"/>
        <v>1</v>
      </c>
    </row>
    <row r="289" spans="1:31" x14ac:dyDescent="0.25">
      <c r="A289" t="s">
        <v>269</v>
      </c>
      <c r="B289" t="s">
        <v>63</v>
      </c>
      <c r="C289">
        <v>115206075</v>
      </c>
      <c r="D289" t="str">
        <f t="shared" si="31"/>
        <v>Usta, Dilara-115206075</v>
      </c>
      <c r="E289">
        <v>86</v>
      </c>
      <c r="F289">
        <v>119</v>
      </c>
      <c r="G289">
        <v>8</v>
      </c>
      <c r="H289">
        <v>8</v>
      </c>
      <c r="I289" t="str">
        <f t="shared" si="32"/>
        <v>8611988</v>
      </c>
      <c r="J289">
        <f t="shared" si="33"/>
        <v>1</v>
      </c>
      <c r="K289">
        <v>105</v>
      </c>
      <c r="L289">
        <v>240</v>
      </c>
      <c r="M289">
        <v>105</v>
      </c>
      <c r="N289" t="s">
        <v>557</v>
      </c>
      <c r="O289" t="s">
        <v>557</v>
      </c>
      <c r="P289" t="s">
        <v>553</v>
      </c>
      <c r="Q289">
        <v>0.75</v>
      </c>
      <c r="R289">
        <v>0.83</v>
      </c>
      <c r="S289">
        <v>0.85</v>
      </c>
      <c r="T289">
        <v>280</v>
      </c>
      <c r="U289">
        <v>210</v>
      </c>
      <c r="V289">
        <v>215</v>
      </c>
      <c r="W289">
        <v>3</v>
      </c>
      <c r="X289">
        <v>15</v>
      </c>
      <c r="Y289" t="str">
        <f t="shared" si="34"/>
        <v>210215280150.850.830.75500,000600,000600,000105240105</v>
      </c>
      <c r="Z289">
        <f t="shared" si="35"/>
        <v>1</v>
      </c>
      <c r="AA289" s="20">
        <v>14</v>
      </c>
      <c r="AB289" s="20">
        <v>81</v>
      </c>
      <c r="AC289" s="20">
        <v>11</v>
      </c>
      <c r="AD289" t="str">
        <f t="shared" si="36"/>
        <v>148111</v>
      </c>
      <c r="AE289">
        <f t="shared" si="37"/>
        <v>1</v>
      </c>
    </row>
    <row r="290" spans="1:31" x14ac:dyDescent="0.25">
      <c r="A290" t="s">
        <v>276</v>
      </c>
      <c r="B290" t="s">
        <v>65</v>
      </c>
      <c r="C290">
        <v>115202120</v>
      </c>
      <c r="D290" t="str">
        <f t="shared" si="31"/>
        <v>Üstün, Onur-115202120</v>
      </c>
      <c r="E290">
        <v>82</v>
      </c>
      <c r="F290">
        <v>136</v>
      </c>
      <c r="G290">
        <v>5</v>
      </c>
      <c r="H290">
        <v>8</v>
      </c>
      <c r="I290" t="str">
        <f t="shared" si="32"/>
        <v>8213658</v>
      </c>
      <c r="J290">
        <f t="shared" si="33"/>
        <v>1</v>
      </c>
      <c r="K290">
        <v>145</v>
      </c>
      <c r="L290">
        <v>170</v>
      </c>
      <c r="M290">
        <v>105</v>
      </c>
      <c r="N290" t="s">
        <v>553</v>
      </c>
      <c r="O290" t="s">
        <v>557</v>
      </c>
      <c r="P290" t="s">
        <v>554</v>
      </c>
      <c r="Q290">
        <v>0.74</v>
      </c>
      <c r="R290">
        <v>0.75</v>
      </c>
      <c r="S290">
        <v>0.82</v>
      </c>
      <c r="T290">
        <v>275</v>
      </c>
      <c r="U290">
        <v>140</v>
      </c>
      <c r="V290">
        <v>190</v>
      </c>
      <c r="W290">
        <v>2</v>
      </c>
      <c r="X290">
        <v>10</v>
      </c>
      <c r="Y290" t="str">
        <f t="shared" si="34"/>
        <v>140190275100.820.750.74800,000600,000500,000105170145</v>
      </c>
      <c r="Z290">
        <f t="shared" si="35"/>
        <v>1</v>
      </c>
      <c r="AA290" s="20">
        <v>13</v>
      </c>
      <c r="AB290" s="20">
        <v>48</v>
      </c>
      <c r="AC290" s="20">
        <v>15</v>
      </c>
      <c r="AD290" t="str">
        <f t="shared" si="36"/>
        <v>134815</v>
      </c>
      <c r="AE290">
        <f t="shared" si="37"/>
        <v>1</v>
      </c>
    </row>
    <row r="291" spans="1:31" x14ac:dyDescent="0.25">
      <c r="A291" t="s">
        <v>271</v>
      </c>
      <c r="B291" t="s">
        <v>270</v>
      </c>
      <c r="C291">
        <v>114201017</v>
      </c>
      <c r="D291" t="str">
        <f t="shared" si="31"/>
        <v>Uysalcan, Şevval-114201017</v>
      </c>
      <c r="E291">
        <v>90</v>
      </c>
      <c r="F291">
        <v>100</v>
      </c>
      <c r="G291">
        <v>6</v>
      </c>
      <c r="H291">
        <v>6</v>
      </c>
      <c r="I291" t="str">
        <f t="shared" si="32"/>
        <v>9010066</v>
      </c>
      <c r="J291">
        <f t="shared" si="33"/>
        <v>1</v>
      </c>
      <c r="K291">
        <v>130</v>
      </c>
      <c r="L291">
        <v>245</v>
      </c>
      <c r="M291">
        <v>110</v>
      </c>
      <c r="N291" t="s">
        <v>556</v>
      </c>
      <c r="O291" t="s">
        <v>556</v>
      </c>
      <c r="P291" t="s">
        <v>557</v>
      </c>
      <c r="Q291">
        <v>0.75</v>
      </c>
      <c r="R291">
        <v>0.71</v>
      </c>
      <c r="S291">
        <v>0.78</v>
      </c>
      <c r="T291">
        <v>195</v>
      </c>
      <c r="U291">
        <v>220</v>
      </c>
      <c r="V291">
        <v>210</v>
      </c>
      <c r="W291">
        <v>3</v>
      </c>
      <c r="X291">
        <v>15</v>
      </c>
      <c r="Y291" t="str">
        <f t="shared" si="34"/>
        <v>220210195150.780.710.75600,000900,000900,000110245130</v>
      </c>
      <c r="Z291">
        <f t="shared" si="35"/>
        <v>1</v>
      </c>
      <c r="AA291" s="20">
        <v>9</v>
      </c>
      <c r="AB291" s="20">
        <v>64</v>
      </c>
      <c r="AC291" s="20">
        <v>23</v>
      </c>
      <c r="AD291" t="str">
        <f t="shared" si="36"/>
        <v>96423</v>
      </c>
      <c r="AE291">
        <f t="shared" si="37"/>
        <v>1</v>
      </c>
    </row>
    <row r="292" spans="1:31" x14ac:dyDescent="0.25">
      <c r="A292" t="s">
        <v>273</v>
      </c>
      <c r="B292" t="s">
        <v>272</v>
      </c>
      <c r="C292">
        <v>116203023</v>
      </c>
      <c r="D292" t="str">
        <f t="shared" si="31"/>
        <v>Uziyel, Naz Suzan-116203023</v>
      </c>
      <c r="E292">
        <v>86</v>
      </c>
      <c r="F292">
        <v>150</v>
      </c>
      <c r="G292">
        <v>5</v>
      </c>
      <c r="H292">
        <v>5</v>
      </c>
      <c r="I292" t="str">
        <f t="shared" si="32"/>
        <v>8615055</v>
      </c>
      <c r="J292">
        <f t="shared" si="33"/>
        <v>1</v>
      </c>
      <c r="K292">
        <v>115</v>
      </c>
      <c r="L292">
        <v>195</v>
      </c>
      <c r="M292">
        <v>110</v>
      </c>
      <c r="N292" t="s">
        <v>557</v>
      </c>
      <c r="O292" t="s">
        <v>554</v>
      </c>
      <c r="P292" t="s">
        <v>556</v>
      </c>
      <c r="Q292">
        <v>0.75</v>
      </c>
      <c r="R292">
        <v>0.83</v>
      </c>
      <c r="S292">
        <v>0.7</v>
      </c>
      <c r="T292">
        <v>265</v>
      </c>
      <c r="U292">
        <v>175</v>
      </c>
      <c r="V292">
        <v>300</v>
      </c>
      <c r="W292">
        <v>2</v>
      </c>
      <c r="X292">
        <v>10</v>
      </c>
      <c r="Y292" t="str">
        <f t="shared" si="34"/>
        <v>175300265100.70.830.75900,000800,000600,000110195115</v>
      </c>
      <c r="Z292">
        <f t="shared" si="35"/>
        <v>1</v>
      </c>
      <c r="AA292" s="20">
        <v>12</v>
      </c>
      <c r="AB292" s="20">
        <v>74</v>
      </c>
      <c r="AC292" s="20">
        <v>25</v>
      </c>
      <c r="AD292" t="str">
        <f t="shared" si="36"/>
        <v>127425</v>
      </c>
      <c r="AE292">
        <f t="shared" si="37"/>
        <v>1</v>
      </c>
    </row>
    <row r="293" spans="1:31" x14ac:dyDescent="0.25">
      <c r="A293" t="s">
        <v>278</v>
      </c>
      <c r="B293" t="s">
        <v>277</v>
      </c>
      <c r="C293">
        <v>114205009</v>
      </c>
      <c r="D293" t="str">
        <f t="shared" si="31"/>
        <v>Üzüm, Muhammet Hakan-114205009</v>
      </c>
      <c r="E293">
        <v>80</v>
      </c>
      <c r="F293">
        <v>123</v>
      </c>
      <c r="G293">
        <v>7</v>
      </c>
      <c r="H293">
        <v>5</v>
      </c>
      <c r="I293" t="str">
        <f t="shared" si="32"/>
        <v>8012375</v>
      </c>
      <c r="J293">
        <f t="shared" si="33"/>
        <v>1</v>
      </c>
      <c r="K293">
        <v>100</v>
      </c>
      <c r="L293">
        <v>190</v>
      </c>
      <c r="M293">
        <v>130</v>
      </c>
      <c r="N293" t="s">
        <v>557</v>
      </c>
      <c r="O293" t="s">
        <v>555</v>
      </c>
      <c r="P293" t="s">
        <v>557</v>
      </c>
      <c r="Q293">
        <v>0.79</v>
      </c>
      <c r="R293">
        <v>0.78</v>
      </c>
      <c r="S293">
        <v>0.75</v>
      </c>
      <c r="T293">
        <v>265</v>
      </c>
      <c r="U293">
        <v>160</v>
      </c>
      <c r="V293">
        <v>185</v>
      </c>
      <c r="W293">
        <v>1</v>
      </c>
      <c r="X293">
        <v>8</v>
      </c>
      <c r="Y293" t="str">
        <f t="shared" si="34"/>
        <v>16018526580.750.780.79600,000700,000600,000130190100</v>
      </c>
      <c r="Z293">
        <f t="shared" si="35"/>
        <v>1</v>
      </c>
      <c r="AA293" s="20">
        <v>13</v>
      </c>
      <c r="AB293" s="20">
        <v>75</v>
      </c>
      <c r="AC293" s="20">
        <v>13</v>
      </c>
      <c r="AD293" t="str">
        <f t="shared" si="36"/>
        <v>137513</v>
      </c>
      <c r="AE293">
        <f t="shared" si="37"/>
        <v>1</v>
      </c>
    </row>
    <row r="294" spans="1:31" x14ac:dyDescent="0.25">
      <c r="A294" t="s">
        <v>506</v>
      </c>
      <c r="B294" t="s">
        <v>265</v>
      </c>
      <c r="C294">
        <v>114200034</v>
      </c>
      <c r="D294" t="str">
        <f t="shared" si="31"/>
        <v>Uzun, Furkan-114200034</v>
      </c>
      <c r="E294">
        <v>84</v>
      </c>
      <c r="F294">
        <v>100</v>
      </c>
      <c r="G294">
        <v>8</v>
      </c>
      <c r="H294">
        <v>7</v>
      </c>
      <c r="I294" t="str">
        <f t="shared" si="32"/>
        <v>8410087</v>
      </c>
      <c r="J294">
        <f t="shared" si="33"/>
        <v>1</v>
      </c>
      <c r="K294">
        <v>145</v>
      </c>
      <c r="L294">
        <v>155</v>
      </c>
      <c r="M294">
        <v>115</v>
      </c>
      <c r="N294" t="s">
        <v>553</v>
      </c>
      <c r="O294" t="s">
        <v>555</v>
      </c>
      <c r="P294" t="s">
        <v>554</v>
      </c>
      <c r="Q294">
        <v>0.72</v>
      </c>
      <c r="R294">
        <v>0.77</v>
      </c>
      <c r="S294">
        <v>0.75</v>
      </c>
      <c r="T294">
        <v>275</v>
      </c>
      <c r="U294">
        <v>120</v>
      </c>
      <c r="V294">
        <v>255</v>
      </c>
      <c r="W294">
        <v>3</v>
      </c>
      <c r="X294">
        <v>15</v>
      </c>
      <c r="Y294" t="str">
        <f t="shared" si="34"/>
        <v>120255275150.750.770.72800,000700,000500,000115155145</v>
      </c>
      <c r="Z294">
        <f t="shared" si="35"/>
        <v>1</v>
      </c>
      <c r="AA294" s="20">
        <v>8</v>
      </c>
      <c r="AB294" s="20">
        <v>77</v>
      </c>
      <c r="AC294" s="20">
        <v>20</v>
      </c>
      <c r="AD294" t="str">
        <f t="shared" si="36"/>
        <v>87720</v>
      </c>
      <c r="AE294">
        <f t="shared" si="37"/>
        <v>1</v>
      </c>
    </row>
    <row r="295" spans="1:31" x14ac:dyDescent="0.25">
      <c r="A295" t="s">
        <v>506</v>
      </c>
      <c r="B295" t="s">
        <v>507</v>
      </c>
      <c r="C295">
        <v>113202065</v>
      </c>
      <c r="D295" t="str">
        <f t="shared" si="31"/>
        <v>Uzun, Yiğit-113202065</v>
      </c>
      <c r="E295">
        <v>90</v>
      </c>
      <c r="F295">
        <v>123</v>
      </c>
      <c r="G295">
        <v>8</v>
      </c>
      <c r="H295">
        <v>9</v>
      </c>
      <c r="I295" t="str">
        <f t="shared" si="32"/>
        <v>9012389</v>
      </c>
      <c r="J295">
        <f t="shared" si="33"/>
        <v>1</v>
      </c>
      <c r="K295">
        <v>130</v>
      </c>
      <c r="L295">
        <v>195</v>
      </c>
      <c r="M295">
        <v>115</v>
      </c>
      <c r="N295" t="s">
        <v>553</v>
      </c>
      <c r="O295" t="s">
        <v>553</v>
      </c>
      <c r="P295" t="s">
        <v>557</v>
      </c>
      <c r="Q295">
        <v>0.81</v>
      </c>
      <c r="R295">
        <v>0.79</v>
      </c>
      <c r="S295">
        <v>0.73</v>
      </c>
      <c r="T295">
        <v>300</v>
      </c>
      <c r="U295">
        <v>165</v>
      </c>
      <c r="V295">
        <v>295</v>
      </c>
      <c r="W295">
        <v>1</v>
      </c>
      <c r="X295">
        <v>8</v>
      </c>
      <c r="Y295" t="str">
        <f t="shared" si="34"/>
        <v>16529530080.730.790.81600,000500,000500,000115195130</v>
      </c>
      <c r="Z295">
        <f t="shared" si="35"/>
        <v>1</v>
      </c>
      <c r="AA295" s="20">
        <v>10</v>
      </c>
      <c r="AB295" s="20">
        <v>36</v>
      </c>
      <c r="AC295" s="20">
        <v>12</v>
      </c>
      <c r="AD295" t="str">
        <f t="shared" si="36"/>
        <v>103612</v>
      </c>
      <c r="AE295">
        <f t="shared" si="37"/>
        <v>1</v>
      </c>
    </row>
    <row r="296" spans="1:31" x14ac:dyDescent="0.25">
      <c r="A296" t="s">
        <v>509</v>
      </c>
      <c r="B296" t="s">
        <v>508</v>
      </c>
      <c r="C296">
        <v>115204024</v>
      </c>
      <c r="D296" t="str">
        <f t="shared" si="31"/>
        <v>Uzunkaya, Hıdır-115204024</v>
      </c>
      <c r="E296">
        <v>90</v>
      </c>
      <c r="F296">
        <v>102</v>
      </c>
      <c r="G296">
        <v>8</v>
      </c>
      <c r="H296">
        <v>5</v>
      </c>
      <c r="I296" t="str">
        <f t="shared" si="32"/>
        <v>9010285</v>
      </c>
      <c r="J296">
        <f t="shared" si="33"/>
        <v>1</v>
      </c>
      <c r="K296">
        <v>115</v>
      </c>
      <c r="L296">
        <v>165</v>
      </c>
      <c r="M296">
        <v>120</v>
      </c>
      <c r="N296" t="s">
        <v>556</v>
      </c>
      <c r="O296" t="s">
        <v>553</v>
      </c>
      <c r="P296" t="s">
        <v>554</v>
      </c>
      <c r="Q296">
        <v>0.71</v>
      </c>
      <c r="R296">
        <v>0.78</v>
      </c>
      <c r="S296">
        <v>0.76</v>
      </c>
      <c r="T296">
        <v>175</v>
      </c>
      <c r="U296">
        <v>140</v>
      </c>
      <c r="V296">
        <v>175</v>
      </c>
      <c r="W296">
        <v>1</v>
      </c>
      <c r="X296">
        <v>8</v>
      </c>
      <c r="Y296" t="str">
        <f t="shared" si="34"/>
        <v>14017517580.760.780.71800,000500,000900,000120165115</v>
      </c>
      <c r="Z296">
        <f t="shared" si="35"/>
        <v>1</v>
      </c>
      <c r="AA296" s="20">
        <v>5</v>
      </c>
      <c r="AB296" s="20">
        <v>75</v>
      </c>
      <c r="AC296" s="20">
        <v>10</v>
      </c>
      <c r="AD296" t="str">
        <f t="shared" si="36"/>
        <v>57510</v>
      </c>
      <c r="AE296">
        <f t="shared" si="37"/>
        <v>1</v>
      </c>
    </row>
    <row r="297" spans="1:31" x14ac:dyDescent="0.25">
      <c r="A297" t="s">
        <v>280</v>
      </c>
      <c r="B297" t="s">
        <v>279</v>
      </c>
      <c r="C297">
        <v>114202064</v>
      </c>
      <c r="D297" t="str">
        <f t="shared" si="31"/>
        <v>Vural, Murat-114202064</v>
      </c>
      <c r="E297">
        <v>71</v>
      </c>
      <c r="F297">
        <v>116</v>
      </c>
      <c r="G297">
        <v>8</v>
      </c>
      <c r="H297">
        <v>6</v>
      </c>
      <c r="I297" t="str">
        <f t="shared" si="32"/>
        <v>7111686</v>
      </c>
      <c r="J297">
        <f t="shared" si="33"/>
        <v>1</v>
      </c>
      <c r="K297">
        <v>100</v>
      </c>
      <c r="L297">
        <v>195</v>
      </c>
      <c r="M297">
        <v>130</v>
      </c>
      <c r="N297" t="s">
        <v>553</v>
      </c>
      <c r="O297" t="s">
        <v>557</v>
      </c>
      <c r="P297" t="s">
        <v>556</v>
      </c>
      <c r="Q297">
        <v>0.78</v>
      </c>
      <c r="R297">
        <v>0.73</v>
      </c>
      <c r="S297">
        <v>0.72</v>
      </c>
      <c r="T297">
        <v>245</v>
      </c>
      <c r="U297">
        <v>155</v>
      </c>
      <c r="V297">
        <v>195</v>
      </c>
      <c r="W297">
        <v>2</v>
      </c>
      <c r="X297">
        <v>10</v>
      </c>
      <c r="Y297" t="str">
        <f t="shared" si="34"/>
        <v>155195245100.720.730.78900,000600,000500,000130195100</v>
      </c>
      <c r="Z297">
        <f t="shared" si="35"/>
        <v>1</v>
      </c>
      <c r="AA297" s="20">
        <v>9</v>
      </c>
      <c r="AB297" s="20">
        <v>42</v>
      </c>
      <c r="AC297" s="20">
        <v>8</v>
      </c>
      <c r="AD297" t="str">
        <f t="shared" si="36"/>
        <v>9428</v>
      </c>
      <c r="AE297">
        <f t="shared" si="37"/>
        <v>1</v>
      </c>
    </row>
    <row r="298" spans="1:31" x14ac:dyDescent="0.25">
      <c r="A298" t="s">
        <v>282</v>
      </c>
      <c r="B298" t="s">
        <v>281</v>
      </c>
      <c r="C298">
        <v>115202093</v>
      </c>
      <c r="D298" t="str">
        <f t="shared" si="31"/>
        <v>Yalaz, Barış-115202093</v>
      </c>
      <c r="E298">
        <v>77</v>
      </c>
      <c r="F298">
        <v>107</v>
      </c>
      <c r="G298">
        <v>5</v>
      </c>
      <c r="H298">
        <v>9</v>
      </c>
      <c r="I298" t="str">
        <f t="shared" si="32"/>
        <v>7710759</v>
      </c>
      <c r="J298">
        <f t="shared" si="33"/>
        <v>1</v>
      </c>
      <c r="K298">
        <v>125</v>
      </c>
      <c r="L298">
        <v>195</v>
      </c>
      <c r="M298">
        <v>105</v>
      </c>
      <c r="N298" t="s">
        <v>557</v>
      </c>
      <c r="O298" t="s">
        <v>556</v>
      </c>
      <c r="P298" t="s">
        <v>553</v>
      </c>
      <c r="Q298">
        <v>0.74</v>
      </c>
      <c r="R298">
        <v>0.74</v>
      </c>
      <c r="S298">
        <v>0.74</v>
      </c>
      <c r="T298">
        <v>290</v>
      </c>
      <c r="U298">
        <v>155</v>
      </c>
      <c r="V298">
        <v>245</v>
      </c>
      <c r="W298">
        <v>3</v>
      </c>
      <c r="X298">
        <v>15</v>
      </c>
      <c r="Y298" t="str">
        <f t="shared" si="34"/>
        <v>155245290150.740.740.74500,000900,000600,000105195125</v>
      </c>
      <c r="Z298">
        <f t="shared" si="35"/>
        <v>1</v>
      </c>
      <c r="AA298" s="20">
        <v>15</v>
      </c>
      <c r="AB298" s="20">
        <v>44</v>
      </c>
      <c r="AC298" s="20">
        <v>19</v>
      </c>
      <c r="AD298" t="str">
        <f t="shared" si="36"/>
        <v>154419</v>
      </c>
      <c r="AE298">
        <f t="shared" si="37"/>
        <v>1</v>
      </c>
    </row>
    <row r="299" spans="1:31" x14ac:dyDescent="0.25">
      <c r="A299" t="s">
        <v>284</v>
      </c>
      <c r="B299" t="s">
        <v>283</v>
      </c>
      <c r="C299">
        <v>115204039</v>
      </c>
      <c r="D299" t="str">
        <f t="shared" si="31"/>
        <v>Yalçınkaya, Beste-115204039</v>
      </c>
      <c r="E299">
        <v>86</v>
      </c>
      <c r="F299">
        <v>129</v>
      </c>
      <c r="G299">
        <v>7</v>
      </c>
      <c r="H299">
        <v>8</v>
      </c>
      <c r="I299" t="str">
        <f t="shared" si="32"/>
        <v>8612978</v>
      </c>
      <c r="J299">
        <f t="shared" si="33"/>
        <v>1</v>
      </c>
      <c r="K299">
        <v>115</v>
      </c>
      <c r="L299">
        <v>190</v>
      </c>
      <c r="M299">
        <v>145</v>
      </c>
      <c r="N299" t="s">
        <v>556</v>
      </c>
      <c r="O299" t="s">
        <v>556</v>
      </c>
      <c r="P299" t="s">
        <v>553</v>
      </c>
      <c r="Q299">
        <v>0.74</v>
      </c>
      <c r="R299">
        <v>0.81</v>
      </c>
      <c r="S299">
        <v>0.82</v>
      </c>
      <c r="T299">
        <v>200</v>
      </c>
      <c r="U299">
        <v>165</v>
      </c>
      <c r="V299">
        <v>185</v>
      </c>
      <c r="W299">
        <v>2</v>
      </c>
      <c r="X299">
        <v>10</v>
      </c>
      <c r="Y299" t="str">
        <f t="shared" si="34"/>
        <v>165185200100.820.810.74500,000900,000900,000145190115</v>
      </c>
      <c r="Z299">
        <f t="shared" si="35"/>
        <v>1</v>
      </c>
      <c r="AA299" s="20">
        <v>13</v>
      </c>
      <c r="AB299" s="20">
        <v>82</v>
      </c>
      <c r="AC299" s="20">
        <v>24</v>
      </c>
      <c r="AD299" t="str">
        <f t="shared" si="36"/>
        <v>138224</v>
      </c>
      <c r="AE299">
        <f t="shared" si="37"/>
        <v>1</v>
      </c>
    </row>
    <row r="300" spans="1:31" x14ac:dyDescent="0.25">
      <c r="A300" t="s">
        <v>286</v>
      </c>
      <c r="B300" t="s">
        <v>285</v>
      </c>
      <c r="C300">
        <v>115206087</v>
      </c>
      <c r="D300" t="str">
        <f t="shared" si="31"/>
        <v>Yaman, Yusuf Doruk-115206087</v>
      </c>
      <c r="E300">
        <v>71</v>
      </c>
      <c r="F300">
        <v>134</v>
      </c>
      <c r="G300">
        <v>6</v>
      </c>
      <c r="H300">
        <v>9</v>
      </c>
      <c r="I300" t="str">
        <f t="shared" si="32"/>
        <v>7113469</v>
      </c>
      <c r="J300">
        <f t="shared" si="33"/>
        <v>1</v>
      </c>
      <c r="K300">
        <v>135</v>
      </c>
      <c r="L300">
        <v>205</v>
      </c>
      <c r="M300">
        <v>115</v>
      </c>
      <c r="N300" t="s">
        <v>553</v>
      </c>
      <c r="O300" t="s">
        <v>554</v>
      </c>
      <c r="P300" t="s">
        <v>557</v>
      </c>
      <c r="Q300">
        <v>0.73</v>
      </c>
      <c r="R300">
        <v>0.84</v>
      </c>
      <c r="S300">
        <v>0.73</v>
      </c>
      <c r="T300">
        <v>290</v>
      </c>
      <c r="U300">
        <v>185</v>
      </c>
      <c r="V300">
        <v>175</v>
      </c>
      <c r="W300">
        <v>3</v>
      </c>
      <c r="X300">
        <v>15</v>
      </c>
      <c r="Y300" t="str">
        <f t="shared" si="34"/>
        <v>185175290150.730.840.73600,000800,000500,000115205135</v>
      </c>
      <c r="Z300">
        <f t="shared" si="35"/>
        <v>1</v>
      </c>
      <c r="AA300" s="20">
        <v>8</v>
      </c>
      <c r="AB300" s="20">
        <v>51</v>
      </c>
      <c r="AC300" s="20">
        <v>23</v>
      </c>
      <c r="AD300" t="str">
        <f t="shared" si="36"/>
        <v>85123</v>
      </c>
      <c r="AE300">
        <f t="shared" si="37"/>
        <v>1</v>
      </c>
    </row>
    <row r="301" spans="1:31" x14ac:dyDescent="0.25">
      <c r="A301" t="s">
        <v>288</v>
      </c>
      <c r="B301" t="s">
        <v>287</v>
      </c>
      <c r="C301">
        <v>115205056</v>
      </c>
      <c r="D301" t="str">
        <f t="shared" si="31"/>
        <v>Yasan, Melih Can-115205056</v>
      </c>
      <c r="E301">
        <v>74</v>
      </c>
      <c r="F301">
        <v>141</v>
      </c>
      <c r="G301">
        <v>7</v>
      </c>
      <c r="H301">
        <v>5</v>
      </c>
      <c r="I301" t="str">
        <f t="shared" si="32"/>
        <v>7414175</v>
      </c>
      <c r="J301">
        <f t="shared" si="33"/>
        <v>1</v>
      </c>
      <c r="K301">
        <v>145</v>
      </c>
      <c r="L301">
        <v>175</v>
      </c>
      <c r="M301">
        <v>130</v>
      </c>
      <c r="N301" t="s">
        <v>555</v>
      </c>
      <c r="O301" t="s">
        <v>553</v>
      </c>
      <c r="P301" t="s">
        <v>554</v>
      </c>
      <c r="Q301">
        <v>0.74</v>
      </c>
      <c r="R301">
        <v>0.81</v>
      </c>
      <c r="S301">
        <v>0.84</v>
      </c>
      <c r="T301">
        <v>270</v>
      </c>
      <c r="U301">
        <v>135</v>
      </c>
      <c r="V301">
        <v>195</v>
      </c>
      <c r="W301">
        <v>2</v>
      </c>
      <c r="X301">
        <v>10</v>
      </c>
      <c r="Y301" t="str">
        <f t="shared" si="34"/>
        <v>135195270100.840.810.74800,000500,000700,000130175145</v>
      </c>
      <c r="Z301">
        <f t="shared" si="35"/>
        <v>1</v>
      </c>
      <c r="AA301" s="20">
        <v>6</v>
      </c>
      <c r="AB301" s="20">
        <v>44</v>
      </c>
      <c r="AC301" s="20">
        <v>23</v>
      </c>
      <c r="AD301" t="str">
        <f t="shared" si="36"/>
        <v>64423</v>
      </c>
      <c r="AE301">
        <f t="shared" si="37"/>
        <v>1</v>
      </c>
    </row>
    <row r="302" spans="1:31" x14ac:dyDescent="0.25">
      <c r="A302" t="s">
        <v>514</v>
      </c>
      <c r="B302" t="s">
        <v>513</v>
      </c>
      <c r="C302">
        <v>114202059</v>
      </c>
      <c r="D302" t="str">
        <f t="shared" si="31"/>
        <v>Yaşar, Nurullah-114202059</v>
      </c>
      <c r="E302">
        <v>75</v>
      </c>
      <c r="F302">
        <v>123</v>
      </c>
      <c r="G302">
        <v>8</v>
      </c>
      <c r="H302">
        <v>8</v>
      </c>
      <c r="I302" t="str">
        <f t="shared" si="32"/>
        <v>7512388</v>
      </c>
      <c r="J302">
        <f t="shared" si="33"/>
        <v>1</v>
      </c>
      <c r="K302">
        <v>115</v>
      </c>
      <c r="L302">
        <v>210</v>
      </c>
      <c r="M302">
        <v>105</v>
      </c>
      <c r="N302" t="s">
        <v>555</v>
      </c>
      <c r="O302" t="s">
        <v>555</v>
      </c>
      <c r="P302" t="s">
        <v>556</v>
      </c>
      <c r="Q302">
        <v>0.73</v>
      </c>
      <c r="R302">
        <v>0.72</v>
      </c>
      <c r="S302">
        <v>0.7</v>
      </c>
      <c r="T302">
        <v>265</v>
      </c>
      <c r="U302">
        <v>175</v>
      </c>
      <c r="V302">
        <v>210</v>
      </c>
      <c r="W302">
        <v>3</v>
      </c>
      <c r="X302">
        <v>15</v>
      </c>
      <c r="Y302" t="str">
        <f t="shared" si="34"/>
        <v>175210265150.70.720.73900,000700,000700,000105210115</v>
      </c>
      <c r="Z302">
        <f t="shared" si="35"/>
        <v>1</v>
      </c>
      <c r="AA302" s="20">
        <v>8</v>
      </c>
      <c r="AB302" s="20">
        <v>32</v>
      </c>
      <c r="AC302" s="20">
        <v>25</v>
      </c>
      <c r="AD302" t="str">
        <f t="shared" si="36"/>
        <v>83225</v>
      </c>
      <c r="AE302">
        <f t="shared" si="37"/>
        <v>1</v>
      </c>
    </row>
    <row r="303" spans="1:31" x14ac:dyDescent="0.25">
      <c r="A303" t="s">
        <v>515</v>
      </c>
      <c r="B303" t="s">
        <v>49</v>
      </c>
      <c r="C303">
        <v>113205034</v>
      </c>
      <c r="D303" t="str">
        <f t="shared" si="31"/>
        <v>Yavuz, Abdullah-113205034</v>
      </c>
      <c r="E303">
        <v>76</v>
      </c>
      <c r="F303">
        <v>150</v>
      </c>
      <c r="G303">
        <v>8</v>
      </c>
      <c r="H303">
        <v>5</v>
      </c>
      <c r="I303" t="str">
        <f t="shared" si="32"/>
        <v>7615085</v>
      </c>
      <c r="J303">
        <f t="shared" si="33"/>
        <v>1</v>
      </c>
      <c r="K303">
        <v>135</v>
      </c>
      <c r="L303">
        <v>225</v>
      </c>
      <c r="M303">
        <v>120</v>
      </c>
      <c r="N303" t="s">
        <v>555</v>
      </c>
      <c r="O303" t="s">
        <v>553</v>
      </c>
      <c r="P303" t="s">
        <v>557</v>
      </c>
      <c r="Q303">
        <v>0.71</v>
      </c>
      <c r="R303">
        <v>0.75</v>
      </c>
      <c r="S303">
        <v>0.78</v>
      </c>
      <c r="T303">
        <v>200</v>
      </c>
      <c r="U303">
        <v>205</v>
      </c>
      <c r="V303">
        <v>200</v>
      </c>
      <c r="W303">
        <v>3</v>
      </c>
      <c r="X303">
        <v>15</v>
      </c>
      <c r="Y303" t="str">
        <f t="shared" si="34"/>
        <v>205200200150.780.750.71600,000500,000700,000120225135</v>
      </c>
      <c r="Z303">
        <f t="shared" si="35"/>
        <v>1</v>
      </c>
      <c r="AA303" s="20">
        <v>6</v>
      </c>
      <c r="AB303" s="20">
        <v>45</v>
      </c>
      <c r="AC303" s="20">
        <v>6</v>
      </c>
      <c r="AD303" t="str">
        <f t="shared" si="36"/>
        <v>6456</v>
      </c>
      <c r="AE303">
        <f t="shared" si="37"/>
        <v>1</v>
      </c>
    </row>
    <row r="304" spans="1:31" x14ac:dyDescent="0.25">
      <c r="A304" t="s">
        <v>517</v>
      </c>
      <c r="B304" t="s">
        <v>516</v>
      </c>
      <c r="C304">
        <v>113205040</v>
      </c>
      <c r="D304" t="str">
        <f t="shared" si="31"/>
        <v>Yeşerdir, Kaan Mert-113205040</v>
      </c>
      <c r="E304">
        <v>78</v>
      </c>
      <c r="F304">
        <v>101</v>
      </c>
      <c r="G304">
        <v>8</v>
      </c>
      <c r="H304">
        <v>8</v>
      </c>
      <c r="I304" t="str">
        <f t="shared" si="32"/>
        <v>7810188</v>
      </c>
      <c r="J304">
        <f t="shared" si="33"/>
        <v>1</v>
      </c>
      <c r="K304">
        <v>120</v>
      </c>
      <c r="L304">
        <v>225</v>
      </c>
      <c r="M304">
        <v>110</v>
      </c>
      <c r="N304" t="s">
        <v>556</v>
      </c>
      <c r="O304" t="s">
        <v>557</v>
      </c>
      <c r="P304" t="s">
        <v>553</v>
      </c>
      <c r="Q304">
        <v>0.74</v>
      </c>
      <c r="R304">
        <v>0.74</v>
      </c>
      <c r="S304">
        <v>0.83</v>
      </c>
      <c r="T304">
        <v>190</v>
      </c>
      <c r="U304">
        <v>185</v>
      </c>
      <c r="V304">
        <v>245</v>
      </c>
      <c r="W304">
        <v>2</v>
      </c>
      <c r="X304">
        <v>10</v>
      </c>
      <c r="Y304" t="str">
        <f t="shared" si="34"/>
        <v>185245190100.830.740.74500,000600,000900,000110225120</v>
      </c>
      <c r="Z304">
        <f t="shared" si="35"/>
        <v>1</v>
      </c>
      <c r="AA304" s="20">
        <v>7</v>
      </c>
      <c r="AB304" s="20">
        <v>82</v>
      </c>
      <c r="AC304" s="20">
        <v>6</v>
      </c>
      <c r="AD304" t="str">
        <f t="shared" si="36"/>
        <v>7826</v>
      </c>
      <c r="AE304">
        <f t="shared" si="37"/>
        <v>1</v>
      </c>
    </row>
    <row r="305" spans="1:31" x14ac:dyDescent="0.25">
      <c r="A305" t="s">
        <v>519</v>
      </c>
      <c r="B305" t="s">
        <v>518</v>
      </c>
      <c r="C305">
        <v>114205043</v>
      </c>
      <c r="D305" t="str">
        <f t="shared" si="31"/>
        <v>Yeşilbaş, Ali Can-114205043</v>
      </c>
      <c r="E305">
        <v>78</v>
      </c>
      <c r="F305">
        <v>128</v>
      </c>
      <c r="G305">
        <v>8</v>
      </c>
      <c r="H305">
        <v>8</v>
      </c>
      <c r="I305" t="str">
        <f t="shared" si="32"/>
        <v>7812888</v>
      </c>
      <c r="J305">
        <f t="shared" si="33"/>
        <v>1</v>
      </c>
      <c r="K305">
        <v>150</v>
      </c>
      <c r="L305">
        <v>175</v>
      </c>
      <c r="M305">
        <v>115</v>
      </c>
      <c r="N305" t="s">
        <v>554</v>
      </c>
      <c r="O305" t="s">
        <v>556</v>
      </c>
      <c r="P305" t="s">
        <v>555</v>
      </c>
      <c r="Q305">
        <v>0.78</v>
      </c>
      <c r="R305">
        <v>0.81</v>
      </c>
      <c r="S305">
        <v>0.74</v>
      </c>
      <c r="T305">
        <v>175</v>
      </c>
      <c r="U305">
        <v>150</v>
      </c>
      <c r="V305">
        <v>285</v>
      </c>
      <c r="W305">
        <v>3</v>
      </c>
      <c r="X305">
        <v>15</v>
      </c>
      <c r="Y305" t="str">
        <f t="shared" si="34"/>
        <v>150285175150.740.810.78700,000900,000800,000115175150</v>
      </c>
      <c r="Z305">
        <f t="shared" si="35"/>
        <v>1</v>
      </c>
      <c r="AA305" s="20">
        <v>7</v>
      </c>
      <c r="AB305" s="20">
        <v>68</v>
      </c>
      <c r="AC305" s="20">
        <v>11</v>
      </c>
      <c r="AD305" t="str">
        <f t="shared" si="36"/>
        <v>76811</v>
      </c>
      <c r="AE305">
        <f t="shared" si="37"/>
        <v>1</v>
      </c>
    </row>
    <row r="306" spans="1:31" x14ac:dyDescent="0.25">
      <c r="A306" t="s">
        <v>521</v>
      </c>
      <c r="B306" t="s">
        <v>520</v>
      </c>
      <c r="C306">
        <v>116201159</v>
      </c>
      <c r="D306" t="str">
        <f t="shared" si="31"/>
        <v>Yıldırım, Özlem Nur-116201159</v>
      </c>
      <c r="E306">
        <v>89</v>
      </c>
      <c r="F306">
        <v>134</v>
      </c>
      <c r="G306">
        <v>9</v>
      </c>
      <c r="H306">
        <v>5</v>
      </c>
      <c r="I306" t="str">
        <f t="shared" si="32"/>
        <v>8913495</v>
      </c>
      <c r="J306">
        <f t="shared" si="33"/>
        <v>1</v>
      </c>
      <c r="K306">
        <v>125</v>
      </c>
      <c r="L306">
        <v>150</v>
      </c>
      <c r="M306">
        <v>140</v>
      </c>
      <c r="N306" t="s">
        <v>557</v>
      </c>
      <c r="O306" t="s">
        <v>556</v>
      </c>
      <c r="P306" t="s">
        <v>553</v>
      </c>
      <c r="Q306">
        <v>0.81</v>
      </c>
      <c r="R306">
        <v>0.74</v>
      </c>
      <c r="S306">
        <v>0.85</v>
      </c>
      <c r="T306">
        <v>295</v>
      </c>
      <c r="U306">
        <v>120</v>
      </c>
      <c r="V306">
        <v>270</v>
      </c>
      <c r="W306">
        <v>1</v>
      </c>
      <c r="X306">
        <v>8</v>
      </c>
      <c r="Y306" t="str">
        <f t="shared" si="34"/>
        <v>12027029580.850.740.81500,000900,000600,000140150125</v>
      </c>
      <c r="Z306">
        <f t="shared" si="35"/>
        <v>1</v>
      </c>
      <c r="AA306" s="20">
        <v>6</v>
      </c>
      <c r="AB306" s="20">
        <v>73</v>
      </c>
      <c r="AC306" s="20">
        <v>17</v>
      </c>
      <c r="AD306" t="str">
        <f t="shared" si="36"/>
        <v>67317</v>
      </c>
      <c r="AE306">
        <f t="shared" si="37"/>
        <v>1</v>
      </c>
    </row>
    <row r="307" spans="1:31" x14ac:dyDescent="0.25">
      <c r="A307" t="s">
        <v>290</v>
      </c>
      <c r="B307" t="s">
        <v>289</v>
      </c>
      <c r="C307">
        <v>114203010</v>
      </c>
      <c r="D307" t="str">
        <f t="shared" si="31"/>
        <v>Yıldız, Mustafa Gökhan-114203010</v>
      </c>
      <c r="E307">
        <v>77</v>
      </c>
      <c r="F307">
        <v>130</v>
      </c>
      <c r="G307">
        <v>7</v>
      </c>
      <c r="H307">
        <v>9</v>
      </c>
      <c r="I307" t="str">
        <f t="shared" si="32"/>
        <v>7713079</v>
      </c>
      <c r="J307">
        <f t="shared" si="33"/>
        <v>1</v>
      </c>
      <c r="K307">
        <v>115</v>
      </c>
      <c r="L307">
        <v>160</v>
      </c>
      <c r="M307">
        <v>150</v>
      </c>
      <c r="N307" t="s">
        <v>554</v>
      </c>
      <c r="O307" t="s">
        <v>555</v>
      </c>
      <c r="P307" t="s">
        <v>557</v>
      </c>
      <c r="Q307">
        <v>0.76</v>
      </c>
      <c r="R307">
        <v>0.81</v>
      </c>
      <c r="S307">
        <v>0.77</v>
      </c>
      <c r="T307">
        <v>240</v>
      </c>
      <c r="U307">
        <v>140</v>
      </c>
      <c r="V307">
        <v>280</v>
      </c>
      <c r="W307">
        <v>1</v>
      </c>
      <c r="X307">
        <v>8</v>
      </c>
      <c r="Y307" t="str">
        <f t="shared" si="34"/>
        <v>14028024080.770.810.76600,000700,000800,000150160115</v>
      </c>
      <c r="Z307">
        <f t="shared" si="35"/>
        <v>1</v>
      </c>
      <c r="AA307" s="20">
        <v>14</v>
      </c>
      <c r="AB307" s="20">
        <v>66</v>
      </c>
      <c r="AC307" s="20">
        <v>12</v>
      </c>
      <c r="AD307" t="str">
        <f t="shared" si="36"/>
        <v>146612</v>
      </c>
      <c r="AE307">
        <f t="shared" si="37"/>
        <v>1</v>
      </c>
    </row>
    <row r="308" spans="1:31" x14ac:dyDescent="0.25">
      <c r="A308" t="s">
        <v>155</v>
      </c>
      <c r="B308" t="s">
        <v>121</v>
      </c>
      <c r="C308">
        <v>114204034</v>
      </c>
      <c r="D308" t="str">
        <f t="shared" si="31"/>
        <v>Yılmaz, Burak-114204034</v>
      </c>
      <c r="E308">
        <v>83</v>
      </c>
      <c r="F308">
        <v>137</v>
      </c>
      <c r="G308">
        <v>7</v>
      </c>
      <c r="H308">
        <v>7</v>
      </c>
      <c r="I308" t="str">
        <f t="shared" si="32"/>
        <v>8313777</v>
      </c>
      <c r="J308">
        <f t="shared" si="33"/>
        <v>1</v>
      </c>
      <c r="K308">
        <v>105</v>
      </c>
      <c r="L308">
        <v>165</v>
      </c>
      <c r="M308">
        <v>150</v>
      </c>
      <c r="N308" t="s">
        <v>557</v>
      </c>
      <c r="O308" t="s">
        <v>554</v>
      </c>
      <c r="P308" t="s">
        <v>554</v>
      </c>
      <c r="Q308">
        <v>0.77</v>
      </c>
      <c r="R308">
        <v>0.82</v>
      </c>
      <c r="S308">
        <v>0.7</v>
      </c>
      <c r="T308">
        <v>190</v>
      </c>
      <c r="U308">
        <v>135</v>
      </c>
      <c r="V308">
        <v>250</v>
      </c>
      <c r="W308">
        <v>1</v>
      </c>
      <c r="X308">
        <v>8</v>
      </c>
      <c r="Y308" t="str">
        <f t="shared" si="34"/>
        <v>13525019080.70.820.77800,000800,000600,000150165105</v>
      </c>
      <c r="Z308">
        <f t="shared" si="35"/>
        <v>1</v>
      </c>
      <c r="AA308" s="20">
        <v>6</v>
      </c>
      <c r="AB308" s="20">
        <v>54</v>
      </c>
      <c r="AC308" s="20">
        <v>20</v>
      </c>
      <c r="AD308" t="str">
        <f t="shared" si="36"/>
        <v>65420</v>
      </c>
      <c r="AE308">
        <f t="shared" si="37"/>
        <v>1</v>
      </c>
    </row>
    <row r="309" spans="1:31" x14ac:dyDescent="0.25">
      <c r="A309" t="s">
        <v>155</v>
      </c>
      <c r="B309" t="s">
        <v>121</v>
      </c>
      <c r="C309">
        <v>114205036</v>
      </c>
      <c r="D309" t="str">
        <f t="shared" si="31"/>
        <v>Yılmaz, Burak-114205036</v>
      </c>
      <c r="E309">
        <v>83</v>
      </c>
      <c r="F309">
        <v>122</v>
      </c>
      <c r="G309">
        <v>8</v>
      </c>
      <c r="H309">
        <v>9</v>
      </c>
      <c r="I309" t="str">
        <f t="shared" si="32"/>
        <v>8312289</v>
      </c>
      <c r="J309">
        <f t="shared" si="33"/>
        <v>1</v>
      </c>
      <c r="K309">
        <v>120</v>
      </c>
      <c r="L309">
        <v>220</v>
      </c>
      <c r="M309">
        <v>125</v>
      </c>
      <c r="N309" t="s">
        <v>553</v>
      </c>
      <c r="O309" t="s">
        <v>553</v>
      </c>
      <c r="P309" t="s">
        <v>553</v>
      </c>
      <c r="Q309">
        <v>0.82</v>
      </c>
      <c r="R309">
        <v>0.7</v>
      </c>
      <c r="S309">
        <v>0.77</v>
      </c>
      <c r="T309">
        <v>245</v>
      </c>
      <c r="U309">
        <v>185</v>
      </c>
      <c r="V309">
        <v>265</v>
      </c>
      <c r="W309">
        <v>1</v>
      </c>
      <c r="X309">
        <v>8</v>
      </c>
      <c r="Y309" t="str">
        <f t="shared" si="34"/>
        <v>18526524580.770.70.82500,000500,000500,000125220120</v>
      </c>
      <c r="Z309">
        <f t="shared" si="35"/>
        <v>1</v>
      </c>
      <c r="AA309" s="20">
        <v>6</v>
      </c>
      <c r="AB309" s="20">
        <v>75</v>
      </c>
      <c r="AC309" s="20">
        <v>11</v>
      </c>
      <c r="AD309" t="str">
        <f t="shared" si="36"/>
        <v>67511</v>
      </c>
      <c r="AE309">
        <f t="shared" si="37"/>
        <v>1</v>
      </c>
    </row>
    <row r="310" spans="1:31" x14ac:dyDescent="0.25">
      <c r="A310" t="s">
        <v>155</v>
      </c>
      <c r="B310" t="s">
        <v>422</v>
      </c>
      <c r="C310">
        <v>115206047</v>
      </c>
      <c r="D310" t="str">
        <f t="shared" si="31"/>
        <v>Yılmaz, Enes-115206047</v>
      </c>
      <c r="E310">
        <v>88</v>
      </c>
      <c r="F310">
        <v>114</v>
      </c>
      <c r="G310">
        <v>9</v>
      </c>
      <c r="H310">
        <v>5</v>
      </c>
      <c r="I310" t="str">
        <f t="shared" si="32"/>
        <v>8811495</v>
      </c>
      <c r="J310">
        <f t="shared" si="33"/>
        <v>1</v>
      </c>
      <c r="K310">
        <v>150</v>
      </c>
      <c r="L310">
        <v>200</v>
      </c>
      <c r="M310">
        <v>140</v>
      </c>
      <c r="N310" t="s">
        <v>556</v>
      </c>
      <c r="O310" t="s">
        <v>557</v>
      </c>
      <c r="P310" t="s">
        <v>555</v>
      </c>
      <c r="Q310">
        <v>0.71</v>
      </c>
      <c r="R310">
        <v>0.71</v>
      </c>
      <c r="S310">
        <v>0.82</v>
      </c>
      <c r="T310">
        <v>235</v>
      </c>
      <c r="U310">
        <v>165</v>
      </c>
      <c r="V310">
        <v>205</v>
      </c>
      <c r="W310">
        <v>2</v>
      </c>
      <c r="X310">
        <v>10</v>
      </c>
      <c r="Y310" t="str">
        <f t="shared" si="34"/>
        <v>165205235100.820.710.71700,000600,000900,000140200150</v>
      </c>
      <c r="Z310">
        <f t="shared" si="35"/>
        <v>1</v>
      </c>
      <c r="AA310" s="20">
        <v>5</v>
      </c>
      <c r="AB310" s="20">
        <v>52</v>
      </c>
      <c r="AC310" s="20">
        <v>22</v>
      </c>
      <c r="AD310" t="str">
        <f t="shared" si="36"/>
        <v>55222</v>
      </c>
      <c r="AE310">
        <f t="shared" si="37"/>
        <v>1</v>
      </c>
    </row>
    <row r="311" spans="1:31" x14ac:dyDescent="0.25">
      <c r="A311" t="s">
        <v>155</v>
      </c>
      <c r="B311" t="s">
        <v>291</v>
      </c>
      <c r="C311">
        <v>113204012</v>
      </c>
      <c r="D311" t="str">
        <f t="shared" si="31"/>
        <v>Yılmaz, Yavuz Sinan-113204012</v>
      </c>
      <c r="E311">
        <v>89</v>
      </c>
      <c r="F311">
        <v>119</v>
      </c>
      <c r="G311">
        <v>9</v>
      </c>
      <c r="H311">
        <v>9</v>
      </c>
      <c r="I311" t="str">
        <f t="shared" si="32"/>
        <v>8911999</v>
      </c>
      <c r="J311">
        <f t="shared" si="33"/>
        <v>1</v>
      </c>
      <c r="K311">
        <v>135</v>
      </c>
      <c r="L311">
        <v>190</v>
      </c>
      <c r="M311">
        <v>105</v>
      </c>
      <c r="N311" t="s">
        <v>556</v>
      </c>
      <c r="O311" t="s">
        <v>557</v>
      </c>
      <c r="P311" t="s">
        <v>557</v>
      </c>
      <c r="Q311">
        <v>0.74</v>
      </c>
      <c r="R311">
        <v>0.74</v>
      </c>
      <c r="S311">
        <v>0.82</v>
      </c>
      <c r="T311">
        <v>220</v>
      </c>
      <c r="U311">
        <v>155</v>
      </c>
      <c r="V311">
        <v>280</v>
      </c>
      <c r="W311">
        <v>2</v>
      </c>
      <c r="X311">
        <v>10</v>
      </c>
      <c r="Y311" t="str">
        <f t="shared" si="34"/>
        <v>155280220100.820.740.74600,000600,000900,000105190135</v>
      </c>
      <c r="Z311">
        <f t="shared" si="35"/>
        <v>1</v>
      </c>
      <c r="AA311" s="20">
        <v>6</v>
      </c>
      <c r="AB311" s="20">
        <v>58</v>
      </c>
      <c r="AC311" s="20">
        <v>20</v>
      </c>
      <c r="AD311" t="str">
        <f t="shared" si="36"/>
        <v>65820</v>
      </c>
      <c r="AE311">
        <f t="shared" si="37"/>
        <v>1</v>
      </c>
    </row>
    <row r="312" spans="1:31" x14ac:dyDescent="0.25">
      <c r="A312" t="s">
        <v>293</v>
      </c>
      <c r="B312" t="s">
        <v>292</v>
      </c>
      <c r="C312">
        <v>115205006</v>
      </c>
      <c r="D312" t="str">
        <f t="shared" si="31"/>
        <v>Youssef, Majed-115205006</v>
      </c>
      <c r="E312">
        <v>87</v>
      </c>
      <c r="F312">
        <v>128</v>
      </c>
      <c r="G312">
        <v>9</v>
      </c>
      <c r="H312">
        <v>5</v>
      </c>
      <c r="I312" t="str">
        <f t="shared" si="32"/>
        <v>8712895</v>
      </c>
      <c r="J312">
        <f t="shared" si="33"/>
        <v>1</v>
      </c>
      <c r="K312">
        <v>105</v>
      </c>
      <c r="L312">
        <v>155</v>
      </c>
      <c r="M312">
        <v>115</v>
      </c>
      <c r="N312" t="s">
        <v>556</v>
      </c>
      <c r="O312" t="s">
        <v>553</v>
      </c>
      <c r="P312" t="s">
        <v>556</v>
      </c>
      <c r="Q312">
        <v>0.8</v>
      </c>
      <c r="R312">
        <v>0.75</v>
      </c>
      <c r="S312">
        <v>0.77</v>
      </c>
      <c r="T312">
        <v>280</v>
      </c>
      <c r="U312">
        <v>120</v>
      </c>
      <c r="V312">
        <v>235</v>
      </c>
      <c r="W312">
        <v>3</v>
      </c>
      <c r="X312">
        <v>15</v>
      </c>
      <c r="Y312" t="str">
        <f t="shared" si="34"/>
        <v>120235280150.770.750.8900,000500,000900,000115155105</v>
      </c>
      <c r="Z312">
        <f t="shared" si="35"/>
        <v>1</v>
      </c>
      <c r="AA312" s="20">
        <v>5</v>
      </c>
      <c r="AB312" s="20">
        <v>70</v>
      </c>
      <c r="AC312" s="20">
        <v>20</v>
      </c>
      <c r="AD312" t="str">
        <f t="shared" si="36"/>
        <v>57020</v>
      </c>
      <c r="AE312">
        <f t="shared" si="37"/>
        <v>1</v>
      </c>
    </row>
    <row r="313" spans="1:31" x14ac:dyDescent="0.25">
      <c r="A313" t="s">
        <v>579</v>
      </c>
      <c r="B313" t="s">
        <v>580</v>
      </c>
      <c r="C313">
        <v>111201016</v>
      </c>
      <c r="D313" t="str">
        <f t="shared" si="31"/>
        <v>Yüce, Süvelde Tuğçe-111201016</v>
      </c>
      <c r="E313">
        <v>80</v>
      </c>
      <c r="F313">
        <v>138</v>
      </c>
      <c r="G313">
        <v>5</v>
      </c>
      <c r="H313">
        <v>7</v>
      </c>
      <c r="I313" t="str">
        <f t="shared" si="32"/>
        <v>8013857</v>
      </c>
      <c r="J313">
        <f t="shared" si="33"/>
        <v>1</v>
      </c>
      <c r="K313">
        <v>150</v>
      </c>
      <c r="L313">
        <v>215</v>
      </c>
      <c r="M313">
        <v>115</v>
      </c>
      <c r="N313" t="s">
        <v>557</v>
      </c>
      <c r="O313" t="s">
        <v>554</v>
      </c>
      <c r="P313" t="s">
        <v>557</v>
      </c>
      <c r="Q313">
        <v>0.7</v>
      </c>
      <c r="R313">
        <v>0.72</v>
      </c>
      <c r="S313">
        <v>0.83</v>
      </c>
      <c r="T313">
        <v>205</v>
      </c>
      <c r="U313">
        <v>180</v>
      </c>
      <c r="V313">
        <v>175</v>
      </c>
      <c r="W313">
        <v>2</v>
      </c>
      <c r="X313">
        <v>10</v>
      </c>
      <c r="Y313" t="str">
        <f t="shared" si="34"/>
        <v>180175205100.830.720.7600,000800,000600,000115215150</v>
      </c>
      <c r="Z313">
        <f t="shared" si="35"/>
        <v>1</v>
      </c>
      <c r="AA313" s="20">
        <v>14</v>
      </c>
      <c r="AB313" s="20">
        <v>74</v>
      </c>
      <c r="AC313" s="20">
        <v>14</v>
      </c>
      <c r="AD313" t="str">
        <f t="shared" si="36"/>
        <v>147414</v>
      </c>
      <c r="AE313">
        <f t="shared" si="37"/>
        <v>1</v>
      </c>
    </row>
    <row r="314" spans="1:31" x14ac:dyDescent="0.25">
      <c r="A314" t="s">
        <v>525</v>
      </c>
      <c r="B314" t="s">
        <v>524</v>
      </c>
      <c r="C314">
        <v>114203048</v>
      </c>
      <c r="D314" t="str">
        <f t="shared" si="31"/>
        <v>Yücebağ, Deniz-114203048</v>
      </c>
      <c r="E314">
        <v>76</v>
      </c>
      <c r="F314">
        <v>116</v>
      </c>
      <c r="G314">
        <v>7</v>
      </c>
      <c r="H314">
        <v>9</v>
      </c>
      <c r="I314" t="str">
        <f t="shared" si="32"/>
        <v>7611679</v>
      </c>
      <c r="J314">
        <f t="shared" si="33"/>
        <v>1</v>
      </c>
      <c r="K314">
        <v>140</v>
      </c>
      <c r="L314">
        <v>200</v>
      </c>
      <c r="M314">
        <v>140</v>
      </c>
      <c r="N314" t="s">
        <v>555</v>
      </c>
      <c r="O314" t="s">
        <v>557</v>
      </c>
      <c r="P314" t="s">
        <v>557</v>
      </c>
      <c r="Q314">
        <v>0.71</v>
      </c>
      <c r="R314">
        <v>0.7</v>
      </c>
      <c r="S314">
        <v>0.75</v>
      </c>
      <c r="T314">
        <v>250</v>
      </c>
      <c r="U314">
        <v>180</v>
      </c>
      <c r="V314">
        <v>275</v>
      </c>
      <c r="W314">
        <v>3</v>
      </c>
      <c r="X314">
        <v>15</v>
      </c>
      <c r="Y314" t="str">
        <f t="shared" si="34"/>
        <v>180275250150.750.70.71600,000600,000700,000140200140</v>
      </c>
      <c r="Z314">
        <f t="shared" si="35"/>
        <v>1</v>
      </c>
      <c r="AA314" s="20">
        <v>10</v>
      </c>
      <c r="AB314" s="20">
        <v>80</v>
      </c>
      <c r="AC314" s="20">
        <v>20</v>
      </c>
      <c r="AD314" t="str">
        <f t="shared" si="36"/>
        <v>108020</v>
      </c>
      <c r="AE314">
        <f t="shared" si="37"/>
        <v>1</v>
      </c>
    </row>
    <row r="315" spans="1:31" x14ac:dyDescent="0.25">
      <c r="A315" t="s">
        <v>527</v>
      </c>
      <c r="B315" t="s">
        <v>526</v>
      </c>
      <c r="C315">
        <v>116201132</v>
      </c>
      <c r="D315" t="str">
        <f t="shared" si="31"/>
        <v>Yücel, Necla-116201132</v>
      </c>
      <c r="E315">
        <v>80</v>
      </c>
      <c r="F315">
        <v>128</v>
      </c>
      <c r="G315">
        <v>8</v>
      </c>
      <c r="H315">
        <v>9</v>
      </c>
      <c r="I315" t="str">
        <f t="shared" si="32"/>
        <v>8012889</v>
      </c>
      <c r="J315">
        <f t="shared" si="33"/>
        <v>1</v>
      </c>
      <c r="K315">
        <v>105</v>
      </c>
      <c r="L315">
        <v>210</v>
      </c>
      <c r="M315">
        <v>150</v>
      </c>
      <c r="N315" t="s">
        <v>554</v>
      </c>
      <c r="O315" t="s">
        <v>555</v>
      </c>
      <c r="P315" t="s">
        <v>556</v>
      </c>
      <c r="Q315">
        <v>0.84</v>
      </c>
      <c r="R315">
        <v>0.77</v>
      </c>
      <c r="S315">
        <v>0.76</v>
      </c>
      <c r="T315">
        <v>245</v>
      </c>
      <c r="U315">
        <v>180</v>
      </c>
      <c r="V315">
        <v>250</v>
      </c>
      <c r="W315">
        <v>2</v>
      </c>
      <c r="X315">
        <v>10</v>
      </c>
      <c r="Y315" t="str">
        <f t="shared" si="34"/>
        <v>180250245100.760.770.84900,000700,000800,000150210105</v>
      </c>
      <c r="Z315">
        <f t="shared" si="35"/>
        <v>1</v>
      </c>
      <c r="AA315" s="20">
        <v>6</v>
      </c>
      <c r="AB315" s="20">
        <v>64</v>
      </c>
      <c r="AC315" s="20">
        <v>13</v>
      </c>
      <c r="AD315" t="str">
        <f t="shared" si="36"/>
        <v>66413</v>
      </c>
      <c r="AE315">
        <f t="shared" si="37"/>
        <v>1</v>
      </c>
    </row>
    <row r="316" spans="1:31" x14ac:dyDescent="0.25">
      <c r="A316" t="s">
        <v>294</v>
      </c>
      <c r="B316" t="s">
        <v>145</v>
      </c>
      <c r="C316">
        <v>114202010</v>
      </c>
      <c r="D316" t="str">
        <f t="shared" si="31"/>
        <v>Yukarıkozan, Mert-114202010</v>
      </c>
      <c r="E316">
        <v>79</v>
      </c>
      <c r="F316">
        <v>148</v>
      </c>
      <c r="G316">
        <v>8</v>
      </c>
      <c r="H316">
        <v>9</v>
      </c>
      <c r="I316" t="str">
        <f t="shared" si="32"/>
        <v>7914889</v>
      </c>
      <c r="J316">
        <f t="shared" si="33"/>
        <v>1</v>
      </c>
      <c r="K316">
        <v>145</v>
      </c>
      <c r="L316">
        <v>210</v>
      </c>
      <c r="M316">
        <v>150</v>
      </c>
      <c r="N316" t="s">
        <v>553</v>
      </c>
      <c r="O316" t="s">
        <v>553</v>
      </c>
      <c r="P316" t="s">
        <v>555</v>
      </c>
      <c r="Q316">
        <v>0.71</v>
      </c>
      <c r="R316">
        <v>0.85</v>
      </c>
      <c r="S316">
        <v>0.71</v>
      </c>
      <c r="T316">
        <v>175</v>
      </c>
      <c r="U316">
        <v>175</v>
      </c>
      <c r="V316">
        <v>270</v>
      </c>
      <c r="W316">
        <v>2</v>
      </c>
      <c r="X316">
        <v>10</v>
      </c>
      <c r="Y316" t="str">
        <f t="shared" si="34"/>
        <v>175270175100.710.850.71700,000500,000500,000150210145</v>
      </c>
      <c r="Z316">
        <f t="shared" si="35"/>
        <v>1</v>
      </c>
      <c r="AA316" s="20">
        <v>10</v>
      </c>
      <c r="AB316" s="20">
        <v>44</v>
      </c>
      <c r="AC316" s="20">
        <v>17</v>
      </c>
      <c r="AD316" t="str">
        <f t="shared" si="36"/>
        <v>104417</v>
      </c>
      <c r="AE316">
        <f t="shared" si="37"/>
        <v>1</v>
      </c>
    </row>
    <row r="317" spans="1:31" x14ac:dyDescent="0.25">
      <c r="A317" t="s">
        <v>529</v>
      </c>
      <c r="B317" t="s">
        <v>528</v>
      </c>
      <c r="C317">
        <v>114204038</v>
      </c>
      <c r="D317" t="str">
        <f t="shared" si="31"/>
        <v>Yüksektepe, Veysel-114204038</v>
      </c>
      <c r="E317">
        <v>81</v>
      </c>
      <c r="F317">
        <v>106</v>
      </c>
      <c r="G317">
        <v>8</v>
      </c>
      <c r="H317">
        <v>5</v>
      </c>
      <c r="I317" t="str">
        <f t="shared" si="32"/>
        <v>8110685</v>
      </c>
      <c r="J317">
        <f t="shared" si="33"/>
        <v>1</v>
      </c>
      <c r="K317">
        <v>120</v>
      </c>
      <c r="L317">
        <v>190</v>
      </c>
      <c r="M317">
        <v>105</v>
      </c>
      <c r="N317" t="s">
        <v>554</v>
      </c>
      <c r="O317" t="s">
        <v>555</v>
      </c>
      <c r="P317" t="s">
        <v>556</v>
      </c>
      <c r="Q317">
        <v>0.83</v>
      </c>
      <c r="R317">
        <v>0.8</v>
      </c>
      <c r="S317">
        <v>0.74</v>
      </c>
      <c r="T317">
        <v>250</v>
      </c>
      <c r="U317">
        <v>155</v>
      </c>
      <c r="V317">
        <v>255</v>
      </c>
      <c r="W317">
        <v>1</v>
      </c>
      <c r="X317">
        <v>8</v>
      </c>
      <c r="Y317" t="str">
        <f t="shared" si="34"/>
        <v>15525525080.740.80.83900,000700,000800,000105190120</v>
      </c>
      <c r="Z317">
        <f t="shared" si="35"/>
        <v>1</v>
      </c>
      <c r="AA317" s="20">
        <v>8</v>
      </c>
      <c r="AB317" s="20">
        <v>84</v>
      </c>
      <c r="AC317" s="20">
        <v>7</v>
      </c>
      <c r="AD317" t="str">
        <f t="shared" si="36"/>
        <v>8847</v>
      </c>
      <c r="AE317">
        <f t="shared" si="37"/>
        <v>1</v>
      </c>
    </row>
    <row r="318" spans="1:31" x14ac:dyDescent="0.25">
      <c r="A318" t="s">
        <v>523</v>
      </c>
      <c r="B318" t="s">
        <v>522</v>
      </c>
      <c r="C318">
        <v>112200073</v>
      </c>
      <c r="D318" t="str">
        <f t="shared" ref="D318:D321" si="38">A318&amp;", "&amp;B318&amp;"-"&amp;C318</f>
        <v>Yuvacı, Talha-112200073</v>
      </c>
      <c r="E318" s="20">
        <v>75</v>
      </c>
      <c r="F318" s="20">
        <v>147</v>
      </c>
      <c r="G318" s="20">
        <v>5</v>
      </c>
      <c r="H318" s="20">
        <v>9</v>
      </c>
      <c r="I318" s="20" t="str">
        <f t="shared" ref="I318:I321" si="39">E318&amp;F318&amp;G318&amp;H318</f>
        <v>7514759</v>
      </c>
      <c r="J318" s="20">
        <f t="shared" ref="J318:J321" si="40">COUNTIF($I$4:$I$317,I318)</f>
        <v>0</v>
      </c>
      <c r="K318" s="20">
        <v>150</v>
      </c>
      <c r="L318" s="20">
        <v>220</v>
      </c>
      <c r="M318" s="20">
        <v>100</v>
      </c>
      <c r="N318" s="20" t="s">
        <v>555</v>
      </c>
      <c r="O318" s="20" t="s">
        <v>556</v>
      </c>
      <c r="P318" s="20" t="s">
        <v>556</v>
      </c>
      <c r="Q318" s="20">
        <v>0.77</v>
      </c>
      <c r="R318" s="20">
        <v>0.75</v>
      </c>
      <c r="S318" s="20">
        <v>0.84</v>
      </c>
      <c r="T318" s="20">
        <v>230</v>
      </c>
      <c r="U318" s="20">
        <v>190</v>
      </c>
      <c r="V318" s="20">
        <v>240</v>
      </c>
      <c r="W318" s="20">
        <v>1</v>
      </c>
      <c r="X318" s="20">
        <v>8</v>
      </c>
      <c r="Y318" s="20" t="str">
        <f t="shared" ref="Y318" si="41">U318&amp;V318&amp;T318&amp;X318&amp;S318&amp;R318&amp;Q318&amp;P318&amp;O318&amp;N318&amp;M318&amp;L318&amp;K318</f>
        <v>19024023080.840.750.77900,000900,000700,000100220150</v>
      </c>
      <c r="Z318" s="20">
        <f t="shared" ref="Z318" si="42">COUNTIF($Y$4:$Y$317,Y318)</f>
        <v>0</v>
      </c>
      <c r="AA318" s="20">
        <v>9</v>
      </c>
      <c r="AB318" s="20">
        <v>34</v>
      </c>
      <c r="AC318" s="20">
        <v>8</v>
      </c>
      <c r="AD318" s="20" t="str">
        <f t="shared" ref="AD318" si="43">AA318&amp;AB318&amp;AC318</f>
        <v>9348</v>
      </c>
      <c r="AE318" s="20">
        <f t="shared" ref="AE318" si="44">COUNTIF($AD$4:$AD$317,AD318)</f>
        <v>0</v>
      </c>
    </row>
    <row r="319" spans="1:31" x14ac:dyDescent="0.25">
      <c r="A319" t="s">
        <v>295</v>
      </c>
      <c r="B319" t="s">
        <v>231</v>
      </c>
      <c r="C319">
        <v>11495088</v>
      </c>
      <c r="D319" t="str">
        <f t="shared" si="38"/>
        <v>Zengi, Kaan-11495088</v>
      </c>
      <c r="E319" s="20">
        <v>71</v>
      </c>
      <c r="F319" s="20">
        <v>127</v>
      </c>
      <c r="G319" s="20">
        <v>6</v>
      </c>
      <c r="H319" s="20">
        <v>5</v>
      </c>
      <c r="I319" s="20" t="str">
        <f t="shared" si="39"/>
        <v>7112765</v>
      </c>
      <c r="J319" s="20">
        <f t="shared" si="40"/>
        <v>0</v>
      </c>
      <c r="K319" s="20">
        <v>140</v>
      </c>
      <c r="L319" s="20">
        <v>165</v>
      </c>
      <c r="M319" s="20">
        <v>140</v>
      </c>
      <c r="N319" s="20" t="s">
        <v>553</v>
      </c>
      <c r="O319" s="20" t="s">
        <v>554</v>
      </c>
      <c r="P319" s="20" t="s">
        <v>556</v>
      </c>
      <c r="Q319" s="20">
        <v>0.74</v>
      </c>
      <c r="R319" s="20">
        <v>0.72</v>
      </c>
      <c r="S319" s="20">
        <v>0.72</v>
      </c>
      <c r="T319" s="20">
        <v>215</v>
      </c>
      <c r="U319" s="20">
        <v>130</v>
      </c>
      <c r="V319" s="20">
        <v>275</v>
      </c>
      <c r="W319" s="20">
        <v>3</v>
      </c>
      <c r="X319" s="20">
        <v>15</v>
      </c>
      <c r="Y319" s="20" t="str">
        <f t="shared" ref="Y319:Y321" si="45">U319&amp;V319&amp;T319&amp;X319&amp;S319&amp;R319&amp;Q319&amp;P319&amp;O319&amp;N319&amp;M319&amp;L319&amp;K319</f>
        <v>130275215150.720.720.74900,000800,000500,000140165140</v>
      </c>
      <c r="Z319" s="20">
        <f t="shared" ref="Z319:Z321" si="46">COUNTIF($Y$4:$Y$317,Y319)</f>
        <v>0</v>
      </c>
      <c r="AA319" s="20">
        <v>12</v>
      </c>
      <c r="AB319" s="20">
        <v>65</v>
      </c>
      <c r="AC319" s="20">
        <v>24</v>
      </c>
      <c r="AD319" s="20" t="str">
        <f t="shared" ref="AD319:AD321" si="47">AA319&amp;AB319&amp;AC319</f>
        <v>126524</v>
      </c>
      <c r="AE319" s="20">
        <f t="shared" ref="AE319:AE321" si="48">COUNTIF($AD$4:$AD$317,AD319)</f>
        <v>0</v>
      </c>
    </row>
    <row r="320" spans="1:31" x14ac:dyDescent="0.25">
      <c r="A320" t="s">
        <v>297</v>
      </c>
      <c r="B320" t="s">
        <v>296</v>
      </c>
      <c r="C320">
        <v>113204034</v>
      </c>
      <c r="D320" t="str">
        <f t="shared" si="38"/>
        <v>Zeper, Seyfi Tunç-113204034</v>
      </c>
      <c r="E320" s="20">
        <v>90</v>
      </c>
      <c r="F320" s="20">
        <v>150</v>
      </c>
      <c r="G320" s="20">
        <v>8</v>
      </c>
      <c r="H320" s="20">
        <v>7</v>
      </c>
      <c r="I320" s="20" t="str">
        <f t="shared" si="39"/>
        <v>9015087</v>
      </c>
      <c r="J320" s="20">
        <f t="shared" si="40"/>
        <v>0</v>
      </c>
      <c r="K320" s="20">
        <v>135</v>
      </c>
      <c r="L320" s="20">
        <v>215</v>
      </c>
      <c r="M320" s="20">
        <v>150</v>
      </c>
      <c r="N320" s="20" t="s">
        <v>554</v>
      </c>
      <c r="O320" s="20" t="s">
        <v>553</v>
      </c>
      <c r="P320" s="20" t="s">
        <v>556</v>
      </c>
      <c r="Q320" s="20">
        <v>0.71</v>
      </c>
      <c r="R320" s="20">
        <v>0.73</v>
      </c>
      <c r="S320" s="20">
        <v>0.79</v>
      </c>
      <c r="T320" s="20">
        <v>195</v>
      </c>
      <c r="U320" s="20">
        <v>185</v>
      </c>
      <c r="V320" s="20">
        <v>255</v>
      </c>
      <c r="W320" s="20">
        <v>2</v>
      </c>
      <c r="X320" s="20">
        <v>10</v>
      </c>
      <c r="Y320" s="20" t="str">
        <f t="shared" si="45"/>
        <v>185255195100.790.730.71900,000500,000800,000150215135</v>
      </c>
      <c r="Z320" s="20">
        <f t="shared" si="46"/>
        <v>0</v>
      </c>
      <c r="AA320" s="20">
        <v>6</v>
      </c>
      <c r="AB320" s="20">
        <v>39</v>
      </c>
      <c r="AC320" s="20">
        <v>21</v>
      </c>
      <c r="AD320" s="20" t="str">
        <f t="shared" si="47"/>
        <v>63921</v>
      </c>
      <c r="AE320" s="20">
        <f t="shared" si="48"/>
        <v>0</v>
      </c>
    </row>
    <row r="321" spans="1:31" x14ac:dyDescent="0.25">
      <c r="A321" t="s">
        <v>530</v>
      </c>
      <c r="B321" t="s">
        <v>383</v>
      </c>
      <c r="C321">
        <v>114203021</v>
      </c>
      <c r="D321" t="str">
        <f t="shared" si="38"/>
        <v>Ziylan, Sena-114203021</v>
      </c>
      <c r="E321" s="20">
        <v>78</v>
      </c>
      <c r="F321" s="20">
        <v>107</v>
      </c>
      <c r="G321" s="20">
        <v>7</v>
      </c>
      <c r="H321" s="20">
        <v>6</v>
      </c>
      <c r="I321" s="20" t="str">
        <f t="shared" si="39"/>
        <v>7810776</v>
      </c>
      <c r="J321" s="20">
        <f t="shared" si="40"/>
        <v>0</v>
      </c>
      <c r="K321" s="20">
        <v>140</v>
      </c>
      <c r="L321" s="20">
        <v>160</v>
      </c>
      <c r="M321" s="20">
        <v>115</v>
      </c>
      <c r="N321" s="20" t="s">
        <v>554</v>
      </c>
      <c r="O321" s="20" t="s">
        <v>556</v>
      </c>
      <c r="P321" s="20" t="s">
        <v>555</v>
      </c>
      <c r="Q321" s="20">
        <v>0.73</v>
      </c>
      <c r="R321" s="20">
        <v>0.79</v>
      </c>
      <c r="S321" s="20">
        <v>0.73</v>
      </c>
      <c r="T321" s="20">
        <v>280</v>
      </c>
      <c r="U321" s="20">
        <v>140</v>
      </c>
      <c r="V321" s="20">
        <v>225</v>
      </c>
      <c r="W321" s="20">
        <v>1</v>
      </c>
      <c r="X321" s="20">
        <v>8</v>
      </c>
      <c r="Y321" s="20" t="str">
        <f t="shared" si="45"/>
        <v>14022528080.730.790.73700,000900,000800,000115160140</v>
      </c>
      <c r="Z321" s="20">
        <f t="shared" si="46"/>
        <v>0</v>
      </c>
      <c r="AA321" s="20">
        <v>13</v>
      </c>
      <c r="AB321" s="20">
        <v>35</v>
      </c>
      <c r="AC321" s="20">
        <v>22</v>
      </c>
      <c r="AD321" s="20" t="str">
        <f t="shared" si="47"/>
        <v>133522</v>
      </c>
      <c r="AE321" s="20">
        <f t="shared" si="48"/>
        <v>0</v>
      </c>
    </row>
  </sheetData>
  <sheetProtection algorithmName="SHA-512" hashValue="/cAUkDabra9wsBmvRUzwI8uG7Jv96dpT6dxVuOzCm6RlXWPgSs7Sof6n4khf2Zw/tUcl1mOomlD2ithgcCtC4g==" saltValue="2UloiRX5DDF4LEA6yzMlQg==" spinCount="100000" sheet="1" objects="1" scenarios="1"/>
  <mergeCells count="9">
    <mergeCell ref="AA1:AG1"/>
    <mergeCell ref="AD2:AE2"/>
    <mergeCell ref="AD3:AE3"/>
    <mergeCell ref="I2:J2"/>
    <mergeCell ref="I3:J3"/>
    <mergeCell ref="E1:J1"/>
    <mergeCell ref="Y2:Z2"/>
    <mergeCell ref="Y3:Z3"/>
    <mergeCell ref="K1:Z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Question</vt:lpstr>
      <vt:lpstr>Question!Print_Area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ummanmahir</dc:creator>
  <cp:lastModifiedBy>Umman Mahir Yildirim</cp:lastModifiedBy>
  <cp:lastPrinted>2017-10-13T05:41:35Z</cp:lastPrinted>
  <dcterms:created xsi:type="dcterms:W3CDTF">2016-10-14T13:49:02Z</dcterms:created>
  <dcterms:modified xsi:type="dcterms:W3CDTF">2017-10-26T12:15:44Z</dcterms:modified>
</cp:coreProperties>
</file>