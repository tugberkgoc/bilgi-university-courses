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Derslerim\2.sınıf\IE260\assignments\"/>
    </mc:Choice>
  </mc:AlternateContent>
  <workbookProtection workbookAlgorithmName="SHA-512" workbookHashValue="UzlHoNqHHH1CR3VtSbUXmv8+gBR2fY2TKXQV4ag6STzc+/EzGbxWWFSoj0NSsM4/eQ5on+plxybUEYmKY2A6sw==" workbookSaltValue="XqIRTebdALGdTC1E5W6cqA==" workbookSpinCount="100000" lockStructure="1"/>
  <bookViews>
    <workbookView xWindow="0" yWindow="0" windowWidth="23040" windowHeight="9195"/>
  </bookViews>
  <sheets>
    <sheet name="Question" sheetId="2" r:id="rId1"/>
    <sheet name="Data" sheetId="7" state="veryHidden" r:id="rId2"/>
  </sheets>
  <definedNames>
    <definedName name="_xlnm.Print_Area" localSheetId="1">Data!$AC:$CV</definedName>
    <definedName name="_xlnm.Print_Area" localSheetId="0">Question!$A$1:$AF$46</definedName>
    <definedName name="_xlnm.Print_Titles" localSheetId="1">Data!#REF!,Data!$1:$4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6" i="7" l="1"/>
  <c r="AK2" i="7" l="1"/>
  <c r="AJ2" i="7"/>
  <c r="AB2" i="7"/>
  <c r="AC2" i="7" s="1"/>
  <c r="AD2" i="7" s="1"/>
  <c r="AE2" i="7" s="1"/>
  <c r="AI2" i="7" s="1"/>
  <c r="T2" i="7"/>
  <c r="U2" i="7" s="1"/>
  <c r="AF2" i="7" l="1"/>
  <c r="AH2" i="7"/>
  <c r="AG2" i="7"/>
  <c r="E2" i="7" l="1"/>
  <c r="F2" i="7"/>
  <c r="G2" i="7" s="1"/>
  <c r="A2" i="2" l="1"/>
  <c r="D322" i="7"/>
  <c r="D321" i="7"/>
  <c r="D320" i="7"/>
  <c r="D319" i="7"/>
  <c r="D318" i="7"/>
  <c r="D317" i="7"/>
  <c r="D316" i="7"/>
  <c r="D315" i="7"/>
  <c r="D314" i="7"/>
  <c r="D313" i="7"/>
  <c r="D312" i="7"/>
  <c r="D311" i="7"/>
  <c r="D310" i="7"/>
  <c r="D309" i="7"/>
  <c r="D308" i="7"/>
  <c r="D307" i="7"/>
  <c r="D306" i="7"/>
  <c r="D305" i="7"/>
  <c r="D304" i="7"/>
  <c r="D303" i="7"/>
  <c r="D302" i="7"/>
  <c r="D301" i="7"/>
  <c r="D300" i="7"/>
  <c r="D299" i="7"/>
  <c r="D298" i="7"/>
  <c r="D297" i="7"/>
  <c r="D296" i="7"/>
  <c r="D295" i="7"/>
  <c r="D294" i="7"/>
  <c r="D293" i="7"/>
  <c r="D292" i="7"/>
  <c r="D291" i="7"/>
  <c r="D290" i="7"/>
  <c r="D289" i="7"/>
  <c r="D288" i="7"/>
  <c r="D287" i="7"/>
  <c r="D286" i="7"/>
  <c r="D285" i="7"/>
  <c r="D284" i="7"/>
  <c r="D283" i="7"/>
  <c r="D282" i="7"/>
  <c r="D281" i="7"/>
  <c r="D280" i="7"/>
  <c r="D279" i="7"/>
  <c r="D278" i="7"/>
  <c r="D277" i="7"/>
  <c r="D276" i="7"/>
  <c r="D275" i="7"/>
  <c r="D274" i="7"/>
  <c r="D273" i="7"/>
  <c r="D272" i="7"/>
  <c r="D271" i="7"/>
  <c r="D270" i="7"/>
  <c r="D269" i="7"/>
  <c r="D268" i="7"/>
  <c r="D267" i="7"/>
  <c r="D266" i="7"/>
  <c r="D265" i="7"/>
  <c r="D264" i="7"/>
  <c r="D263" i="7"/>
  <c r="D262" i="7"/>
  <c r="D261" i="7"/>
  <c r="D260" i="7"/>
  <c r="D259" i="7"/>
  <c r="D258" i="7"/>
  <c r="D257" i="7"/>
  <c r="D256" i="7"/>
  <c r="D255" i="7"/>
  <c r="D254" i="7"/>
  <c r="D253" i="7"/>
  <c r="D252" i="7"/>
  <c r="D251" i="7"/>
  <c r="D250" i="7"/>
  <c r="D249" i="7"/>
  <c r="D248" i="7"/>
  <c r="D247" i="7"/>
  <c r="D245" i="7"/>
  <c r="D244" i="7"/>
  <c r="D243" i="7"/>
  <c r="D242" i="7"/>
  <c r="D241" i="7"/>
  <c r="D240" i="7"/>
  <c r="D239" i="7"/>
  <c r="D238" i="7"/>
  <c r="D237" i="7"/>
  <c r="D236" i="7"/>
  <c r="D235" i="7"/>
  <c r="D234" i="7"/>
  <c r="D233" i="7"/>
  <c r="D232" i="7"/>
  <c r="D231" i="7"/>
  <c r="D230" i="7"/>
  <c r="D229" i="7"/>
  <c r="D228" i="7"/>
  <c r="D227" i="7"/>
  <c r="D226" i="7"/>
  <c r="D225" i="7"/>
  <c r="D224" i="7"/>
  <c r="D223" i="7"/>
  <c r="D222" i="7"/>
  <c r="D221" i="7"/>
  <c r="D220" i="7"/>
  <c r="D219" i="7"/>
  <c r="D218" i="7"/>
  <c r="D217" i="7"/>
  <c r="D216" i="7"/>
  <c r="D215" i="7"/>
  <c r="D214" i="7"/>
  <c r="D213" i="7"/>
  <c r="D212" i="7"/>
  <c r="D211" i="7"/>
  <c r="D210" i="7"/>
  <c r="D209" i="7"/>
  <c r="D208" i="7"/>
  <c r="D207" i="7"/>
  <c r="D206" i="7"/>
  <c r="D205" i="7"/>
  <c r="D204" i="7"/>
  <c r="D203" i="7"/>
  <c r="D202" i="7"/>
  <c r="D201" i="7"/>
  <c r="D200" i="7"/>
  <c r="D199" i="7"/>
  <c r="D198" i="7"/>
  <c r="D197" i="7"/>
  <c r="D196" i="7"/>
  <c r="D195" i="7"/>
  <c r="D194" i="7"/>
  <c r="D193" i="7"/>
  <c r="D192" i="7"/>
  <c r="D191" i="7"/>
  <c r="D190" i="7"/>
  <c r="D189" i="7"/>
  <c r="D188" i="7"/>
  <c r="D187" i="7"/>
  <c r="D186" i="7"/>
  <c r="D185" i="7"/>
  <c r="D184" i="7"/>
  <c r="D183" i="7"/>
  <c r="D182" i="7"/>
  <c r="D181" i="7"/>
  <c r="D180" i="7"/>
  <c r="D179" i="7"/>
  <c r="D178" i="7"/>
  <c r="D177" i="7"/>
  <c r="D176" i="7"/>
  <c r="D175" i="7"/>
  <c r="D174" i="7"/>
  <c r="D173" i="7"/>
  <c r="D172" i="7"/>
  <c r="D171" i="7"/>
  <c r="D170" i="7"/>
  <c r="D169" i="7"/>
  <c r="D168" i="7"/>
  <c r="D167" i="7"/>
  <c r="D166" i="7"/>
  <c r="D165" i="7"/>
  <c r="D164" i="7"/>
  <c r="D163" i="7"/>
  <c r="D162" i="7"/>
  <c r="D161" i="7"/>
  <c r="D160" i="7"/>
  <c r="D159" i="7"/>
  <c r="D158" i="7"/>
  <c r="D157" i="7"/>
  <c r="D156" i="7"/>
  <c r="D155" i="7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33" i="7"/>
  <c r="D132" i="7"/>
  <c r="D131" i="7"/>
  <c r="D130" i="7"/>
  <c r="D129" i="7"/>
  <c r="D128" i="7"/>
  <c r="D127" i="7"/>
  <c r="D126" i="7"/>
  <c r="D125" i="7"/>
  <c r="D124" i="7"/>
  <c r="D123" i="7"/>
  <c r="D122" i="7"/>
  <c r="D121" i="7"/>
  <c r="D120" i="7"/>
  <c r="D119" i="7"/>
  <c r="D118" i="7"/>
  <c r="D117" i="7"/>
  <c r="D116" i="7"/>
  <c r="D115" i="7"/>
  <c r="D114" i="7"/>
  <c r="D113" i="7"/>
  <c r="D112" i="7"/>
  <c r="D111" i="7"/>
  <c r="D110" i="7"/>
  <c r="D109" i="7"/>
  <c r="D108" i="7"/>
  <c r="D107" i="7"/>
  <c r="D106" i="7"/>
  <c r="D105" i="7"/>
  <c r="D104" i="7"/>
  <c r="D103" i="7"/>
  <c r="D102" i="7"/>
  <c r="D101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A1" i="7"/>
  <c r="T35" i="2" l="1"/>
  <c r="I35" i="2"/>
  <c r="C37" i="2"/>
  <c r="T32" i="2"/>
  <c r="I32" i="2"/>
  <c r="T34" i="2"/>
  <c r="I34" i="2"/>
  <c r="T33" i="2"/>
  <c r="I33" i="2"/>
  <c r="S44" i="2"/>
  <c r="AC37" i="2"/>
  <c r="B18" i="2"/>
  <c r="Q41" i="2"/>
  <c r="I30" i="2"/>
  <c r="I42" i="2"/>
  <c r="B41" i="2"/>
  <c r="B35" i="2"/>
  <c r="B29" i="2"/>
  <c r="AB19" i="2"/>
  <c r="B32" i="2"/>
  <c r="P41" i="2"/>
  <c r="B27" i="2"/>
  <c r="T29" i="2"/>
  <c r="B7" i="2"/>
  <c r="B34" i="2"/>
  <c r="AB16" i="2"/>
  <c r="C41" i="2"/>
  <c r="W42" i="2"/>
  <c r="C44" i="2"/>
  <c r="I29" i="2"/>
  <c r="B33" i="2"/>
  <c r="A27" i="2"/>
  <c r="B44" i="2"/>
  <c r="B37" i="2"/>
  <c r="B13" i="2"/>
  <c r="T30" i="2"/>
  <c r="B4" i="2"/>
  <c r="M11" i="2"/>
  <c r="M10" i="2"/>
  <c r="I10" i="2"/>
  <c r="U11" i="2"/>
  <c r="I11" i="2"/>
  <c r="Q10" i="2"/>
  <c r="U10" i="2"/>
  <c r="Q11" i="2"/>
  <c r="BO111" i="7"/>
  <c r="BO99" i="7"/>
  <c r="AY60" i="7"/>
  <c r="BO126" i="7"/>
  <c r="AY102" i="7"/>
  <c r="AY94" i="7"/>
  <c r="CF69" i="7"/>
  <c r="CF61" i="7"/>
  <c r="BO51" i="7"/>
  <c r="AX44" i="7"/>
  <c r="AX35" i="7"/>
  <c r="AX65" i="7"/>
  <c r="BO61" i="7"/>
  <c r="AX59" i="7"/>
  <c r="AX58" i="7"/>
  <c r="BO57" i="7"/>
  <c r="BO53" i="7"/>
  <c r="AX51" i="7"/>
  <c r="BO50" i="7"/>
  <c r="BO49" i="7"/>
  <c r="CF38" i="7"/>
  <c r="BO42" i="7"/>
  <c r="CF28" i="7"/>
  <c r="BO25" i="7"/>
  <c r="BO24" i="7"/>
  <c r="CF23" i="7"/>
  <c r="BD6" i="7"/>
  <c r="BU6" i="7"/>
  <c r="CL6" i="7"/>
  <c r="BD7" i="7"/>
  <c r="BU7" i="7"/>
  <c r="CL7" i="7"/>
  <c r="BD8" i="7"/>
  <c r="BU8" i="7"/>
  <c r="CL8" i="7"/>
  <c r="BD9" i="7"/>
  <c r="BU9" i="7"/>
  <c r="CL9" i="7"/>
  <c r="BD10" i="7"/>
  <c r="BU10" i="7"/>
  <c r="CL10" i="7"/>
  <c r="BD11" i="7"/>
  <c r="BU11" i="7"/>
  <c r="CL11" i="7"/>
  <c r="BD12" i="7"/>
  <c r="BU12" i="7"/>
  <c r="CL12" i="7"/>
  <c r="BD13" i="7"/>
  <c r="BU13" i="7"/>
  <c r="CL13" i="7"/>
  <c r="BD14" i="7"/>
  <c r="BU14" i="7"/>
  <c r="CL14" i="7"/>
  <c r="BD15" i="7"/>
  <c r="BU15" i="7"/>
  <c r="CL15" i="7"/>
  <c r="BD16" i="7"/>
  <c r="BU16" i="7"/>
  <c r="CL16" i="7"/>
  <c r="BD17" i="7"/>
  <c r="BU17" i="7"/>
  <c r="CL17" i="7"/>
  <c r="BD18" i="7"/>
  <c r="BU18" i="7"/>
  <c r="CL18" i="7"/>
  <c r="BD19" i="7"/>
  <c r="BU19" i="7"/>
  <c r="CL19" i="7"/>
  <c r="BD20" i="7"/>
  <c r="BU20" i="7"/>
  <c r="CL20" i="7"/>
  <c r="BD21" i="7"/>
  <c r="BL21" i="7" s="1"/>
  <c r="BU21" i="7"/>
  <c r="CC21" i="7" s="1"/>
  <c r="CL21" i="7"/>
  <c r="CT21" i="7" s="1"/>
  <c r="BD22" i="7"/>
  <c r="BU22" i="7"/>
  <c r="CL22" i="7"/>
  <c r="AY23" i="7"/>
  <c r="BD23" i="7"/>
  <c r="BU23" i="7"/>
  <c r="CL23" i="7"/>
  <c r="AY24" i="7"/>
  <c r="BD24" i="7"/>
  <c r="BU24" i="7"/>
  <c r="CF24" i="7"/>
  <c r="CL24" i="7"/>
  <c r="BD25" i="7"/>
  <c r="BU25" i="7"/>
  <c r="CL25" i="7"/>
  <c r="BD26" i="7"/>
  <c r="BU26" i="7"/>
  <c r="CL26" i="7"/>
  <c r="AX27" i="7"/>
  <c r="BD27" i="7"/>
  <c r="BU27" i="7"/>
  <c r="CL27" i="7"/>
  <c r="AY28" i="7"/>
  <c r="BD28" i="7"/>
  <c r="BU28" i="7"/>
  <c r="CL28" i="7"/>
  <c r="BD29" i="7"/>
  <c r="BU29" i="7"/>
  <c r="CL29" i="7"/>
  <c r="BD30" i="7"/>
  <c r="BO30" i="7"/>
  <c r="BU30" i="7"/>
  <c r="CL30" i="7"/>
  <c r="BD31" i="7"/>
  <c r="BU31" i="7"/>
  <c r="CL31" i="7"/>
  <c r="BD32" i="7"/>
  <c r="BU32" i="7"/>
  <c r="CL32" i="7"/>
  <c r="BD33" i="7"/>
  <c r="BU33" i="7"/>
  <c r="CL33" i="7"/>
  <c r="CT33" i="7" s="1"/>
  <c r="BD34" i="7"/>
  <c r="BU34" i="7"/>
  <c r="CL34" i="7"/>
  <c r="BD35" i="7"/>
  <c r="BU35" i="7"/>
  <c r="CL35" i="7"/>
  <c r="BD36" i="7"/>
  <c r="BU36" i="7"/>
  <c r="CF36" i="7"/>
  <c r="CL36" i="7"/>
  <c r="BD37" i="7"/>
  <c r="BU37" i="7"/>
  <c r="CL37" i="7"/>
  <c r="BD38" i="7"/>
  <c r="BU38" i="7"/>
  <c r="CL38" i="7"/>
  <c r="BD39" i="7"/>
  <c r="BU39" i="7"/>
  <c r="CL39" i="7"/>
  <c r="AY40" i="7"/>
  <c r="BD40" i="7"/>
  <c r="BU40" i="7"/>
  <c r="CF40" i="7"/>
  <c r="CL40" i="7"/>
  <c r="BD41" i="7"/>
  <c r="BU41" i="7"/>
  <c r="CL41" i="7"/>
  <c r="BD42" i="7"/>
  <c r="BU42" i="7"/>
  <c r="CL42" i="7"/>
  <c r="BD43" i="7"/>
  <c r="BU43" i="7"/>
  <c r="CL43" i="7"/>
  <c r="BD44" i="7"/>
  <c r="BU44" i="7"/>
  <c r="CL44" i="7"/>
  <c r="BD45" i="7"/>
  <c r="BU45" i="7"/>
  <c r="CC45" i="7" s="1"/>
  <c r="CF45" i="7"/>
  <c r="CL45" i="7"/>
  <c r="CT45" i="7" s="1"/>
  <c r="BD46" i="7"/>
  <c r="BU46" i="7"/>
  <c r="CL46" i="7"/>
  <c r="BD47" i="7"/>
  <c r="BL47" i="7" s="1"/>
  <c r="BU47" i="7"/>
  <c r="CC47" i="7" s="1"/>
  <c r="CL47" i="7"/>
  <c r="CT47" i="7" s="1"/>
  <c r="BD48" i="7"/>
  <c r="BO48" i="7"/>
  <c r="BU48" i="7"/>
  <c r="CL48" i="7"/>
  <c r="AY49" i="7"/>
  <c r="BD49" i="7"/>
  <c r="BU49" i="7"/>
  <c r="CF49" i="7"/>
  <c r="CL49" i="7"/>
  <c r="BD50" i="7"/>
  <c r="BU50" i="7"/>
  <c r="CL50" i="7"/>
  <c r="BD51" i="7"/>
  <c r="BU51" i="7"/>
  <c r="CL51" i="7"/>
  <c r="AX52" i="7"/>
  <c r="BD52" i="7"/>
  <c r="BU52" i="7"/>
  <c r="CL52" i="7"/>
  <c r="AY53" i="7"/>
  <c r="BD53" i="7"/>
  <c r="BU53" i="7"/>
  <c r="CF53" i="7"/>
  <c r="CL53" i="7"/>
  <c r="BD54" i="7"/>
  <c r="BO54" i="7"/>
  <c r="BU54" i="7"/>
  <c r="CL54" i="7"/>
  <c r="BD55" i="7"/>
  <c r="BU55" i="7"/>
  <c r="CL55" i="7"/>
  <c r="AX56" i="7"/>
  <c r="BD56" i="7"/>
  <c r="BU56" i="7"/>
  <c r="CL56" i="7"/>
  <c r="AY57" i="7"/>
  <c r="BD57" i="7"/>
  <c r="BU57" i="7"/>
  <c r="CF57" i="7"/>
  <c r="CL57" i="7"/>
  <c r="BD58" i="7"/>
  <c r="BU58" i="7"/>
  <c r="CL58" i="7"/>
  <c r="BD59" i="7"/>
  <c r="BO59" i="7"/>
  <c r="BU59" i="7"/>
  <c r="CL59" i="7"/>
  <c r="BD60" i="7"/>
  <c r="BU60" i="7"/>
  <c r="CF60" i="7"/>
  <c r="CL60" i="7"/>
  <c r="AY61" i="7"/>
  <c r="BD61" i="7"/>
  <c r="BU61" i="7"/>
  <c r="CL61" i="7"/>
  <c r="BD62" i="7"/>
  <c r="BU62" i="7"/>
  <c r="CL62" i="7"/>
  <c r="BD63" i="7"/>
  <c r="BU63" i="7"/>
  <c r="CL63" i="7"/>
  <c r="BD64" i="7"/>
  <c r="BU64" i="7"/>
  <c r="CL64" i="7"/>
  <c r="BD65" i="7"/>
  <c r="BO65" i="7"/>
  <c r="BU65" i="7"/>
  <c r="CL65" i="7"/>
  <c r="CT65" i="7" s="1"/>
  <c r="BD66" i="7"/>
  <c r="BO66" i="7"/>
  <c r="BU66" i="7"/>
  <c r="CL66" i="7"/>
  <c r="BD67" i="7"/>
  <c r="BU67" i="7"/>
  <c r="CL67" i="7"/>
  <c r="BD68" i="7"/>
  <c r="BU68" i="7"/>
  <c r="CL68" i="7"/>
  <c r="BD69" i="7"/>
  <c r="BU69" i="7"/>
  <c r="CL69" i="7"/>
  <c r="AX70" i="7"/>
  <c r="AY70" i="7"/>
  <c r="BD70" i="7"/>
  <c r="BO70" i="7"/>
  <c r="BU70" i="7"/>
  <c r="CF70" i="7"/>
  <c r="CL70" i="7"/>
  <c r="BD71" i="7"/>
  <c r="BO71" i="7"/>
  <c r="BU71" i="7"/>
  <c r="CL71" i="7"/>
  <c r="BD72" i="7"/>
  <c r="BL72" i="7" s="1"/>
  <c r="BU72" i="7"/>
  <c r="CL72" i="7"/>
  <c r="AY73" i="7"/>
  <c r="BD73" i="7"/>
  <c r="BU73" i="7"/>
  <c r="CF73" i="7"/>
  <c r="CL73" i="7"/>
  <c r="BD74" i="7"/>
  <c r="BU74" i="7"/>
  <c r="CL74" i="7"/>
  <c r="BD75" i="7"/>
  <c r="BO75" i="7"/>
  <c r="BU75" i="7"/>
  <c r="CL75" i="7"/>
  <c r="BD76" i="7"/>
  <c r="BO76" i="7"/>
  <c r="BU76" i="7"/>
  <c r="CL76" i="7"/>
  <c r="AY77" i="7"/>
  <c r="BD77" i="7"/>
  <c r="BU77" i="7"/>
  <c r="CF77" i="7"/>
  <c r="CL77" i="7"/>
  <c r="AX78" i="7"/>
  <c r="AY78" i="7"/>
  <c r="BD78" i="7"/>
  <c r="BO78" i="7"/>
  <c r="BU78" i="7"/>
  <c r="CF78" i="7"/>
  <c r="CL78" i="7"/>
  <c r="BD79" i="7"/>
  <c r="BU79" i="7"/>
  <c r="CL79" i="7"/>
  <c r="AX80" i="7"/>
  <c r="BD80" i="7"/>
  <c r="BU80" i="7"/>
  <c r="CL80" i="7"/>
  <c r="AY81" i="7"/>
  <c r="BD81" i="7"/>
  <c r="BU81" i="7"/>
  <c r="CF81" i="7"/>
  <c r="CL81" i="7"/>
  <c r="BD82" i="7"/>
  <c r="BU82" i="7"/>
  <c r="CL82" i="7"/>
  <c r="BD83" i="7"/>
  <c r="BU83" i="7"/>
  <c r="CL83" i="7"/>
  <c r="BD84" i="7"/>
  <c r="BU84" i="7"/>
  <c r="CL84" i="7"/>
  <c r="BD85" i="7"/>
  <c r="BU85" i="7"/>
  <c r="CL85" i="7"/>
  <c r="BD86" i="7"/>
  <c r="BO86" i="7"/>
  <c r="BU86" i="7"/>
  <c r="CL86" i="7"/>
  <c r="AY87" i="7"/>
  <c r="BD87" i="7"/>
  <c r="BU87" i="7"/>
  <c r="CL87" i="7"/>
  <c r="BD88" i="7"/>
  <c r="BU88" i="7"/>
  <c r="CL88" i="7"/>
  <c r="BD89" i="7"/>
  <c r="BO89" i="7"/>
  <c r="BU89" i="7"/>
  <c r="CL89" i="7"/>
  <c r="AX90" i="7"/>
  <c r="BD90" i="7"/>
  <c r="BU90" i="7"/>
  <c r="CL90" i="7"/>
  <c r="AY91" i="7"/>
  <c r="BD91" i="7"/>
  <c r="BU91" i="7"/>
  <c r="CF91" i="7"/>
  <c r="CL91" i="7"/>
  <c r="AX92" i="7"/>
  <c r="AY92" i="7"/>
  <c r="BD92" i="7"/>
  <c r="BO92" i="7"/>
  <c r="BU92" i="7"/>
  <c r="CF92" i="7"/>
  <c r="CL92" i="7"/>
  <c r="BD93" i="7"/>
  <c r="BU93" i="7"/>
  <c r="CL93" i="7"/>
  <c r="BD94" i="7"/>
  <c r="BU94" i="7"/>
  <c r="CL94" i="7"/>
  <c r="AX95" i="7"/>
  <c r="BD95" i="7"/>
  <c r="BU95" i="7"/>
  <c r="CL95" i="7"/>
  <c r="AY96" i="7"/>
  <c r="BD96" i="7"/>
  <c r="BU96" i="7"/>
  <c r="CF96" i="7"/>
  <c r="CL96" i="7"/>
  <c r="BD97" i="7"/>
  <c r="BO97" i="7"/>
  <c r="BU97" i="7"/>
  <c r="CL97" i="7"/>
  <c r="BD98" i="7"/>
  <c r="BU98" i="7"/>
  <c r="CL98" i="7"/>
  <c r="AX99" i="7"/>
  <c r="AY99" i="7"/>
  <c r="BD99" i="7"/>
  <c r="BU99" i="7"/>
  <c r="CF99" i="7"/>
  <c r="CL99" i="7"/>
  <c r="BD100" i="7"/>
  <c r="BU100" i="7"/>
  <c r="CL100" i="7"/>
  <c r="AX101" i="7"/>
  <c r="BD101" i="7"/>
  <c r="BU101" i="7"/>
  <c r="CL101" i="7"/>
  <c r="BD102" i="7"/>
  <c r="BU102" i="7"/>
  <c r="CL102" i="7"/>
  <c r="AY103" i="7"/>
  <c r="BD103" i="7"/>
  <c r="BU103" i="7"/>
  <c r="CF103" i="7"/>
  <c r="CL103" i="7"/>
  <c r="BD104" i="7"/>
  <c r="BU104" i="7"/>
  <c r="CL104" i="7"/>
  <c r="AY105" i="7"/>
  <c r="BD105" i="7"/>
  <c r="BU105" i="7"/>
  <c r="CF105" i="7"/>
  <c r="CL105" i="7"/>
  <c r="BD106" i="7"/>
  <c r="BU106" i="7"/>
  <c r="CL106" i="7"/>
  <c r="BD107" i="7"/>
  <c r="BU107" i="7"/>
  <c r="CF107" i="7"/>
  <c r="CL107" i="7"/>
  <c r="BD108" i="7"/>
  <c r="BU108" i="7"/>
  <c r="CL108" i="7"/>
  <c r="BD109" i="7"/>
  <c r="BU109" i="7"/>
  <c r="CL109" i="7"/>
  <c r="AX110" i="7"/>
  <c r="BD110" i="7"/>
  <c r="BU110" i="7"/>
  <c r="CL110" i="7"/>
  <c r="AX111" i="7"/>
  <c r="AY111" i="7"/>
  <c r="BD111" i="7"/>
  <c r="BU111" i="7"/>
  <c r="CF111" i="7"/>
  <c r="CL111" i="7"/>
  <c r="BD112" i="7"/>
  <c r="BU112" i="7"/>
  <c r="CL112" i="7"/>
  <c r="BD113" i="7"/>
  <c r="BU113" i="7"/>
  <c r="CL113" i="7"/>
  <c r="BD114" i="7"/>
  <c r="BU114" i="7"/>
  <c r="CL114" i="7"/>
  <c r="BD115" i="7"/>
  <c r="BU115" i="7"/>
  <c r="CL115" i="7"/>
  <c r="BD116" i="7"/>
  <c r="BU116" i="7"/>
  <c r="CL116" i="7"/>
  <c r="BD117" i="7"/>
  <c r="BU117" i="7"/>
  <c r="CL117" i="7"/>
  <c r="AX118" i="7"/>
  <c r="AY118" i="7"/>
  <c r="BD118" i="7"/>
  <c r="BO118" i="7"/>
  <c r="BU118" i="7"/>
  <c r="CF118" i="7"/>
  <c r="CL118" i="7"/>
  <c r="BD119" i="7"/>
  <c r="BU119" i="7"/>
  <c r="CL119" i="7"/>
  <c r="BD120" i="7"/>
  <c r="BO120" i="7"/>
  <c r="BU120" i="7"/>
  <c r="CL120" i="7"/>
  <c r="BD121" i="7"/>
  <c r="BU121" i="7"/>
  <c r="CL121" i="7"/>
  <c r="BD122" i="7"/>
  <c r="BU122" i="7"/>
  <c r="CL122" i="7"/>
  <c r="AX123" i="7"/>
  <c r="BD123" i="7"/>
  <c r="BU123" i="7"/>
  <c r="CL123" i="7"/>
  <c r="AY124" i="7"/>
  <c r="BD124" i="7"/>
  <c r="BU124" i="7"/>
  <c r="CL124" i="7"/>
  <c r="AX125" i="7"/>
  <c r="AY125" i="7"/>
  <c r="BD125" i="7"/>
  <c r="BO125" i="7"/>
  <c r="BU125" i="7"/>
  <c r="CF125" i="7"/>
  <c r="CL125" i="7"/>
  <c r="AX126" i="7"/>
  <c r="AY126" i="7"/>
  <c r="BD126" i="7"/>
  <c r="BU126" i="7"/>
  <c r="CF126" i="7"/>
  <c r="CL126" i="7"/>
  <c r="BD127" i="7"/>
  <c r="BU127" i="7"/>
  <c r="CL127" i="7"/>
  <c r="BD128" i="7"/>
  <c r="BU128" i="7"/>
  <c r="CL128" i="7"/>
  <c r="BD129" i="7"/>
  <c r="BU129" i="7"/>
  <c r="CL129" i="7"/>
  <c r="BD130" i="7"/>
  <c r="BU130" i="7"/>
  <c r="CL130" i="7"/>
  <c r="CL5" i="7"/>
  <c r="BU5" i="7"/>
  <c r="BD5" i="7"/>
  <c r="AX94" i="7" l="1"/>
  <c r="AZ94" i="7" s="1"/>
  <c r="AY69" i="7"/>
  <c r="CF65" i="7"/>
  <c r="AY65" i="7"/>
  <c r="BB65" i="7" s="1"/>
  <c r="BH65" i="7" s="1"/>
  <c r="AX11" i="7"/>
  <c r="BO40" i="7"/>
  <c r="AX82" i="7"/>
  <c r="AX102" i="7"/>
  <c r="AZ102" i="7" s="1"/>
  <c r="BO121" i="7"/>
  <c r="AY13" i="7"/>
  <c r="AX21" i="7"/>
  <c r="AX20" i="7"/>
  <c r="BO10" i="7"/>
  <c r="BO34" i="7"/>
  <c r="BO14" i="7"/>
  <c r="CF16" i="7"/>
  <c r="CF25" i="7"/>
  <c r="AY25" i="7"/>
  <c r="AX24" i="7"/>
  <c r="AZ24" i="7" s="1"/>
  <c r="AX15" i="7"/>
  <c r="AX25" i="7"/>
  <c r="AY36" i="7"/>
  <c r="CF119" i="7"/>
  <c r="AY128" i="7"/>
  <c r="AX30" i="7"/>
  <c r="BO21" i="7"/>
  <c r="CF8" i="7"/>
  <c r="AY38" i="7"/>
  <c r="BO43" i="7"/>
  <c r="AX64" i="7"/>
  <c r="BO122" i="7"/>
  <c r="AY8" i="7"/>
  <c r="BO47" i="7"/>
  <c r="CF30" i="7"/>
  <c r="AY30" i="7"/>
  <c r="CF5" i="7"/>
  <c r="BO18" i="7"/>
  <c r="BO22" i="7"/>
  <c r="AY123" i="7"/>
  <c r="BB123" i="7" s="1"/>
  <c r="BJ123" i="7" s="1"/>
  <c r="CF124" i="7"/>
  <c r="BO113" i="7"/>
  <c r="AY110" i="7"/>
  <c r="BB110" i="7" s="1"/>
  <c r="BF110" i="7" s="1"/>
  <c r="BO117" i="7"/>
  <c r="AY45" i="7"/>
  <c r="BO93" i="7"/>
  <c r="AY107" i="7"/>
  <c r="CF87" i="7"/>
  <c r="BO85" i="7"/>
  <c r="BO79" i="7"/>
  <c r="AX98" i="7"/>
  <c r="BO55" i="7"/>
  <c r="BO63" i="7"/>
  <c r="AX114" i="7"/>
  <c r="AX31" i="7"/>
  <c r="BO13" i="7"/>
  <c r="AX13" i="7"/>
  <c r="AY67" i="7"/>
  <c r="CF67" i="7"/>
  <c r="BO67" i="7"/>
  <c r="CF32" i="7"/>
  <c r="AY32" i="7"/>
  <c r="AY104" i="7"/>
  <c r="CF104" i="7"/>
  <c r="BO104" i="7"/>
  <c r="BO112" i="7"/>
  <c r="AX112" i="7"/>
  <c r="BO127" i="7"/>
  <c r="AX127" i="7"/>
  <c r="BO68" i="7"/>
  <c r="AX68" i="7"/>
  <c r="AY101" i="7"/>
  <c r="AZ101" i="7" s="1"/>
  <c r="CF101" i="7"/>
  <c r="BO101" i="7"/>
  <c r="AY112" i="7"/>
  <c r="BB112" i="7" s="1"/>
  <c r="AY68" i="7"/>
  <c r="AX67" i="7"/>
  <c r="CF9" i="7"/>
  <c r="AY9" i="7"/>
  <c r="AY27" i="7"/>
  <c r="BA27" i="7" s="1"/>
  <c r="CF27" i="7"/>
  <c r="BO27" i="7"/>
  <c r="BO28" i="7"/>
  <c r="AX28" i="7"/>
  <c r="BB28" i="7" s="1"/>
  <c r="AY31" i="7"/>
  <c r="CF31" i="7"/>
  <c r="BO31" i="7"/>
  <c r="BO39" i="7"/>
  <c r="AX39" i="7"/>
  <c r="AY39" i="7"/>
  <c r="CF39" i="7"/>
  <c r="AY15" i="7"/>
  <c r="BO26" i="7"/>
  <c r="BO38" i="7"/>
  <c r="AX38" i="7"/>
  <c r="AX50" i="7"/>
  <c r="AY50" i="7"/>
  <c r="CF50" i="7"/>
  <c r="AX54" i="7"/>
  <c r="AY54" i="7"/>
  <c r="CF54" i="7"/>
  <c r="AY56" i="7"/>
  <c r="BB56" i="7" s="1"/>
  <c r="BG56" i="7" s="1"/>
  <c r="CF56" i="7"/>
  <c r="BO56" i="7"/>
  <c r="AY58" i="7"/>
  <c r="BB58" i="7" s="1"/>
  <c r="BI58" i="7" s="1"/>
  <c r="CF58" i="7"/>
  <c r="BO58" i="7"/>
  <c r="BO60" i="7"/>
  <c r="AX60" i="7"/>
  <c r="AZ60" i="7" s="1"/>
  <c r="AY82" i="7"/>
  <c r="CF82" i="7"/>
  <c r="BO82" i="7"/>
  <c r="CF112" i="7"/>
  <c r="CF68" i="7"/>
  <c r="BO23" i="7"/>
  <c r="AX23" i="7"/>
  <c r="BB23" i="7" s="1"/>
  <c r="BO16" i="7"/>
  <c r="AX16" i="7"/>
  <c r="CF12" i="7"/>
  <c r="AY12" i="7"/>
  <c r="AX19" i="7"/>
  <c r="AY19" i="7"/>
  <c r="CF19" i="7"/>
  <c r="BO129" i="7"/>
  <c r="CF129" i="7"/>
  <c r="AY129" i="7"/>
  <c r="AY20" i="7"/>
  <c r="CF20" i="7"/>
  <c r="BO20" i="7"/>
  <c r="BO74" i="7"/>
  <c r="AX74" i="7"/>
  <c r="AY74" i="7"/>
  <c r="CF74" i="7"/>
  <c r="BO29" i="7"/>
  <c r="AX29" i="7"/>
  <c r="AY29" i="7"/>
  <c r="CF29" i="7"/>
  <c r="BO96" i="7"/>
  <c r="AX96" i="7"/>
  <c r="AZ96" i="7" s="1"/>
  <c r="AX66" i="7"/>
  <c r="AY66" i="7"/>
  <c r="CF66" i="7"/>
  <c r="AX48" i="7"/>
  <c r="AY48" i="7"/>
  <c r="CF48" i="7"/>
  <c r="AX109" i="7"/>
  <c r="AY109" i="7"/>
  <c r="CF109" i="7"/>
  <c r="AY127" i="7"/>
  <c r="AY119" i="7"/>
  <c r="CF127" i="7"/>
  <c r="BO109" i="7"/>
  <c r="AX104" i="7"/>
  <c r="BO19" i="7"/>
  <c r="AY16" i="7"/>
  <c r="BO72" i="7"/>
  <c r="AX72" i="7"/>
  <c r="AY72" i="7"/>
  <c r="CF72" i="7"/>
  <c r="AX76" i="7"/>
  <c r="AY76" i="7"/>
  <c r="CF76" i="7"/>
  <c r="AY80" i="7"/>
  <c r="BA80" i="7" s="1"/>
  <c r="BE80" i="7" s="1"/>
  <c r="CF80" i="7"/>
  <c r="BO80" i="7"/>
  <c r="BO84" i="7"/>
  <c r="AX84" i="7"/>
  <c r="AY84" i="7"/>
  <c r="CF84" i="7"/>
  <c r="BO105" i="7"/>
  <c r="AX105" i="7"/>
  <c r="BA105" i="7" s="1"/>
  <c r="BO115" i="7"/>
  <c r="CF115" i="7"/>
  <c r="AY115" i="7"/>
  <c r="AX120" i="7"/>
  <c r="AY120" i="7"/>
  <c r="CF120" i="7"/>
  <c r="AY95" i="7"/>
  <c r="AZ95" i="7" s="1"/>
  <c r="CF95" i="7"/>
  <c r="BO95" i="7"/>
  <c r="AX128" i="7"/>
  <c r="AX86" i="7"/>
  <c r="AY86" i="7"/>
  <c r="CF86" i="7"/>
  <c r="CF117" i="7"/>
  <c r="AY117" i="7"/>
  <c r="BO6" i="7"/>
  <c r="AX122" i="7"/>
  <c r="AX71" i="7"/>
  <c r="BO73" i="7"/>
  <c r="AX75" i="7"/>
  <c r="BO77" i="7"/>
  <c r="AX79" i="7"/>
  <c r="BO81" i="7"/>
  <c r="BO83" i="7"/>
  <c r="AX85" i="7"/>
  <c r="BO87" i="7"/>
  <c r="BO91" i="7"/>
  <c r="AX106" i="7"/>
  <c r="AX117" i="7"/>
  <c r="AX7" i="7"/>
  <c r="BO9" i="7"/>
  <c r="AX18" i="7"/>
  <c r="AX22" i="7"/>
  <c r="BO12" i="7"/>
  <c r="AX10" i="7"/>
  <c r="BO8" i="7"/>
  <c r="BO37" i="7"/>
  <c r="BO45" i="7"/>
  <c r="AX34" i="7"/>
  <c r="AX42" i="7"/>
  <c r="BO41" i="7"/>
  <c r="BO46" i="7"/>
  <c r="AX55" i="7"/>
  <c r="AX63" i="7"/>
  <c r="AX43" i="7"/>
  <c r="BO88" i="7"/>
  <c r="AY90" i="7"/>
  <c r="AZ90" i="7" s="1"/>
  <c r="AY98" i="7"/>
  <c r="AY114" i="7"/>
  <c r="CF21" i="7"/>
  <c r="AY21" i="7"/>
  <c r="AX9" i="7"/>
  <c r="BA9" i="7" s="1"/>
  <c r="BC9" i="7" s="1"/>
  <c r="BO17" i="7"/>
  <c r="AX6" i="7"/>
  <c r="AX14" i="7"/>
  <c r="BO5" i="7"/>
  <c r="BO108" i="7"/>
  <c r="BO107" i="7"/>
  <c r="BO33" i="7"/>
  <c r="AX89" i="7"/>
  <c r="AX93" i="7"/>
  <c r="AX97" i="7"/>
  <c r="AX47" i="7"/>
  <c r="BO100" i="7"/>
  <c r="BO103" i="7"/>
  <c r="BO116" i="7"/>
  <c r="BO124" i="7"/>
  <c r="AY52" i="7"/>
  <c r="BB52" i="7" s="1"/>
  <c r="BO62" i="7"/>
  <c r="BO119" i="7"/>
  <c r="BO130" i="7"/>
  <c r="AX113" i="7"/>
  <c r="AX121" i="7"/>
  <c r="AY7" i="7"/>
  <c r="AY11" i="7"/>
  <c r="BB11" i="7" s="1"/>
  <c r="AX26" i="7"/>
  <c r="BO32" i="7"/>
  <c r="AY35" i="7"/>
  <c r="AZ35" i="7" s="1"/>
  <c r="BO36" i="7"/>
  <c r="AY44" i="7"/>
  <c r="AZ44" i="7" s="1"/>
  <c r="AY64" i="7"/>
  <c r="BO69" i="7"/>
  <c r="AY106" i="7"/>
  <c r="CF130" i="7"/>
  <c r="AY130" i="7"/>
  <c r="AX129" i="7"/>
  <c r="BO128" i="7"/>
  <c r="AX124" i="7"/>
  <c r="AZ124" i="7" s="1"/>
  <c r="BO123" i="7"/>
  <c r="AX119" i="7"/>
  <c r="CF116" i="7"/>
  <c r="AY116" i="7"/>
  <c r="AX115" i="7"/>
  <c r="BO114" i="7"/>
  <c r="BO110" i="7"/>
  <c r="CF108" i="7"/>
  <c r="AY108" i="7"/>
  <c r="AX107" i="7"/>
  <c r="BO106" i="7"/>
  <c r="AX103" i="7"/>
  <c r="AZ103" i="7" s="1"/>
  <c r="BO102" i="7"/>
  <c r="CF100" i="7"/>
  <c r="AY100" i="7"/>
  <c r="BO98" i="7"/>
  <c r="BO94" i="7"/>
  <c r="AX91" i="7"/>
  <c r="BB91" i="7" s="1"/>
  <c r="BO90" i="7"/>
  <c r="CF88" i="7"/>
  <c r="AY88" i="7"/>
  <c r="AX87" i="7"/>
  <c r="BA87" i="7" s="1"/>
  <c r="BE87" i="7" s="1"/>
  <c r="CF83" i="7"/>
  <c r="AY83" i="7"/>
  <c r="AX81" i="7"/>
  <c r="BA81" i="7" s="1"/>
  <c r="AX77" i="7"/>
  <c r="BA77" i="7" s="1"/>
  <c r="AX73" i="7"/>
  <c r="AZ73" i="7" s="1"/>
  <c r="AX69" i="7"/>
  <c r="BA69" i="7" s="1"/>
  <c r="BO64" i="7"/>
  <c r="CF62" i="7"/>
  <c r="AY62" i="7"/>
  <c r="AX61" i="7"/>
  <c r="BB61" i="7" s="1"/>
  <c r="AX57" i="7"/>
  <c r="AZ57" i="7" s="1"/>
  <c r="AX53" i="7"/>
  <c r="BB53" i="7" s="1"/>
  <c r="BF53" i="7" s="1"/>
  <c r="BO52" i="7"/>
  <c r="AX49" i="7"/>
  <c r="BA49" i="7" s="1"/>
  <c r="BC49" i="7" s="1"/>
  <c r="CF46" i="7"/>
  <c r="AY46" i="7"/>
  <c r="AX45" i="7"/>
  <c r="BO44" i="7"/>
  <c r="CF42" i="7"/>
  <c r="CF41" i="7"/>
  <c r="AY41" i="7"/>
  <c r="AX40" i="7"/>
  <c r="BB40" i="7" s="1"/>
  <c r="BH40" i="7" s="1"/>
  <c r="CF37" i="7"/>
  <c r="AY37" i="7"/>
  <c r="AX36" i="7"/>
  <c r="BO35" i="7"/>
  <c r="CF33" i="7"/>
  <c r="AY33" i="7"/>
  <c r="AX32" i="7"/>
  <c r="CF17" i="7"/>
  <c r="AY17" i="7"/>
  <c r="BO15" i="7"/>
  <c r="AX12" i="7"/>
  <c r="BO11" i="7"/>
  <c r="AX8" i="7"/>
  <c r="BO7" i="7"/>
  <c r="AX130" i="7"/>
  <c r="CF122" i="7"/>
  <c r="AY122" i="7"/>
  <c r="CF121" i="7"/>
  <c r="AY121" i="7"/>
  <c r="AX116" i="7"/>
  <c r="CF113" i="7"/>
  <c r="AY113" i="7"/>
  <c r="AX108" i="7"/>
  <c r="AX100" i="7"/>
  <c r="CF97" i="7"/>
  <c r="AY97" i="7"/>
  <c r="CF93" i="7"/>
  <c r="AY93" i="7"/>
  <c r="CF89" i="7"/>
  <c r="AY89" i="7"/>
  <c r="AX88" i="7"/>
  <c r="CF85" i="7"/>
  <c r="AY85" i="7"/>
  <c r="AX83" i="7"/>
  <c r="CF79" i="7"/>
  <c r="AY79" i="7"/>
  <c r="CF75" i="7"/>
  <c r="AY75" i="7"/>
  <c r="CF71" i="7"/>
  <c r="AY71" i="7"/>
  <c r="CF63" i="7"/>
  <c r="AY63" i="7"/>
  <c r="AX62" i="7"/>
  <c r="BA62" i="7" s="1"/>
  <c r="CF59" i="7"/>
  <c r="AY59" i="7"/>
  <c r="BA59" i="7" s="1"/>
  <c r="CF55" i="7"/>
  <c r="AY55" i="7"/>
  <c r="CF51" i="7"/>
  <c r="AY51" i="7"/>
  <c r="AZ51" i="7" s="1"/>
  <c r="CF47" i="7"/>
  <c r="AY47" i="7"/>
  <c r="AX46" i="7"/>
  <c r="CF43" i="7"/>
  <c r="AY43" i="7"/>
  <c r="AY42" i="7"/>
  <c r="AX41" i="7"/>
  <c r="AX37" i="7"/>
  <c r="CF34" i="7"/>
  <c r="AY34" i="7"/>
  <c r="AX33" i="7"/>
  <c r="CF26" i="7"/>
  <c r="AY26" i="7"/>
  <c r="CF22" i="7"/>
  <c r="AY22" i="7"/>
  <c r="CF18" i="7"/>
  <c r="AY18" i="7"/>
  <c r="AX17" i="7"/>
  <c r="CF14" i="7"/>
  <c r="AY14" i="7"/>
  <c r="CF10" i="7"/>
  <c r="AY10" i="7"/>
  <c r="CF6" i="7"/>
  <c r="AY6" i="7"/>
  <c r="CF128" i="7"/>
  <c r="CF123" i="7"/>
  <c r="CF114" i="7"/>
  <c r="CF110" i="7"/>
  <c r="CF106" i="7"/>
  <c r="CF102" i="7"/>
  <c r="CF98" i="7"/>
  <c r="CF94" i="7"/>
  <c r="CF90" i="7"/>
  <c r="CF64" i="7"/>
  <c r="CF52" i="7"/>
  <c r="CF44" i="7"/>
  <c r="CF35" i="7"/>
  <c r="CF15" i="7"/>
  <c r="CF11" i="7"/>
  <c r="CF7" i="7"/>
  <c r="AY5" i="7"/>
  <c r="AX5" i="7"/>
  <c r="BA92" i="7"/>
  <c r="BE92" i="7" s="1"/>
  <c r="BB78" i="7"/>
  <c r="BH78" i="7" s="1"/>
  <c r="AZ118" i="7"/>
  <c r="CC65" i="7"/>
  <c r="BL61" i="7"/>
  <c r="BL65" i="7"/>
  <c r="AZ125" i="7"/>
  <c r="BA111" i="7"/>
  <c r="BC111" i="7" s="1"/>
  <c r="BA70" i="7"/>
  <c r="BC70" i="7" s="1"/>
  <c r="BB92" i="7"/>
  <c r="BF92" i="7" s="1"/>
  <c r="CT62" i="7"/>
  <c r="CC62" i="7"/>
  <c r="BL117" i="7"/>
  <c r="CC56" i="7"/>
  <c r="CC33" i="7"/>
  <c r="BK39" i="7"/>
  <c r="CT117" i="7"/>
  <c r="BB125" i="7"/>
  <c r="BF125" i="7" s="1"/>
  <c r="CT72" i="7"/>
  <c r="CT61" i="7"/>
  <c r="BL45" i="7"/>
  <c r="BA118" i="7"/>
  <c r="BB118" i="7"/>
  <c r="BA126" i="7"/>
  <c r="BB126" i="7"/>
  <c r="BH126" i="7" s="1"/>
  <c r="BL124" i="7"/>
  <c r="BL33" i="7"/>
  <c r="BB98" i="7"/>
  <c r="BF98" i="7" s="1"/>
  <c r="AZ92" i="7"/>
  <c r="BL28" i="7"/>
  <c r="AZ27" i="7"/>
  <c r="BB70" i="7"/>
  <c r="BJ70" i="7" s="1"/>
  <c r="CC28" i="7"/>
  <c r="AZ99" i="7"/>
  <c r="BA99" i="7"/>
  <c r="BB99" i="7"/>
  <c r="CT56" i="7"/>
  <c r="AZ126" i="7"/>
  <c r="BA125" i="7"/>
  <c r="CT124" i="7"/>
  <c r="AZ111" i="7"/>
  <c r="BB111" i="7"/>
  <c r="CC124" i="7"/>
  <c r="CC117" i="7"/>
  <c r="BB95" i="7"/>
  <c r="AZ78" i="7"/>
  <c r="BA78" i="7"/>
  <c r="CC72" i="7"/>
  <c r="AZ70" i="7"/>
  <c r="BL62" i="7"/>
  <c r="CC61" i="7"/>
  <c r="BL56" i="7"/>
  <c r="BA51" i="7"/>
  <c r="CT28" i="7"/>
  <c r="AZ28" i="7"/>
  <c r="A4" i="2"/>
  <c r="BA86" i="7" l="1"/>
  <c r="BC86" i="7" s="1"/>
  <c r="BK86" i="7" s="1"/>
  <c r="BB105" i="7"/>
  <c r="BF105" i="7" s="1"/>
  <c r="AZ37" i="7"/>
  <c r="BB68" i="7"/>
  <c r="BG68" i="7" s="1"/>
  <c r="BB24" i="7"/>
  <c r="BH24" i="7" s="1"/>
  <c r="BB27" i="7"/>
  <c r="BG27" i="7" s="1"/>
  <c r="BA28" i="7"/>
  <c r="BE28" i="7" s="1"/>
  <c r="AZ88" i="7"/>
  <c r="AZ12" i="7"/>
  <c r="BA21" i="7"/>
  <c r="BE21" i="7" s="1"/>
  <c r="BB82" i="7"/>
  <c r="BF82" i="7" s="1"/>
  <c r="BB30" i="7"/>
  <c r="BF30" i="7" s="1"/>
  <c r="AZ123" i="7"/>
  <c r="BB81" i="7"/>
  <c r="BG81" i="7" s="1"/>
  <c r="BA26" i="7"/>
  <c r="BC26" i="7" s="1"/>
  <c r="BK26" i="7" s="1"/>
  <c r="AZ63" i="7"/>
  <c r="BB18" i="7"/>
  <c r="BH18" i="7" s="1"/>
  <c r="AZ75" i="7"/>
  <c r="BA25" i="7"/>
  <c r="BC25" i="7" s="1"/>
  <c r="BL25" i="7" s="1"/>
  <c r="BA16" i="7"/>
  <c r="BE16" i="7" s="1"/>
  <c r="BA112" i="7"/>
  <c r="BE112" i="7" s="1"/>
  <c r="BA44" i="7"/>
  <c r="BC44" i="7" s="1"/>
  <c r="AZ42" i="7"/>
  <c r="BA96" i="7"/>
  <c r="BE96" i="7" s="1"/>
  <c r="BA83" i="7"/>
  <c r="BE83" i="7" s="1"/>
  <c r="BA98" i="7"/>
  <c r="BC98" i="7" s="1"/>
  <c r="BI98" i="7" s="1"/>
  <c r="AZ18" i="7"/>
  <c r="AZ11" i="7"/>
  <c r="AZ98" i="7"/>
  <c r="BA18" i="7"/>
  <c r="BC18" i="7" s="1"/>
  <c r="BB75" i="7"/>
  <c r="BG75" i="7" s="1"/>
  <c r="BB63" i="7"/>
  <c r="BG63" i="7" s="1"/>
  <c r="BA75" i="7"/>
  <c r="BE75" i="7" s="1"/>
  <c r="BB96" i="7"/>
  <c r="BG96" i="7" s="1"/>
  <c r="BB86" i="7"/>
  <c r="BG86" i="7" s="1"/>
  <c r="BB16" i="7"/>
  <c r="BH16" i="7" s="1"/>
  <c r="AZ26" i="7"/>
  <c r="BB103" i="7"/>
  <c r="BF103" i="7" s="1"/>
  <c r="BA110" i="7"/>
  <c r="BC110" i="7" s="1"/>
  <c r="BK110" i="7" s="1"/>
  <c r="AZ80" i="7"/>
  <c r="AZ105" i="7"/>
  <c r="BA63" i="7"/>
  <c r="BE63" i="7" s="1"/>
  <c r="BB44" i="7"/>
  <c r="BF44" i="7" s="1"/>
  <c r="BB26" i="7"/>
  <c r="BG26" i="7" s="1"/>
  <c r="BA113" i="7"/>
  <c r="BC113" i="7" s="1"/>
  <c r="BB33" i="7"/>
  <c r="BH33" i="7" s="1"/>
  <c r="BA107" i="7"/>
  <c r="BE107" i="7" s="1"/>
  <c r="BA119" i="7"/>
  <c r="BE119" i="7" s="1"/>
  <c r="BB129" i="7"/>
  <c r="BK129" i="7" s="1"/>
  <c r="BB76" i="7"/>
  <c r="BF76" i="7" s="1"/>
  <c r="AZ104" i="7"/>
  <c r="BB19" i="7"/>
  <c r="BH19" i="7" s="1"/>
  <c r="BA50" i="7"/>
  <c r="BC50" i="7" s="1"/>
  <c r="AZ39" i="7"/>
  <c r="BB31" i="7"/>
  <c r="BG31" i="7" s="1"/>
  <c r="AZ67" i="7"/>
  <c r="BA20" i="7"/>
  <c r="BC20" i="7" s="1"/>
  <c r="BB80" i="7"/>
  <c r="BI80" i="7" s="1"/>
  <c r="BB36" i="7"/>
  <c r="BH36" i="7" s="1"/>
  <c r="BA106" i="7"/>
  <c r="BE106" i="7" s="1"/>
  <c r="BB25" i="7"/>
  <c r="BF25" i="7" s="1"/>
  <c r="BA56" i="7"/>
  <c r="BC56" i="7" s="1"/>
  <c r="BK56" i="7" s="1"/>
  <c r="BB94" i="7"/>
  <c r="BG94" i="7" s="1"/>
  <c r="AZ110" i="7"/>
  <c r="AZ86" i="7"/>
  <c r="BA94" i="7"/>
  <c r="BE94" i="7" s="1"/>
  <c r="BA30" i="7"/>
  <c r="BE30" i="7" s="1"/>
  <c r="BA64" i="7"/>
  <c r="BC64" i="7" s="1"/>
  <c r="BA5" i="7"/>
  <c r="BC5" i="7" s="1"/>
  <c r="BA53" i="7"/>
  <c r="BC53" i="7" s="1"/>
  <c r="BK53" i="7" s="1"/>
  <c r="AZ53" i="7"/>
  <c r="BB41" i="7"/>
  <c r="BG41" i="7" s="1"/>
  <c r="BA46" i="7"/>
  <c r="BC46" i="7" s="1"/>
  <c r="BJ46" i="7" s="1"/>
  <c r="AZ120" i="7"/>
  <c r="AZ84" i="7"/>
  <c r="AZ48" i="7"/>
  <c r="BA29" i="7"/>
  <c r="BE29" i="7" s="1"/>
  <c r="AZ74" i="7"/>
  <c r="AZ54" i="7"/>
  <c r="AZ68" i="7"/>
  <c r="BB51" i="7"/>
  <c r="BH51" i="7" s="1"/>
  <c r="BB14" i="7"/>
  <c r="BH14" i="7" s="1"/>
  <c r="BB59" i="7"/>
  <c r="BG59" i="7" s="1"/>
  <c r="BB6" i="7"/>
  <c r="BF6" i="7" s="1"/>
  <c r="BB7" i="7"/>
  <c r="BF7" i="7" s="1"/>
  <c r="AZ71" i="7"/>
  <c r="BA14" i="7"/>
  <c r="BC14" i="7" s="1"/>
  <c r="AZ25" i="7"/>
  <c r="BB35" i="7"/>
  <c r="BG35" i="7" s="1"/>
  <c r="AZ56" i="7"/>
  <c r="BB107" i="7"/>
  <c r="BF107" i="7" s="1"/>
  <c r="AZ106" i="7"/>
  <c r="AZ91" i="7"/>
  <c r="AZ21" i="7"/>
  <c r="BB10" i="7"/>
  <c r="BH10" i="7" s="1"/>
  <c r="AZ34" i="7"/>
  <c r="BA47" i="7"/>
  <c r="BC47" i="7" s="1"/>
  <c r="BK47" i="7" s="1"/>
  <c r="BB55" i="7"/>
  <c r="BG55" i="7" s="1"/>
  <c r="BA100" i="7"/>
  <c r="BE100" i="7" s="1"/>
  <c r="BA114" i="7"/>
  <c r="BE114" i="7" s="1"/>
  <c r="BB117" i="7"/>
  <c r="BH117" i="7" s="1"/>
  <c r="AZ30" i="7"/>
  <c r="BB21" i="7"/>
  <c r="BI21" i="7" s="1"/>
  <c r="AZ82" i="7"/>
  <c r="AZ14" i="7"/>
  <c r="BA24" i="7"/>
  <c r="BC24" i="7" s="1"/>
  <c r="BK24" i="7" s="1"/>
  <c r="BB37" i="7"/>
  <c r="BF37" i="7" s="1"/>
  <c r="AZ59" i="7"/>
  <c r="AZ87" i="7"/>
  <c r="AZ16" i="7"/>
  <c r="BB87" i="7"/>
  <c r="BG87" i="7" s="1"/>
  <c r="AZ32" i="7"/>
  <c r="BB57" i="7"/>
  <c r="BG57" i="7" s="1"/>
  <c r="AZ81" i="7"/>
  <c r="BA60" i="7"/>
  <c r="BC60" i="7" s="1"/>
  <c r="BL60" i="7" s="1"/>
  <c r="BB104" i="7"/>
  <c r="BG104" i="7" s="1"/>
  <c r="BA17" i="7"/>
  <c r="BC17" i="7" s="1"/>
  <c r="BA76" i="7"/>
  <c r="BE76" i="7" s="1"/>
  <c r="BA66" i="7"/>
  <c r="BC66" i="7" s="1"/>
  <c r="BA7" i="7"/>
  <c r="BC7" i="7" s="1"/>
  <c r="BA35" i="7"/>
  <c r="BE35" i="7" s="1"/>
  <c r="BA57" i="7"/>
  <c r="BE57" i="7" s="1"/>
  <c r="BA68" i="7"/>
  <c r="BC68" i="7" s="1"/>
  <c r="BL68" i="7" s="1"/>
  <c r="BA82" i="7"/>
  <c r="BC82" i="7" s="1"/>
  <c r="AZ107" i="7"/>
  <c r="BA123" i="7"/>
  <c r="BC123" i="7" s="1"/>
  <c r="AZ6" i="7"/>
  <c r="BB101" i="7"/>
  <c r="BF101" i="7" s="1"/>
  <c r="BA104" i="7"/>
  <c r="BE104" i="7" s="1"/>
  <c r="BA101" i="7"/>
  <c r="BE101" i="7" s="1"/>
  <c r="BA12" i="7"/>
  <c r="BC12" i="7" s="1"/>
  <c r="BL12" i="7" s="1"/>
  <c r="BA91" i="7"/>
  <c r="BE91" i="7" s="1"/>
  <c r="AZ7" i="7"/>
  <c r="AZ19" i="7"/>
  <c r="BA6" i="7"/>
  <c r="BC6" i="7" s="1"/>
  <c r="AZ97" i="7"/>
  <c r="BB108" i="7"/>
  <c r="BH108" i="7" s="1"/>
  <c r="BA121" i="7"/>
  <c r="BC121" i="7" s="1"/>
  <c r="BA93" i="7"/>
  <c r="BC93" i="7" s="1"/>
  <c r="BA43" i="7"/>
  <c r="BE43" i="7" s="1"/>
  <c r="BB22" i="7"/>
  <c r="BG22" i="7" s="1"/>
  <c r="BB85" i="7"/>
  <c r="BJ85" i="7" s="1"/>
  <c r="BB122" i="7"/>
  <c r="BH122" i="7" s="1"/>
  <c r="BB127" i="7"/>
  <c r="BJ127" i="7" s="1"/>
  <c r="BA45" i="7"/>
  <c r="BC45" i="7" s="1"/>
  <c r="BK45" i="7" s="1"/>
  <c r="AZ8" i="7"/>
  <c r="BA128" i="7"/>
  <c r="BC128" i="7" s="1"/>
  <c r="AZ20" i="7"/>
  <c r="BK96" i="7"/>
  <c r="AZ43" i="7"/>
  <c r="BB50" i="7"/>
  <c r="BH50" i="7" s="1"/>
  <c r="AZ17" i="7"/>
  <c r="BB60" i="7"/>
  <c r="BJ60" i="7" s="1"/>
  <c r="BA88" i="7"/>
  <c r="BC88" i="7" s="1"/>
  <c r="BB39" i="7"/>
  <c r="BF39" i="7" s="1"/>
  <c r="BB5" i="7"/>
  <c r="BF5" i="7" s="1"/>
  <c r="AZ58" i="7"/>
  <c r="BA84" i="7"/>
  <c r="BC84" i="7" s="1"/>
  <c r="BL84" i="7" s="1"/>
  <c r="BB20" i="7"/>
  <c r="BF20" i="7" s="1"/>
  <c r="BB121" i="7"/>
  <c r="BK121" i="7" s="1"/>
  <c r="BA31" i="7"/>
  <c r="BC31" i="7" s="1"/>
  <c r="BJ31" i="7" s="1"/>
  <c r="BA67" i="7"/>
  <c r="BE67" i="7" s="1"/>
  <c r="BB128" i="7"/>
  <c r="BJ128" i="7" s="1"/>
  <c r="AZ64" i="7"/>
  <c r="BB67" i="7"/>
  <c r="BH67" i="7" s="1"/>
  <c r="BB102" i="7"/>
  <c r="BF102" i="7" s="1"/>
  <c r="BA39" i="7"/>
  <c r="BC39" i="7" s="1"/>
  <c r="BL39" i="7" s="1"/>
  <c r="BH56" i="7"/>
  <c r="BJ63" i="7"/>
  <c r="BH61" i="7"/>
  <c r="BG61" i="7"/>
  <c r="BB8" i="7"/>
  <c r="BI8" i="7" s="1"/>
  <c r="BA22" i="7"/>
  <c r="BE22" i="7" s="1"/>
  <c r="BB29" i="7"/>
  <c r="BF29" i="7" s="1"/>
  <c r="BB49" i="7"/>
  <c r="BH49" i="7" s="1"/>
  <c r="BA58" i="7"/>
  <c r="BC58" i="7" s="1"/>
  <c r="AZ76" i="7"/>
  <c r="AZ50" i="7"/>
  <c r="BA74" i="7"/>
  <c r="BE74" i="7" s="1"/>
  <c r="AZ93" i="7"/>
  <c r="BA102" i="7"/>
  <c r="BC102" i="7" s="1"/>
  <c r="BB74" i="7"/>
  <c r="BG74" i="7" s="1"/>
  <c r="AZ31" i="7"/>
  <c r="AZ121" i="7"/>
  <c r="AZ5" i="7"/>
  <c r="BB120" i="7"/>
  <c r="BF120" i="7" s="1"/>
  <c r="BB88" i="7"/>
  <c r="BG88" i="7" s="1"/>
  <c r="BA48" i="7"/>
  <c r="BC48" i="7" s="1"/>
  <c r="AZ122" i="7"/>
  <c r="BB48" i="7"/>
  <c r="BG48" i="7" s="1"/>
  <c r="AZ128" i="7"/>
  <c r="BB43" i="7"/>
  <c r="BF43" i="7" s="1"/>
  <c r="BA108" i="7"/>
  <c r="BE108" i="7" s="1"/>
  <c r="BA130" i="7"/>
  <c r="BE130" i="7" s="1"/>
  <c r="BB45" i="7"/>
  <c r="BH45" i="7" s="1"/>
  <c r="BA8" i="7"/>
  <c r="BE8" i="7" s="1"/>
  <c r="BA19" i="7"/>
  <c r="BC19" i="7" s="1"/>
  <c r="BL19" i="7" s="1"/>
  <c r="AZ29" i="7"/>
  <c r="BA42" i="7"/>
  <c r="BE42" i="7" s="1"/>
  <c r="BB42" i="7"/>
  <c r="BG42" i="7" s="1"/>
  <c r="BA65" i="7"/>
  <c r="BC65" i="7" s="1"/>
  <c r="BI65" i="7" s="1"/>
  <c r="BB84" i="7"/>
  <c r="BF84" i="7" s="1"/>
  <c r="AZ22" i="7"/>
  <c r="AZ10" i="7"/>
  <c r="AZ49" i="7"/>
  <c r="BA40" i="7"/>
  <c r="BE40" i="7" s="1"/>
  <c r="BA61" i="7"/>
  <c r="BC61" i="7" s="1"/>
  <c r="BK61" i="7" s="1"/>
  <c r="AZ114" i="7"/>
  <c r="BB64" i="7"/>
  <c r="BI64" i="7" s="1"/>
  <c r="BB93" i="7"/>
  <c r="BF93" i="7" s="1"/>
  <c r="AZ85" i="7"/>
  <c r="BA38" i="7"/>
  <c r="BE38" i="7" s="1"/>
  <c r="BA13" i="7"/>
  <c r="BC13" i="7" s="1"/>
  <c r="AZ65" i="7"/>
  <c r="AZ61" i="7"/>
  <c r="AZ40" i="7"/>
  <c r="BB114" i="7"/>
  <c r="BJ114" i="7" s="1"/>
  <c r="BA122" i="7"/>
  <c r="BE122" i="7" s="1"/>
  <c r="BB66" i="7"/>
  <c r="BG66" i="7" s="1"/>
  <c r="CF13" i="7"/>
  <c r="BB15" i="7"/>
  <c r="BG15" i="7" s="1"/>
  <c r="AZ15" i="7"/>
  <c r="BA15" i="7"/>
  <c r="BE15" i="7" s="1"/>
  <c r="BB54" i="7"/>
  <c r="BH54" i="7" s="1"/>
  <c r="BJ61" i="7"/>
  <c r="BL18" i="7"/>
  <c r="AZ41" i="7"/>
  <c r="AZ83" i="7"/>
  <c r="AZ116" i="7"/>
  <c r="BB115" i="7"/>
  <c r="BH115" i="7" s="1"/>
  <c r="AZ72" i="7"/>
  <c r="AZ119" i="7"/>
  <c r="BB109" i="7"/>
  <c r="BF109" i="7" s="1"/>
  <c r="BA127" i="7"/>
  <c r="BC127" i="7" s="1"/>
  <c r="BB13" i="7"/>
  <c r="BG13" i="7" s="1"/>
  <c r="BL64" i="7"/>
  <c r="BA34" i="7"/>
  <c r="BE34" i="7" s="1"/>
  <c r="BA10" i="7"/>
  <c r="BE10" i="7" s="1"/>
  <c r="BL70" i="7"/>
  <c r="BI6" i="7"/>
  <c r="BA117" i="7"/>
  <c r="BC117" i="7" s="1"/>
  <c r="BJ117" i="7" s="1"/>
  <c r="BB113" i="7"/>
  <c r="BG113" i="7" s="1"/>
  <c r="BB89" i="7"/>
  <c r="BJ89" i="7" s="1"/>
  <c r="BB71" i="7"/>
  <c r="BF71" i="7" s="1"/>
  <c r="BG112" i="7"/>
  <c r="BF112" i="7"/>
  <c r="BF11" i="7"/>
  <c r="BG11" i="7"/>
  <c r="BH11" i="7"/>
  <c r="BG52" i="7"/>
  <c r="BA23" i="7"/>
  <c r="BC23" i="7" s="1"/>
  <c r="BK23" i="7" s="1"/>
  <c r="AZ38" i="7"/>
  <c r="BB32" i="7"/>
  <c r="BG32" i="7" s="1"/>
  <c r="BA36" i="7"/>
  <c r="BC36" i="7" s="1"/>
  <c r="BK36" i="7" s="1"/>
  <c r="BB72" i="7"/>
  <c r="BB73" i="7"/>
  <c r="BF73" i="7" s="1"/>
  <c r="BA90" i="7"/>
  <c r="BE90" i="7" s="1"/>
  <c r="BA103" i="7"/>
  <c r="BC103" i="7" s="1"/>
  <c r="BK103" i="7" s="1"/>
  <c r="AZ112" i="7"/>
  <c r="BB83" i="7"/>
  <c r="BG83" i="7" s="1"/>
  <c r="BB17" i="7"/>
  <c r="BI17" i="7" s="1"/>
  <c r="BB34" i="7"/>
  <c r="BH34" i="7" s="1"/>
  <c r="AZ52" i="7"/>
  <c r="BA41" i="7"/>
  <c r="BC41" i="7" s="1"/>
  <c r="BL41" i="7" s="1"/>
  <c r="AZ45" i="7"/>
  <c r="BA85" i="7"/>
  <c r="BC85" i="7" s="1"/>
  <c r="AZ89" i="7"/>
  <c r="BB119" i="7"/>
  <c r="BG119" i="7" s="1"/>
  <c r="BA116" i="7"/>
  <c r="BC116" i="7" s="1"/>
  <c r="BA97" i="7"/>
  <c r="BC97" i="7" s="1"/>
  <c r="AZ109" i="7"/>
  <c r="BB124" i="7"/>
  <c r="AZ13" i="7"/>
  <c r="AZ117" i="7"/>
  <c r="BA71" i="7"/>
  <c r="BC71" i="7" s="1"/>
  <c r="BB9" i="7"/>
  <c r="BF9" i="7" s="1"/>
  <c r="BA109" i="7"/>
  <c r="BC109" i="7" s="1"/>
  <c r="BL109" i="7" s="1"/>
  <c r="BB97" i="7"/>
  <c r="BH97" i="7" s="1"/>
  <c r="BB106" i="7"/>
  <c r="BF106" i="7" s="1"/>
  <c r="AZ127" i="7"/>
  <c r="AZ9" i="7"/>
  <c r="BA124" i="7"/>
  <c r="BC124" i="7" s="1"/>
  <c r="BA52" i="7"/>
  <c r="BB12" i="7"/>
  <c r="BH12" i="7" s="1"/>
  <c r="BA32" i="7"/>
  <c r="BE32" i="7" s="1"/>
  <c r="AZ36" i="7"/>
  <c r="AZ47" i="7"/>
  <c r="BA73" i="7"/>
  <c r="BE73" i="7" s="1"/>
  <c r="BA95" i="7"/>
  <c r="BC95" i="7" s="1"/>
  <c r="BJ95" i="7" s="1"/>
  <c r="AZ115" i="7"/>
  <c r="AZ113" i="7"/>
  <c r="BB90" i="7"/>
  <c r="BH90" i="7" s="1"/>
  <c r="BB38" i="7"/>
  <c r="BI38" i="7" s="1"/>
  <c r="AZ23" i="7"/>
  <c r="BA72" i="7"/>
  <c r="BC72" i="7" s="1"/>
  <c r="AZ66" i="7"/>
  <c r="BB116" i="7"/>
  <c r="BA11" i="7"/>
  <c r="BE11" i="7" s="1"/>
  <c r="BB62" i="7"/>
  <c r="BH62" i="7" s="1"/>
  <c r="BJ111" i="7"/>
  <c r="BA115" i="7"/>
  <c r="BE115" i="7" s="1"/>
  <c r="BA54" i="7"/>
  <c r="BE54" i="7" s="1"/>
  <c r="AZ79" i="7"/>
  <c r="BA89" i="7"/>
  <c r="BC89" i="7" s="1"/>
  <c r="BA120" i="7"/>
  <c r="BK17" i="7"/>
  <c r="BL121" i="7"/>
  <c r="BL17" i="7"/>
  <c r="BL111" i="7"/>
  <c r="BJ121" i="7"/>
  <c r="BA33" i="7"/>
  <c r="BC33" i="7" s="1"/>
  <c r="BI33" i="7" s="1"/>
  <c r="BB46" i="7"/>
  <c r="BF46" i="7" s="1"/>
  <c r="BB100" i="7"/>
  <c r="BF100" i="7" s="1"/>
  <c r="BC59" i="7"/>
  <c r="BL59" i="7" s="1"/>
  <c r="BE59" i="7"/>
  <c r="BA37" i="7"/>
  <c r="BC37" i="7" s="1"/>
  <c r="BK37" i="7" s="1"/>
  <c r="AZ62" i="7"/>
  <c r="BB69" i="7"/>
  <c r="BG69" i="7" s="1"/>
  <c r="AZ46" i="7"/>
  <c r="BA55" i="7"/>
  <c r="BE55" i="7" s="1"/>
  <c r="BB79" i="7"/>
  <c r="BG79" i="7" s="1"/>
  <c r="AZ130" i="7"/>
  <c r="AZ129" i="7"/>
  <c r="AZ33" i="7"/>
  <c r="BK41" i="7"/>
  <c r="BL89" i="7"/>
  <c r="BA129" i="7"/>
  <c r="BK109" i="7"/>
  <c r="BB47" i="7"/>
  <c r="BH47" i="7" s="1"/>
  <c r="BB77" i="7"/>
  <c r="BG77" i="7" s="1"/>
  <c r="AZ69" i="7"/>
  <c r="AZ55" i="7"/>
  <c r="BA79" i="7"/>
  <c r="BE79" i="7" s="1"/>
  <c r="BL128" i="7"/>
  <c r="BB130" i="7"/>
  <c r="BG130" i="7" s="1"/>
  <c r="AZ77" i="7"/>
  <c r="AZ108" i="7"/>
  <c r="BJ18" i="7"/>
  <c r="AZ100" i="7"/>
  <c r="BL48" i="7"/>
  <c r="BF56" i="7"/>
  <c r="BE70" i="7"/>
  <c r="BC92" i="7"/>
  <c r="BL92" i="7" s="1"/>
  <c r="BF40" i="7"/>
  <c r="BF61" i="7"/>
  <c r="BE9" i="7"/>
  <c r="BI61" i="7"/>
  <c r="BJ25" i="7"/>
  <c r="BH92" i="7"/>
  <c r="BE49" i="7"/>
  <c r="BI112" i="7"/>
  <c r="BH112" i="7"/>
  <c r="BK18" i="7"/>
  <c r="BI18" i="7"/>
  <c r="BJ109" i="7"/>
  <c r="BG78" i="7"/>
  <c r="BF78" i="7"/>
  <c r="BG40" i="7"/>
  <c r="BK44" i="7"/>
  <c r="BL44" i="7"/>
  <c r="BK92" i="7"/>
  <c r="BJ44" i="7"/>
  <c r="BL88" i="7"/>
  <c r="BE111" i="7"/>
  <c r="BF52" i="7"/>
  <c r="BG92" i="7"/>
  <c r="BI44" i="7"/>
  <c r="BJ92" i="7"/>
  <c r="BH52" i="7"/>
  <c r="BK124" i="7"/>
  <c r="BF91" i="7"/>
  <c r="BL6" i="7"/>
  <c r="BK6" i="7"/>
  <c r="BG91" i="7"/>
  <c r="BJ6" i="7"/>
  <c r="BH91" i="7"/>
  <c r="BL9" i="7"/>
  <c r="BK9" i="7"/>
  <c r="BH110" i="7"/>
  <c r="BC87" i="7"/>
  <c r="BI87" i="7" s="1"/>
  <c r="BG23" i="7"/>
  <c r="BJ53" i="7"/>
  <c r="BG110" i="7"/>
  <c r="BI41" i="7"/>
  <c r="BK59" i="7"/>
  <c r="BH125" i="7"/>
  <c r="BG53" i="7"/>
  <c r="BG125" i="7"/>
  <c r="BH53" i="7"/>
  <c r="BG123" i="7"/>
  <c r="BF65" i="7"/>
  <c r="BG65" i="7"/>
  <c r="BH98" i="7"/>
  <c r="BG126" i="7"/>
  <c r="BG98" i="7"/>
  <c r="BK70" i="7"/>
  <c r="BF126" i="7"/>
  <c r="BC80" i="7"/>
  <c r="BL80" i="7" s="1"/>
  <c r="BE77" i="7"/>
  <c r="BC77" i="7"/>
  <c r="BJ59" i="7"/>
  <c r="BC81" i="7"/>
  <c r="BL81" i="7" s="1"/>
  <c r="BE81" i="7"/>
  <c r="BC105" i="7"/>
  <c r="BL105" i="7" s="1"/>
  <c r="BE105" i="7"/>
  <c r="BI30" i="7"/>
  <c r="BJ20" i="7"/>
  <c r="BF70" i="7"/>
  <c r="BG70" i="7"/>
  <c r="BI70" i="7"/>
  <c r="BL5" i="7"/>
  <c r="BL20" i="7"/>
  <c r="BK20" i="7"/>
  <c r="BK5" i="7"/>
  <c r="BK30" i="7"/>
  <c r="BH70" i="7"/>
  <c r="BC27" i="7"/>
  <c r="BE27" i="7"/>
  <c r="BF123" i="7"/>
  <c r="BH123" i="7"/>
  <c r="BE126" i="7"/>
  <c r="BC126" i="7"/>
  <c r="BK126" i="7" s="1"/>
  <c r="BH118" i="7"/>
  <c r="BG118" i="7"/>
  <c r="BF118" i="7"/>
  <c r="BF23" i="7"/>
  <c r="BH23" i="7"/>
  <c r="BE118" i="7"/>
  <c r="BC118" i="7"/>
  <c r="BL118" i="7" s="1"/>
  <c r="BK118" i="7"/>
  <c r="BJ130" i="7"/>
  <c r="BE99" i="7"/>
  <c r="BC99" i="7"/>
  <c r="BL99" i="7" s="1"/>
  <c r="BK12" i="7"/>
  <c r="BH28" i="7"/>
  <c r="BF28" i="7"/>
  <c r="BG28" i="7"/>
  <c r="BE51" i="7"/>
  <c r="BC51" i="7"/>
  <c r="BK51" i="7" s="1"/>
  <c r="BF58" i="7"/>
  <c r="BG58" i="7"/>
  <c r="BH58" i="7"/>
  <c r="BF95" i="7"/>
  <c r="BG95" i="7"/>
  <c r="BH95" i="7"/>
  <c r="BH111" i="7"/>
  <c r="BF111" i="7"/>
  <c r="BI111" i="7"/>
  <c r="BK111" i="7"/>
  <c r="BG111" i="7"/>
  <c r="BI107" i="7"/>
  <c r="BK83" i="7"/>
  <c r="BK49" i="7"/>
  <c r="BL49" i="7"/>
  <c r="BJ49" i="7"/>
  <c r="BI37" i="7"/>
  <c r="BJ37" i="7"/>
  <c r="BJ57" i="7"/>
  <c r="BE69" i="7"/>
  <c r="BC69" i="7"/>
  <c r="BK8" i="7"/>
  <c r="BJ21" i="7"/>
  <c r="BJ15" i="7"/>
  <c r="BE62" i="7"/>
  <c r="BC62" i="7"/>
  <c r="BC78" i="7"/>
  <c r="BE78" i="7"/>
  <c r="BI103" i="7"/>
  <c r="BC125" i="7"/>
  <c r="BL125" i="7" s="1"/>
  <c r="BE125" i="7"/>
  <c r="BJ86" i="7"/>
  <c r="BH99" i="7"/>
  <c r="BI99" i="7"/>
  <c r="BF99" i="7"/>
  <c r="BK99" i="7"/>
  <c r="BG99" i="7"/>
  <c r="B21" i="2"/>
  <c r="M9" i="2"/>
  <c r="B22" i="2"/>
  <c r="B10" i="2"/>
  <c r="Q9" i="2"/>
  <c r="B17" i="2"/>
  <c r="O24" i="2"/>
  <c r="B11" i="2"/>
  <c r="O25" i="2"/>
  <c r="I9" i="2"/>
  <c r="B19" i="2"/>
  <c r="B24" i="2"/>
  <c r="U9" i="2"/>
  <c r="B16" i="2"/>
  <c r="B20" i="2"/>
  <c r="B25" i="2"/>
  <c r="BC75" i="7" l="1"/>
  <c r="BK75" i="7" s="1"/>
  <c r="BG105" i="7"/>
  <c r="BH105" i="7"/>
  <c r="BE86" i="7"/>
  <c r="BF68" i="7"/>
  <c r="BH68" i="7"/>
  <c r="BF24" i="7"/>
  <c r="BH27" i="7"/>
  <c r="BE44" i="7"/>
  <c r="BH81" i="7"/>
  <c r="BE26" i="7"/>
  <c r="BH44" i="7"/>
  <c r="BF96" i="7"/>
  <c r="BF81" i="7"/>
  <c r="BC21" i="7"/>
  <c r="BK21" i="7" s="1"/>
  <c r="BF27" i="7"/>
  <c r="BG24" i="7"/>
  <c r="BC83" i="7"/>
  <c r="BL83" i="7" s="1"/>
  <c r="BF86" i="7"/>
  <c r="BE110" i="7"/>
  <c r="BE25" i="7"/>
  <c r="BG36" i="7"/>
  <c r="BH31" i="7"/>
  <c r="BC28" i="7"/>
  <c r="BJ28" i="7" s="1"/>
  <c r="BH82" i="7"/>
  <c r="BG82" i="7"/>
  <c r="BG30" i="7"/>
  <c r="BH30" i="7"/>
  <c r="BG129" i="7"/>
  <c r="BC16" i="7"/>
  <c r="BE50" i="7"/>
  <c r="BC63" i="7"/>
  <c r="BK63" i="7" s="1"/>
  <c r="BG80" i="7"/>
  <c r="BG18" i="7"/>
  <c r="BE113" i="7"/>
  <c r="BC112" i="7"/>
  <c r="BJ112" i="7" s="1"/>
  <c r="BF18" i="7"/>
  <c r="BH103" i="7"/>
  <c r="BE56" i="7"/>
  <c r="BG33" i="7"/>
  <c r="BG103" i="7"/>
  <c r="BC94" i="7"/>
  <c r="BI94" i="7" s="1"/>
  <c r="BE18" i="7"/>
  <c r="BE98" i="7"/>
  <c r="BF33" i="7"/>
  <c r="BF80" i="7"/>
  <c r="BH76" i="7"/>
  <c r="BG76" i="7"/>
  <c r="BH80" i="7"/>
  <c r="BF94" i="7"/>
  <c r="BC30" i="7"/>
  <c r="BL30" i="7" s="1"/>
  <c r="BC107" i="7"/>
  <c r="BL107" i="7" s="1"/>
  <c r="BH75" i="7"/>
  <c r="BF26" i="7"/>
  <c r="BF19" i="7"/>
  <c r="BH63" i="7"/>
  <c r="BC119" i="7"/>
  <c r="BL119" i="7" s="1"/>
  <c r="BF14" i="7"/>
  <c r="BH86" i="7"/>
  <c r="BH94" i="7"/>
  <c r="BC106" i="7"/>
  <c r="BL106" i="7" s="1"/>
  <c r="BF75" i="7"/>
  <c r="BF36" i="7"/>
  <c r="BG108" i="7"/>
  <c r="BF31" i="7"/>
  <c r="BG51" i="7"/>
  <c r="BG16" i="7"/>
  <c r="BG19" i="7"/>
  <c r="BE64" i="7"/>
  <c r="BC96" i="7"/>
  <c r="BL96" i="7" s="1"/>
  <c r="BG44" i="7"/>
  <c r="BF63" i="7"/>
  <c r="BH129" i="7"/>
  <c r="BG37" i="7"/>
  <c r="BE20" i="7"/>
  <c r="BG25" i="7"/>
  <c r="BH26" i="7"/>
  <c r="BF16" i="7"/>
  <c r="BH96" i="7"/>
  <c r="BF129" i="7"/>
  <c r="BH25" i="7"/>
  <c r="BE53" i="7"/>
  <c r="BF55" i="7"/>
  <c r="BE24" i="7"/>
  <c r="BG10" i="7"/>
  <c r="BH55" i="7"/>
  <c r="BH21" i="7"/>
  <c r="BH37" i="7"/>
  <c r="BG14" i="7"/>
  <c r="BH107" i="7"/>
  <c r="BG6" i="7"/>
  <c r="BE14" i="7"/>
  <c r="BF59" i="7"/>
  <c r="BE5" i="7"/>
  <c r="BG21" i="7"/>
  <c r="BG107" i="7"/>
  <c r="BH87" i="7"/>
  <c r="BF87" i="7"/>
  <c r="BF21" i="7"/>
  <c r="BF10" i="7"/>
  <c r="BH59" i="7"/>
  <c r="BF41" i="7"/>
  <c r="BH41" i="7"/>
  <c r="BC29" i="7"/>
  <c r="BE46" i="7"/>
  <c r="BG117" i="7"/>
  <c r="BF117" i="7"/>
  <c r="BG7" i="7"/>
  <c r="BE47" i="7"/>
  <c r="BF51" i="7"/>
  <c r="BH35" i="7"/>
  <c r="BF35" i="7"/>
  <c r="BC100" i="7"/>
  <c r="BL100" i="7" s="1"/>
  <c r="BI7" i="7"/>
  <c r="BH6" i="7"/>
  <c r="BC114" i="7"/>
  <c r="BH7" i="7"/>
  <c r="BE66" i="7"/>
  <c r="BE6" i="7"/>
  <c r="BF108" i="7"/>
  <c r="BE68" i="7"/>
  <c r="BE123" i="7"/>
  <c r="BE12" i="7"/>
  <c r="BC57" i="7"/>
  <c r="BL57" i="7" s="1"/>
  <c r="BC101" i="7"/>
  <c r="BL101" i="7" s="1"/>
  <c r="BE60" i="7"/>
  <c r="BC76" i="7"/>
  <c r="BJ76" i="7" s="1"/>
  <c r="BC35" i="7"/>
  <c r="BI35" i="7" s="1"/>
  <c r="BF57" i="7"/>
  <c r="BC104" i="7"/>
  <c r="BJ104" i="7" s="1"/>
  <c r="BE17" i="7"/>
  <c r="BH57" i="7"/>
  <c r="BH104" i="7"/>
  <c r="BE7" i="7"/>
  <c r="BE82" i="7"/>
  <c r="BC91" i="7"/>
  <c r="BG101" i="7"/>
  <c r="BH101" i="7"/>
  <c r="BF104" i="7"/>
  <c r="BI101" i="7"/>
  <c r="BE45" i="7"/>
  <c r="BF22" i="7"/>
  <c r="BH22" i="7"/>
  <c r="BJ108" i="7"/>
  <c r="BK85" i="7"/>
  <c r="BI85" i="7"/>
  <c r="BH85" i="7"/>
  <c r="BG102" i="7"/>
  <c r="BG122" i="7"/>
  <c r="BC67" i="7"/>
  <c r="BK67" i="7" s="1"/>
  <c r="BF122" i="7"/>
  <c r="BG85" i="7"/>
  <c r="BF85" i="7"/>
  <c r="BE121" i="7"/>
  <c r="BL85" i="7"/>
  <c r="BE93" i="7"/>
  <c r="BE128" i="7"/>
  <c r="BG127" i="7"/>
  <c r="BE88" i="7"/>
  <c r="BF127" i="7"/>
  <c r="BK127" i="7"/>
  <c r="BC43" i="7"/>
  <c r="BL43" i="7" s="1"/>
  <c r="BH127" i="7"/>
  <c r="BF121" i="7"/>
  <c r="BG5" i="7"/>
  <c r="BH121" i="7"/>
  <c r="BF128" i="7"/>
  <c r="BI121" i="7"/>
  <c r="BG39" i="7"/>
  <c r="BK128" i="7"/>
  <c r="BE84" i="7"/>
  <c r="BG20" i="7"/>
  <c r="BH102" i="7"/>
  <c r="BE39" i="7"/>
  <c r="BJ50" i="7"/>
  <c r="BG50" i="7"/>
  <c r="BI20" i="7"/>
  <c r="BH20" i="7"/>
  <c r="BI128" i="7"/>
  <c r="BH5" i="7"/>
  <c r="BG121" i="7"/>
  <c r="BJ5" i="7"/>
  <c r="BI5" i="7"/>
  <c r="BF50" i="7"/>
  <c r="BI50" i="7"/>
  <c r="BH128" i="7"/>
  <c r="BH39" i="7"/>
  <c r="BE31" i="7"/>
  <c r="BG128" i="7"/>
  <c r="BI39" i="7"/>
  <c r="BJ39" i="7"/>
  <c r="BH60" i="7"/>
  <c r="BG67" i="7"/>
  <c r="BF60" i="7"/>
  <c r="BF67" i="7"/>
  <c r="BG60" i="7"/>
  <c r="BE103" i="7"/>
  <c r="BE102" i="7"/>
  <c r="BF42" i="7"/>
  <c r="BC8" i="7"/>
  <c r="BL8" i="7" s="1"/>
  <c r="BJ93" i="7"/>
  <c r="BG90" i="7"/>
  <c r="BH113" i="7"/>
  <c r="BJ62" i="7"/>
  <c r="BE58" i="7"/>
  <c r="BG73" i="7"/>
  <c r="BE89" i="7"/>
  <c r="BG115" i="7"/>
  <c r="BF77" i="7"/>
  <c r="BH73" i="7"/>
  <c r="BH114" i="7"/>
  <c r="BE71" i="7"/>
  <c r="BH13" i="7"/>
  <c r="BH29" i="7"/>
  <c r="BF89" i="7"/>
  <c r="BG64" i="7"/>
  <c r="BH64" i="7"/>
  <c r="BH46" i="7"/>
  <c r="BG120" i="7"/>
  <c r="BE19" i="7"/>
  <c r="BJ66" i="7"/>
  <c r="BE13" i="7"/>
  <c r="BF13" i="7"/>
  <c r="BH74" i="7"/>
  <c r="BG106" i="7"/>
  <c r="BK89" i="7"/>
  <c r="BF66" i="7"/>
  <c r="BE65" i="7"/>
  <c r="BF74" i="7"/>
  <c r="BG89" i="7"/>
  <c r="BG84" i="7"/>
  <c r="BF79" i="7"/>
  <c r="BG49" i="7"/>
  <c r="BC11" i="7"/>
  <c r="BL11" i="7" s="1"/>
  <c r="BH106" i="7"/>
  <c r="BI34" i="7"/>
  <c r="BK97" i="7"/>
  <c r="BG34" i="7"/>
  <c r="BE97" i="7"/>
  <c r="BE85" i="7"/>
  <c r="BE23" i="7"/>
  <c r="BC54" i="7"/>
  <c r="BL54" i="7" s="1"/>
  <c r="BG93" i="7"/>
  <c r="BI124" i="7"/>
  <c r="BI72" i="7"/>
  <c r="BE95" i="7"/>
  <c r="BJ77" i="7"/>
  <c r="BC40" i="7"/>
  <c r="BL40" i="7" s="1"/>
  <c r="BI48" i="7"/>
  <c r="BJ48" i="7"/>
  <c r="BH77" i="7"/>
  <c r="BG29" i="7"/>
  <c r="BH89" i="7"/>
  <c r="BH66" i="7"/>
  <c r="BK66" i="7"/>
  <c r="BC15" i="7"/>
  <c r="BK15" i="7" s="1"/>
  <c r="BC79" i="7"/>
  <c r="BK79" i="7" s="1"/>
  <c r="BJ64" i="7"/>
  <c r="BH120" i="7"/>
  <c r="BI59" i="7"/>
  <c r="BI71" i="7"/>
  <c r="BL77" i="7"/>
  <c r="BK93" i="7"/>
  <c r="BF54" i="7"/>
  <c r="BI49" i="7"/>
  <c r="BE33" i="7"/>
  <c r="BH48" i="7"/>
  <c r="BC115" i="7"/>
  <c r="BI115" i="7" s="1"/>
  <c r="BK77" i="7"/>
  <c r="BH69" i="7"/>
  <c r="BJ29" i="7"/>
  <c r="BF64" i="7"/>
  <c r="BH71" i="7"/>
  <c r="BK64" i="7"/>
  <c r="BC108" i="7"/>
  <c r="BL108" i="7" s="1"/>
  <c r="BI89" i="7"/>
  <c r="BI46" i="7"/>
  <c r="BH84" i="7"/>
  <c r="BG46" i="7"/>
  <c r="BF32" i="7"/>
  <c r="BC74" i="7"/>
  <c r="BL74" i="7" s="1"/>
  <c r="BC42" i="7"/>
  <c r="BI42" i="7" s="1"/>
  <c r="BG71" i="7"/>
  <c r="BE41" i="7"/>
  <c r="BI88" i="7"/>
  <c r="BH93" i="7"/>
  <c r="BC130" i="7"/>
  <c r="BL130" i="7" s="1"/>
  <c r="BG54" i="7"/>
  <c r="BF119" i="7"/>
  <c r="BH109" i="7"/>
  <c r="BK100" i="7"/>
  <c r="BF49" i="7"/>
  <c r="BF15" i="7"/>
  <c r="BE72" i="7"/>
  <c r="BG124" i="7"/>
  <c r="BI9" i="7"/>
  <c r="BK48" i="7"/>
  <c r="BF48" i="7"/>
  <c r="BI93" i="7"/>
  <c r="BL93" i="7"/>
  <c r="BC122" i="7"/>
  <c r="BK122" i="7" s="1"/>
  <c r="BI79" i="7"/>
  <c r="BE36" i="7"/>
  <c r="BC90" i="7"/>
  <c r="BJ90" i="7" s="1"/>
  <c r="BJ113" i="7"/>
  <c r="BH38" i="7"/>
  <c r="BF38" i="7"/>
  <c r="BF115" i="7"/>
  <c r="BC38" i="7"/>
  <c r="BJ38" i="7" s="1"/>
  <c r="BI83" i="7"/>
  <c r="BH79" i="7"/>
  <c r="BH42" i="7"/>
  <c r="BC32" i="7"/>
  <c r="BK32" i="7" s="1"/>
  <c r="BJ79" i="7"/>
  <c r="BC22" i="7"/>
  <c r="BJ22" i="7" s="1"/>
  <c r="BE127" i="7"/>
  <c r="BJ17" i="7"/>
  <c r="BH43" i="7"/>
  <c r="BI57" i="7"/>
  <c r="BK43" i="7"/>
  <c r="BH17" i="7"/>
  <c r="BC10" i="7"/>
  <c r="BL10" i="7" s="1"/>
  <c r="BE48" i="7"/>
  <c r="BE109" i="7"/>
  <c r="BI43" i="7"/>
  <c r="BG43" i="7"/>
  <c r="BG8" i="7"/>
  <c r="BF90" i="7"/>
  <c r="BF83" i="7"/>
  <c r="BC73" i="7"/>
  <c r="BK73" i="7" s="1"/>
  <c r="BG12" i="7"/>
  <c r="BH130" i="7"/>
  <c r="BI119" i="7"/>
  <c r="BG114" i="7"/>
  <c r="BJ41" i="7"/>
  <c r="BF45" i="7"/>
  <c r="BJ9" i="7"/>
  <c r="BK88" i="7"/>
  <c r="BH9" i="7"/>
  <c r="BH88" i="7"/>
  <c r="BC55" i="7"/>
  <c r="BL55" i="7" s="1"/>
  <c r="BF8" i="7"/>
  <c r="BH32" i="7"/>
  <c r="BH15" i="7"/>
  <c r="BH83" i="7"/>
  <c r="BE117" i="7"/>
  <c r="BE37" i="7"/>
  <c r="BF12" i="7"/>
  <c r="BF130" i="7"/>
  <c r="BH124" i="7"/>
  <c r="BJ45" i="7"/>
  <c r="BF114" i="7"/>
  <c r="BH119" i="7"/>
  <c r="BG45" i="7"/>
  <c r="BE61" i="7"/>
  <c r="BM61" i="7" s="1"/>
  <c r="BN61" i="7" s="1"/>
  <c r="BP61" i="7" s="1"/>
  <c r="BQ61" i="7" s="1"/>
  <c r="BK114" i="7"/>
  <c r="BJ88" i="7"/>
  <c r="BF88" i="7"/>
  <c r="BC34" i="7"/>
  <c r="BJ34" i="7" s="1"/>
  <c r="BH8" i="7"/>
  <c r="BI45" i="7"/>
  <c r="BF124" i="7"/>
  <c r="BG9" i="7"/>
  <c r="BG109" i="7"/>
  <c r="BL27" i="7"/>
  <c r="BJ27" i="7"/>
  <c r="BK80" i="7"/>
  <c r="BI92" i="7"/>
  <c r="BM92" i="7" s="1"/>
  <c r="BN92" i="7" s="1"/>
  <c r="BP92" i="7" s="1"/>
  <c r="BS92" i="7" s="1"/>
  <c r="BK62" i="7"/>
  <c r="BK55" i="7"/>
  <c r="BL76" i="7"/>
  <c r="BJ78" i="7"/>
  <c r="BL78" i="7"/>
  <c r="BK35" i="7"/>
  <c r="BI62" i="7"/>
  <c r="BK125" i="7"/>
  <c r="BI75" i="7"/>
  <c r="BL112" i="7"/>
  <c r="BK91" i="7"/>
  <c r="BL91" i="7"/>
  <c r="BJ26" i="7"/>
  <c r="BK81" i="7"/>
  <c r="BL66" i="7"/>
  <c r="BJ8" i="7"/>
  <c r="BJ106" i="7"/>
  <c r="BF113" i="7"/>
  <c r="BL113" i="7"/>
  <c r="BK28" i="7"/>
  <c r="BL94" i="7"/>
  <c r="BI95" i="7"/>
  <c r="BI73" i="7"/>
  <c r="BK60" i="7"/>
  <c r="BK108" i="7"/>
  <c r="BF34" i="7"/>
  <c r="BL34" i="7"/>
  <c r="BK34" i="7"/>
  <c r="BJ72" i="7"/>
  <c r="BJ75" i="7"/>
  <c r="BL13" i="7"/>
  <c r="BK50" i="7"/>
  <c r="BK102" i="7"/>
  <c r="BJ102" i="7"/>
  <c r="BK123" i="7"/>
  <c r="BL123" i="7"/>
  <c r="BI11" i="7"/>
  <c r="BJ11" i="7"/>
  <c r="BJ105" i="7"/>
  <c r="BL114" i="7"/>
  <c r="BK46" i="7"/>
  <c r="BL38" i="7"/>
  <c r="BL7" i="7"/>
  <c r="BJ82" i="7"/>
  <c r="BL82" i="7"/>
  <c r="BK101" i="7"/>
  <c r="BK76" i="7"/>
  <c r="BJ68" i="7"/>
  <c r="BK29" i="7"/>
  <c r="BL29" i="7"/>
  <c r="BI19" i="7"/>
  <c r="BK54" i="7"/>
  <c r="BI91" i="7"/>
  <c r="BK87" i="7"/>
  <c r="BL95" i="7"/>
  <c r="BJ24" i="7"/>
  <c r="BL86" i="7"/>
  <c r="BK104" i="7"/>
  <c r="BL104" i="7"/>
  <c r="BI67" i="7"/>
  <c r="BI36" i="7"/>
  <c r="BJ119" i="7"/>
  <c r="BI68" i="7"/>
  <c r="BI100" i="7"/>
  <c r="BF97" i="7"/>
  <c r="BL79" i="7"/>
  <c r="BJ116" i="7"/>
  <c r="BK58" i="7"/>
  <c r="BL58" i="7"/>
  <c r="BJ43" i="7"/>
  <c r="BI51" i="7"/>
  <c r="BL51" i="7"/>
  <c r="BK16" i="7"/>
  <c r="BJ16" i="7"/>
  <c r="BI53" i="7"/>
  <c r="BI78" i="7"/>
  <c r="BG97" i="7"/>
  <c r="BJ83" i="7"/>
  <c r="BK71" i="7"/>
  <c r="BK117" i="7"/>
  <c r="BK13" i="7"/>
  <c r="BJ118" i="7"/>
  <c r="BI23" i="7"/>
  <c r="BH100" i="7"/>
  <c r="BE124" i="7"/>
  <c r="BL50" i="7"/>
  <c r="BJ71" i="7"/>
  <c r="BG38" i="7"/>
  <c r="BL32" i="7"/>
  <c r="BL75" i="7"/>
  <c r="BK95" i="7"/>
  <c r="BI22" i="7"/>
  <c r="BK98" i="7"/>
  <c r="BL36" i="7"/>
  <c r="BK65" i="7"/>
  <c r="BL115" i="7"/>
  <c r="BK115" i="7"/>
  <c r="BI105" i="7"/>
  <c r="BL37" i="7"/>
  <c r="BJ33" i="7"/>
  <c r="BK33" i="7"/>
  <c r="BJ110" i="7"/>
  <c r="BL110" i="7"/>
  <c r="BI69" i="7"/>
  <c r="BL31" i="7"/>
  <c r="BK31" i="7"/>
  <c r="BJ84" i="7"/>
  <c r="BK84" i="7"/>
  <c r="BG62" i="7"/>
  <c r="BG72" i="7"/>
  <c r="BI126" i="7"/>
  <c r="BL126" i="7"/>
  <c r="BI125" i="7"/>
  <c r="BE116" i="7"/>
  <c r="BF17" i="7"/>
  <c r="BJ100" i="7"/>
  <c r="BG100" i="7"/>
  <c r="BC120" i="7"/>
  <c r="BE120" i="7"/>
  <c r="BJ124" i="7"/>
  <c r="BI109" i="7"/>
  <c r="BL69" i="7"/>
  <c r="BK69" i="7"/>
  <c r="BJ107" i="7"/>
  <c r="BF69" i="7"/>
  <c r="BF62" i="7"/>
  <c r="BF72" i="7"/>
  <c r="BI14" i="7"/>
  <c r="BL14" i="7"/>
  <c r="BK40" i="7"/>
  <c r="BI74" i="7"/>
  <c r="BI26" i="7"/>
  <c r="BI47" i="7"/>
  <c r="BK7" i="7"/>
  <c r="BK116" i="7"/>
  <c r="BG116" i="7"/>
  <c r="BL116" i="7"/>
  <c r="BF116" i="7"/>
  <c r="BI116" i="7"/>
  <c r="BH116" i="7"/>
  <c r="BL35" i="7"/>
  <c r="BC52" i="7"/>
  <c r="BE52" i="7"/>
  <c r="BH72" i="7"/>
  <c r="BG17" i="7"/>
  <c r="BK106" i="7"/>
  <c r="BI25" i="7"/>
  <c r="BJ30" i="7"/>
  <c r="BL90" i="7"/>
  <c r="BK90" i="7"/>
  <c r="BJ12" i="7"/>
  <c r="BI97" i="7"/>
  <c r="BL23" i="7"/>
  <c r="BK112" i="7"/>
  <c r="BK68" i="7"/>
  <c r="BI12" i="7"/>
  <c r="BJ98" i="7"/>
  <c r="BJ42" i="7"/>
  <c r="BI90" i="7"/>
  <c r="BJ19" i="7"/>
  <c r="BI86" i="7"/>
  <c r="BJ122" i="7"/>
  <c r="BL122" i="7"/>
  <c r="BK107" i="7"/>
  <c r="BI55" i="7"/>
  <c r="BI28" i="7"/>
  <c r="BM28" i="7" s="1"/>
  <c r="BN28" i="7" s="1"/>
  <c r="BP28" i="7" s="1"/>
  <c r="BI13" i="7"/>
  <c r="BJ13" i="7"/>
  <c r="BJ47" i="7"/>
  <c r="BJ80" i="7"/>
  <c r="BI104" i="7"/>
  <c r="BI108" i="7"/>
  <c r="BK25" i="7"/>
  <c r="BK14" i="7"/>
  <c r="BL26" i="7"/>
  <c r="BI114" i="7"/>
  <c r="BJ103" i="7"/>
  <c r="BJ58" i="7"/>
  <c r="BI117" i="7"/>
  <c r="BJ91" i="7"/>
  <c r="BI40" i="7"/>
  <c r="BJ7" i="7"/>
  <c r="BL22" i="7"/>
  <c r="BL71" i="7"/>
  <c r="BJ94" i="7"/>
  <c r="BI127" i="7"/>
  <c r="BL127" i="7"/>
  <c r="BI81" i="7"/>
  <c r="BJ81" i="7"/>
  <c r="BI76" i="7"/>
  <c r="BI84" i="7"/>
  <c r="BJ99" i="7"/>
  <c r="BM99" i="7" s="1"/>
  <c r="BN99" i="7" s="1"/>
  <c r="BP99" i="7" s="1"/>
  <c r="BJ126" i="7"/>
  <c r="BI102" i="7"/>
  <c r="BL102" i="7"/>
  <c r="BK82" i="7"/>
  <c r="BI82" i="7"/>
  <c r="BI113" i="7"/>
  <c r="BK113" i="7"/>
  <c r="BI24" i="7"/>
  <c r="BL24" i="7"/>
  <c r="BI123" i="7"/>
  <c r="BI27" i="7"/>
  <c r="BK27" i="7"/>
  <c r="BI96" i="7"/>
  <c r="BJ96" i="7"/>
  <c r="BJ87" i="7"/>
  <c r="BL87" i="7"/>
  <c r="BK105" i="7"/>
  <c r="BJ40" i="7"/>
  <c r="BI63" i="7"/>
  <c r="BL63" i="7"/>
  <c r="BL67" i="7"/>
  <c r="BI29" i="7"/>
  <c r="BJ23" i="7"/>
  <c r="BL103" i="7"/>
  <c r="BL15" i="7"/>
  <c r="BL42" i="7"/>
  <c r="BI54" i="7"/>
  <c r="BJ54" i="7"/>
  <c r="BG47" i="7"/>
  <c r="BK57" i="7"/>
  <c r="BK19" i="7"/>
  <c r="BI16" i="7"/>
  <c r="BL16" i="7"/>
  <c r="BJ97" i="7"/>
  <c r="BL97" i="7"/>
  <c r="BK119" i="7"/>
  <c r="BI106" i="7"/>
  <c r="BJ51" i="7"/>
  <c r="BJ14" i="7"/>
  <c r="BI31" i="7"/>
  <c r="BI77" i="7"/>
  <c r="BL53" i="7"/>
  <c r="BL98" i="7"/>
  <c r="BJ101" i="7"/>
  <c r="BJ69" i="7"/>
  <c r="BK94" i="7"/>
  <c r="BJ35" i="7"/>
  <c r="BI56" i="7"/>
  <c r="BJ56" i="7"/>
  <c r="BK11" i="7"/>
  <c r="BJ65" i="7"/>
  <c r="BL46" i="7"/>
  <c r="BK130" i="7"/>
  <c r="BF47" i="7"/>
  <c r="BJ32" i="7"/>
  <c r="BJ74" i="7"/>
  <c r="BJ125" i="7"/>
  <c r="BI10" i="7"/>
  <c r="BJ10" i="7"/>
  <c r="BI110" i="7"/>
  <c r="BI60" i="7"/>
  <c r="BJ36" i="7"/>
  <c r="BI118" i="7"/>
  <c r="BK78" i="7"/>
  <c r="BI66" i="7"/>
  <c r="BC129" i="7"/>
  <c r="BJ129" i="7" s="1"/>
  <c r="BE129" i="7"/>
  <c r="BK72" i="7"/>
  <c r="BL73" i="7"/>
  <c r="BJ55" i="7"/>
  <c r="BM70" i="7"/>
  <c r="BN70" i="7" s="1"/>
  <c r="BP70" i="7" s="1"/>
  <c r="BQ70" i="7" s="1"/>
  <c r="BM111" i="7"/>
  <c r="BN111" i="7" s="1"/>
  <c r="BP111" i="7" s="1"/>
  <c r="BR111" i="7" s="1"/>
  <c r="BM44" i="7" l="1"/>
  <c r="BN44" i="7" s="1"/>
  <c r="BP44" i="7" s="1"/>
  <c r="BS44" i="7" s="1"/>
  <c r="BW44" i="7" s="1"/>
  <c r="BM21" i="7"/>
  <c r="BN21" i="7" s="1"/>
  <c r="BP21" i="7" s="1"/>
  <c r="BR21" i="7" s="1"/>
  <c r="BT21" i="7" s="1"/>
  <c r="BM30" i="7"/>
  <c r="BN30" i="7" s="1"/>
  <c r="BP30" i="7" s="1"/>
  <c r="BQ30" i="7" s="1"/>
  <c r="BM18" i="7"/>
  <c r="BN18" i="7" s="1"/>
  <c r="BP18" i="7" s="1"/>
  <c r="BS18" i="7" s="1"/>
  <c r="BX18" i="7" s="1"/>
  <c r="BM6" i="7"/>
  <c r="BN6" i="7" s="1"/>
  <c r="BP6" i="7" s="1"/>
  <c r="BQ6" i="7" s="1"/>
  <c r="BM63" i="7"/>
  <c r="BN63" i="7" s="1"/>
  <c r="BP63" i="7" s="1"/>
  <c r="BQ63" i="7" s="1"/>
  <c r="BM101" i="7"/>
  <c r="BN101" i="7" s="1"/>
  <c r="BP101" i="7" s="1"/>
  <c r="BR101" i="7" s="1"/>
  <c r="BV101" i="7" s="1"/>
  <c r="BM59" i="7"/>
  <c r="BN59" i="7" s="1"/>
  <c r="BP59" i="7" s="1"/>
  <c r="BR59" i="7" s="1"/>
  <c r="BT59" i="7" s="1"/>
  <c r="BJ67" i="7"/>
  <c r="BM85" i="7"/>
  <c r="BN85" i="7" s="1"/>
  <c r="BP85" i="7" s="1"/>
  <c r="BS85" i="7" s="1"/>
  <c r="BX85" i="7" s="1"/>
  <c r="BM57" i="7"/>
  <c r="BN57" i="7" s="1"/>
  <c r="BP57" i="7" s="1"/>
  <c r="BS57" i="7" s="1"/>
  <c r="BM5" i="7"/>
  <c r="BN5" i="7" s="1"/>
  <c r="BP5" i="7" s="1"/>
  <c r="BS5" i="7" s="1"/>
  <c r="BM56" i="7"/>
  <c r="BN56" i="7" s="1"/>
  <c r="BP56" i="7" s="1"/>
  <c r="BS56" i="7" s="1"/>
  <c r="BW56" i="7" s="1"/>
  <c r="BM121" i="7"/>
  <c r="BN121" i="7" s="1"/>
  <c r="BP121" i="7" s="1"/>
  <c r="BQ121" i="7" s="1"/>
  <c r="BM20" i="7"/>
  <c r="BN20" i="7" s="1"/>
  <c r="BP20" i="7" s="1"/>
  <c r="BS20" i="7" s="1"/>
  <c r="BW20" i="7" s="1"/>
  <c r="BM103" i="7"/>
  <c r="BN103" i="7" s="1"/>
  <c r="BP103" i="7" s="1"/>
  <c r="BQ103" i="7" s="1"/>
  <c r="BM128" i="7"/>
  <c r="BN128" i="7" s="1"/>
  <c r="BP128" i="7" s="1"/>
  <c r="BQ128" i="7" s="1"/>
  <c r="BM39" i="7"/>
  <c r="BN39" i="7" s="1"/>
  <c r="BP39" i="7" s="1"/>
  <c r="BR39" i="7" s="1"/>
  <c r="BT39" i="7" s="1"/>
  <c r="BM123" i="7"/>
  <c r="BN123" i="7" s="1"/>
  <c r="BP123" i="7" s="1"/>
  <c r="BS123" i="7" s="1"/>
  <c r="BX123" i="7" s="1"/>
  <c r="BM50" i="7"/>
  <c r="BN50" i="7" s="1"/>
  <c r="BP50" i="7" s="1"/>
  <c r="BS50" i="7" s="1"/>
  <c r="BK42" i="7"/>
  <c r="BM42" i="7" s="1"/>
  <c r="BN42" i="7" s="1"/>
  <c r="BP42" i="7" s="1"/>
  <c r="BR42" i="7" s="1"/>
  <c r="BM106" i="7"/>
  <c r="BN106" i="7" s="1"/>
  <c r="BP106" i="7" s="1"/>
  <c r="BQ106" i="7" s="1"/>
  <c r="BM80" i="7"/>
  <c r="BN80" i="7" s="1"/>
  <c r="BP80" i="7" s="1"/>
  <c r="BR80" i="7" s="1"/>
  <c r="BV80" i="7" s="1"/>
  <c r="BM78" i="7"/>
  <c r="BN78" i="7" s="1"/>
  <c r="BP78" i="7" s="1"/>
  <c r="BR78" i="7" s="1"/>
  <c r="BM75" i="7"/>
  <c r="BN75" i="7" s="1"/>
  <c r="BP75" i="7" s="1"/>
  <c r="BR75" i="7" s="1"/>
  <c r="BV75" i="7" s="1"/>
  <c r="BM24" i="7"/>
  <c r="BN24" i="7" s="1"/>
  <c r="BP24" i="7" s="1"/>
  <c r="BS24" i="7" s="1"/>
  <c r="BI130" i="7"/>
  <c r="BM130" i="7" s="1"/>
  <c r="BN130" i="7" s="1"/>
  <c r="BP130" i="7" s="1"/>
  <c r="BS130" i="7" s="1"/>
  <c r="BK10" i="7"/>
  <c r="BM10" i="7" s="1"/>
  <c r="BN10" i="7" s="1"/>
  <c r="BP10" i="7" s="1"/>
  <c r="BQ10" i="7" s="1"/>
  <c r="BM67" i="7"/>
  <c r="BN67" i="7" s="1"/>
  <c r="BP67" i="7" s="1"/>
  <c r="BQ67" i="7" s="1"/>
  <c r="BI32" i="7"/>
  <c r="BM32" i="7" s="1"/>
  <c r="BN32" i="7" s="1"/>
  <c r="BP32" i="7" s="1"/>
  <c r="BR32" i="7" s="1"/>
  <c r="BM91" i="7"/>
  <c r="BN91" i="7" s="1"/>
  <c r="BP91" i="7" s="1"/>
  <c r="BS91" i="7" s="1"/>
  <c r="BW91" i="7" s="1"/>
  <c r="BM25" i="7"/>
  <c r="BN25" i="7" s="1"/>
  <c r="BP25" i="7" s="1"/>
  <c r="BS25" i="7" s="1"/>
  <c r="BW25" i="7" s="1"/>
  <c r="BM86" i="7"/>
  <c r="BN86" i="7" s="1"/>
  <c r="BP86" i="7" s="1"/>
  <c r="BR86" i="7" s="1"/>
  <c r="BM93" i="7"/>
  <c r="BN93" i="7" s="1"/>
  <c r="BP93" i="7" s="1"/>
  <c r="BQ93" i="7" s="1"/>
  <c r="BM64" i="7"/>
  <c r="BN64" i="7" s="1"/>
  <c r="BP64" i="7" s="1"/>
  <c r="BR64" i="7" s="1"/>
  <c r="BT64" i="7" s="1"/>
  <c r="BM60" i="7"/>
  <c r="BN60" i="7" s="1"/>
  <c r="BP60" i="7" s="1"/>
  <c r="BQ60" i="7" s="1"/>
  <c r="BM125" i="7"/>
  <c r="BN125" i="7" s="1"/>
  <c r="BP125" i="7" s="1"/>
  <c r="BR125" i="7" s="1"/>
  <c r="BT125" i="7" s="1"/>
  <c r="BM84" i="7"/>
  <c r="BN84" i="7" s="1"/>
  <c r="BP84" i="7" s="1"/>
  <c r="BR84" i="7" s="1"/>
  <c r="BM104" i="7"/>
  <c r="BN104" i="7" s="1"/>
  <c r="BP104" i="7" s="1"/>
  <c r="BQ104" i="7" s="1"/>
  <c r="BM89" i="7"/>
  <c r="BN89" i="7" s="1"/>
  <c r="BP89" i="7" s="1"/>
  <c r="BS89" i="7" s="1"/>
  <c r="BX89" i="7" s="1"/>
  <c r="BI122" i="7"/>
  <c r="BM122" i="7" s="1"/>
  <c r="BN122" i="7" s="1"/>
  <c r="BP122" i="7" s="1"/>
  <c r="BQ122" i="7" s="1"/>
  <c r="BM46" i="7"/>
  <c r="BN46" i="7" s="1"/>
  <c r="BP46" i="7" s="1"/>
  <c r="BS46" i="7" s="1"/>
  <c r="BM34" i="7"/>
  <c r="BN34" i="7" s="1"/>
  <c r="BP34" i="7" s="1"/>
  <c r="BS34" i="7" s="1"/>
  <c r="BZ34" i="7" s="1"/>
  <c r="BM124" i="7"/>
  <c r="BN124" i="7" s="1"/>
  <c r="BP124" i="7" s="1"/>
  <c r="BQ124" i="7" s="1"/>
  <c r="BM48" i="7"/>
  <c r="BN48" i="7" s="1"/>
  <c r="BP48" i="7" s="1"/>
  <c r="BR48" i="7" s="1"/>
  <c r="BV48" i="7" s="1"/>
  <c r="BM49" i="7"/>
  <c r="BN49" i="7" s="1"/>
  <c r="BP49" i="7" s="1"/>
  <c r="BS49" i="7" s="1"/>
  <c r="BW49" i="7" s="1"/>
  <c r="BM41" i="7"/>
  <c r="BN41" i="7" s="1"/>
  <c r="BP41" i="7" s="1"/>
  <c r="BQ41" i="7" s="1"/>
  <c r="BM14" i="7"/>
  <c r="BN14" i="7" s="1"/>
  <c r="BP14" i="7" s="1"/>
  <c r="BS14" i="7" s="1"/>
  <c r="BM33" i="7"/>
  <c r="BN33" i="7" s="1"/>
  <c r="BP33" i="7" s="1"/>
  <c r="BR33" i="7" s="1"/>
  <c r="BV33" i="7" s="1"/>
  <c r="BM36" i="7"/>
  <c r="BN36" i="7" s="1"/>
  <c r="BP36" i="7" s="1"/>
  <c r="BQ36" i="7" s="1"/>
  <c r="BM9" i="7"/>
  <c r="BN9" i="7" s="1"/>
  <c r="BP9" i="7" s="1"/>
  <c r="BQ9" i="7" s="1"/>
  <c r="BM43" i="7"/>
  <c r="BN43" i="7" s="1"/>
  <c r="BP43" i="7" s="1"/>
  <c r="BR43" i="7" s="1"/>
  <c r="BM118" i="7"/>
  <c r="BN118" i="7" s="1"/>
  <c r="BP118" i="7" s="1"/>
  <c r="BR118" i="7" s="1"/>
  <c r="BM7" i="7"/>
  <c r="BN7" i="7" s="1"/>
  <c r="BP7" i="7" s="1"/>
  <c r="BS7" i="7" s="1"/>
  <c r="BM58" i="7"/>
  <c r="BN58" i="7" s="1"/>
  <c r="BP58" i="7" s="1"/>
  <c r="BR58" i="7" s="1"/>
  <c r="BT58" i="7" s="1"/>
  <c r="BM112" i="7"/>
  <c r="BN112" i="7" s="1"/>
  <c r="BP112" i="7" s="1"/>
  <c r="BR112" i="7" s="1"/>
  <c r="BT112" i="7" s="1"/>
  <c r="BK74" i="7"/>
  <c r="BM74" i="7" s="1"/>
  <c r="BN74" i="7" s="1"/>
  <c r="BP74" i="7" s="1"/>
  <c r="BR74" i="7" s="1"/>
  <c r="BT74" i="7" s="1"/>
  <c r="BM94" i="7"/>
  <c r="BN94" i="7" s="1"/>
  <c r="BP94" i="7" s="1"/>
  <c r="BR94" i="7" s="1"/>
  <c r="BM54" i="7"/>
  <c r="BN54" i="7" s="1"/>
  <c r="BP54" i="7" s="1"/>
  <c r="BQ54" i="7" s="1"/>
  <c r="BM27" i="7"/>
  <c r="BN27" i="7" s="1"/>
  <c r="BP27" i="7" s="1"/>
  <c r="BR27" i="7" s="1"/>
  <c r="BM26" i="7"/>
  <c r="BN26" i="7" s="1"/>
  <c r="BP26" i="7" s="1"/>
  <c r="BS26" i="7" s="1"/>
  <c r="CA26" i="7" s="1"/>
  <c r="BM108" i="7"/>
  <c r="BN108" i="7" s="1"/>
  <c r="BP108" i="7" s="1"/>
  <c r="BS108" i="7" s="1"/>
  <c r="BY108" i="7" s="1"/>
  <c r="BM107" i="7"/>
  <c r="BN107" i="7" s="1"/>
  <c r="BP107" i="7" s="1"/>
  <c r="BS107" i="7" s="1"/>
  <c r="BJ115" i="7"/>
  <c r="BM100" i="7"/>
  <c r="BN100" i="7" s="1"/>
  <c r="BP100" i="7" s="1"/>
  <c r="BQ100" i="7" s="1"/>
  <c r="BM82" i="7"/>
  <c r="BN82" i="7" s="1"/>
  <c r="BP82" i="7" s="1"/>
  <c r="BS82" i="7" s="1"/>
  <c r="BW82" i="7" s="1"/>
  <c r="BM81" i="7"/>
  <c r="BN81" i="7" s="1"/>
  <c r="BP81" i="7" s="1"/>
  <c r="BR81" i="7" s="1"/>
  <c r="BV81" i="7" s="1"/>
  <c r="BM117" i="7"/>
  <c r="BN117" i="7" s="1"/>
  <c r="BP117" i="7" s="1"/>
  <c r="BR117" i="7" s="1"/>
  <c r="BM65" i="7"/>
  <c r="BN65" i="7" s="1"/>
  <c r="BP65" i="7" s="1"/>
  <c r="BQ65" i="7" s="1"/>
  <c r="BM95" i="7"/>
  <c r="BN95" i="7" s="1"/>
  <c r="BP95" i="7" s="1"/>
  <c r="BQ95" i="7" s="1"/>
  <c r="BM77" i="7"/>
  <c r="BN77" i="7" s="1"/>
  <c r="BP77" i="7" s="1"/>
  <c r="BQ77" i="7" s="1"/>
  <c r="BM29" i="7"/>
  <c r="BN29" i="7" s="1"/>
  <c r="BP29" i="7" s="1"/>
  <c r="BR29" i="7" s="1"/>
  <c r="BI15" i="7"/>
  <c r="BM15" i="7" s="1"/>
  <c r="BN15" i="7" s="1"/>
  <c r="BP15" i="7" s="1"/>
  <c r="BM19" i="7"/>
  <c r="BN19" i="7" s="1"/>
  <c r="BP19" i="7" s="1"/>
  <c r="BQ19" i="7" s="1"/>
  <c r="BM119" i="7"/>
  <c r="BN119" i="7" s="1"/>
  <c r="BP119" i="7" s="1"/>
  <c r="BS119" i="7" s="1"/>
  <c r="BM83" i="7"/>
  <c r="BN83" i="7" s="1"/>
  <c r="BP83" i="7" s="1"/>
  <c r="BR83" i="7" s="1"/>
  <c r="BM8" i="7"/>
  <c r="BN8" i="7" s="1"/>
  <c r="BP8" i="7" s="1"/>
  <c r="BS8" i="7" s="1"/>
  <c r="BM79" i="7"/>
  <c r="BN79" i="7" s="1"/>
  <c r="BP79" i="7" s="1"/>
  <c r="BR79" i="7" s="1"/>
  <c r="BM17" i="7"/>
  <c r="BN17" i="7" s="1"/>
  <c r="BP17" i="7" s="1"/>
  <c r="BQ17" i="7" s="1"/>
  <c r="BM16" i="7"/>
  <c r="BN16" i="7" s="1"/>
  <c r="BP16" i="7" s="1"/>
  <c r="BS16" i="7" s="1"/>
  <c r="BX16" i="7" s="1"/>
  <c r="BJ73" i="7"/>
  <c r="BM73" i="7" s="1"/>
  <c r="BN73" i="7" s="1"/>
  <c r="BP73" i="7" s="1"/>
  <c r="BM109" i="7"/>
  <c r="BN109" i="7" s="1"/>
  <c r="BP109" i="7" s="1"/>
  <c r="BR109" i="7" s="1"/>
  <c r="BV109" i="7" s="1"/>
  <c r="BM114" i="7"/>
  <c r="BN114" i="7" s="1"/>
  <c r="BP114" i="7" s="1"/>
  <c r="BR114" i="7" s="1"/>
  <c r="BV114" i="7" s="1"/>
  <c r="BM12" i="7"/>
  <c r="BN12" i="7" s="1"/>
  <c r="BP12" i="7" s="1"/>
  <c r="BQ12" i="7" s="1"/>
  <c r="BM88" i="7"/>
  <c r="BN88" i="7" s="1"/>
  <c r="BP88" i="7" s="1"/>
  <c r="BS88" i="7" s="1"/>
  <c r="BX88" i="7" s="1"/>
  <c r="BK38" i="7"/>
  <c r="BM38" i="7" s="1"/>
  <c r="BN38" i="7" s="1"/>
  <c r="BP38" i="7" s="1"/>
  <c r="BM68" i="7"/>
  <c r="BN68" i="7" s="1"/>
  <c r="BP68" i="7" s="1"/>
  <c r="BR68" i="7" s="1"/>
  <c r="BV68" i="7" s="1"/>
  <c r="BM66" i="7"/>
  <c r="BN66" i="7" s="1"/>
  <c r="BP66" i="7" s="1"/>
  <c r="BS66" i="7" s="1"/>
  <c r="BM62" i="7"/>
  <c r="BN62" i="7" s="1"/>
  <c r="BP62" i="7" s="1"/>
  <c r="BQ62" i="7" s="1"/>
  <c r="BM76" i="7"/>
  <c r="BN76" i="7" s="1"/>
  <c r="BP76" i="7" s="1"/>
  <c r="BR76" i="7" s="1"/>
  <c r="BT76" i="7" s="1"/>
  <c r="BM13" i="7"/>
  <c r="BN13" i="7" s="1"/>
  <c r="BP13" i="7" s="1"/>
  <c r="BS13" i="7" s="1"/>
  <c r="BW13" i="7" s="1"/>
  <c r="BM115" i="7"/>
  <c r="BN115" i="7" s="1"/>
  <c r="BP115" i="7" s="1"/>
  <c r="BS115" i="7" s="1"/>
  <c r="BY115" i="7" s="1"/>
  <c r="BM51" i="7"/>
  <c r="BN51" i="7" s="1"/>
  <c r="BP51" i="7" s="1"/>
  <c r="BQ51" i="7" s="1"/>
  <c r="BK22" i="7"/>
  <c r="BM22" i="7" s="1"/>
  <c r="BN22" i="7" s="1"/>
  <c r="BP22" i="7" s="1"/>
  <c r="BM37" i="7"/>
  <c r="BN37" i="7" s="1"/>
  <c r="BP37" i="7" s="1"/>
  <c r="BQ37" i="7" s="1"/>
  <c r="BM45" i="7"/>
  <c r="BN45" i="7" s="1"/>
  <c r="BP45" i="7" s="1"/>
  <c r="BS45" i="7" s="1"/>
  <c r="BM90" i="7"/>
  <c r="BN90" i="7" s="1"/>
  <c r="BP90" i="7" s="1"/>
  <c r="BQ90" i="7" s="1"/>
  <c r="BM102" i="7"/>
  <c r="BN102" i="7" s="1"/>
  <c r="BP102" i="7" s="1"/>
  <c r="BS102" i="7" s="1"/>
  <c r="BM113" i="7"/>
  <c r="BN113" i="7" s="1"/>
  <c r="BP113" i="7" s="1"/>
  <c r="BS113" i="7" s="1"/>
  <c r="BX113" i="7" s="1"/>
  <c r="BS61" i="7"/>
  <c r="BY61" i="7" s="1"/>
  <c r="BQ48" i="7"/>
  <c r="BM31" i="7"/>
  <c r="BN31" i="7" s="1"/>
  <c r="BP31" i="7" s="1"/>
  <c r="BS31" i="7" s="1"/>
  <c r="BY31" i="7" s="1"/>
  <c r="BM105" i="7"/>
  <c r="BN105" i="7" s="1"/>
  <c r="BP105" i="7" s="1"/>
  <c r="BQ105" i="7" s="1"/>
  <c r="BR61" i="7"/>
  <c r="BT61" i="7" s="1"/>
  <c r="BM72" i="7"/>
  <c r="BN72" i="7" s="1"/>
  <c r="BP72" i="7" s="1"/>
  <c r="BQ72" i="7" s="1"/>
  <c r="BM110" i="7"/>
  <c r="BN110" i="7" s="1"/>
  <c r="BP110" i="7" s="1"/>
  <c r="BS110" i="7" s="1"/>
  <c r="BX110" i="7" s="1"/>
  <c r="BM11" i="7"/>
  <c r="BN11" i="7" s="1"/>
  <c r="BP11" i="7" s="1"/>
  <c r="BS11" i="7" s="1"/>
  <c r="CA11" i="7" s="1"/>
  <c r="BM53" i="7"/>
  <c r="BN53" i="7" s="1"/>
  <c r="BP53" i="7" s="1"/>
  <c r="BR53" i="7" s="1"/>
  <c r="BT53" i="7" s="1"/>
  <c r="BM97" i="7"/>
  <c r="BN97" i="7" s="1"/>
  <c r="BP97" i="7" s="1"/>
  <c r="BQ97" i="7" s="1"/>
  <c r="BM23" i="7"/>
  <c r="BN23" i="7" s="1"/>
  <c r="BP23" i="7" s="1"/>
  <c r="BR23" i="7" s="1"/>
  <c r="BM87" i="7"/>
  <c r="BN87" i="7" s="1"/>
  <c r="BP87" i="7" s="1"/>
  <c r="BS87" i="7" s="1"/>
  <c r="BX87" i="7" s="1"/>
  <c r="BM127" i="7"/>
  <c r="BN127" i="7" s="1"/>
  <c r="BP127" i="7" s="1"/>
  <c r="BQ127" i="7" s="1"/>
  <c r="BM71" i="7"/>
  <c r="BN71" i="7" s="1"/>
  <c r="BP71" i="7" s="1"/>
  <c r="BS71" i="7" s="1"/>
  <c r="BW71" i="7" s="1"/>
  <c r="BM96" i="7"/>
  <c r="BN96" i="7" s="1"/>
  <c r="BP96" i="7" s="1"/>
  <c r="BL52" i="7"/>
  <c r="BJ52" i="7"/>
  <c r="BJ120" i="7"/>
  <c r="BK120" i="7"/>
  <c r="BM47" i="7"/>
  <c r="BN47" i="7" s="1"/>
  <c r="BP47" i="7" s="1"/>
  <c r="BQ47" i="7" s="1"/>
  <c r="BM98" i="7"/>
  <c r="BN98" i="7" s="1"/>
  <c r="BP98" i="7" s="1"/>
  <c r="BR98" i="7" s="1"/>
  <c r="BM35" i="7"/>
  <c r="BN35" i="7" s="1"/>
  <c r="BP35" i="7" s="1"/>
  <c r="BQ35" i="7" s="1"/>
  <c r="BM40" i="7"/>
  <c r="BN40" i="7" s="1"/>
  <c r="BP40" i="7" s="1"/>
  <c r="BQ40" i="7" s="1"/>
  <c r="BM69" i="7"/>
  <c r="BN69" i="7" s="1"/>
  <c r="BP69" i="7" s="1"/>
  <c r="BQ69" i="7" s="1"/>
  <c r="BM126" i="7"/>
  <c r="BN126" i="7" s="1"/>
  <c r="BP126" i="7" s="1"/>
  <c r="BR126" i="7" s="1"/>
  <c r="BV126" i="7" s="1"/>
  <c r="BL120" i="7"/>
  <c r="BI120" i="7"/>
  <c r="BK52" i="7"/>
  <c r="BI52" i="7"/>
  <c r="BM116" i="7"/>
  <c r="BN116" i="7" s="1"/>
  <c r="BP116" i="7" s="1"/>
  <c r="BM55" i="7"/>
  <c r="BN55" i="7" s="1"/>
  <c r="BP55" i="7" s="1"/>
  <c r="BS55" i="7" s="1"/>
  <c r="BI129" i="7"/>
  <c r="BL129" i="7"/>
  <c r="BQ92" i="7"/>
  <c r="BR92" i="7"/>
  <c r="BV92" i="7" s="1"/>
  <c r="BR70" i="7"/>
  <c r="BV70" i="7" s="1"/>
  <c r="CC39" i="7"/>
  <c r="CB39" i="7"/>
  <c r="BS70" i="7"/>
  <c r="BQ111" i="7"/>
  <c r="BS111" i="7"/>
  <c r="CA82" i="7"/>
  <c r="CB20" i="7"/>
  <c r="CA85" i="7"/>
  <c r="CB85" i="7"/>
  <c r="BW92" i="7"/>
  <c r="BX92" i="7"/>
  <c r="BY92" i="7"/>
  <c r="CA123" i="7"/>
  <c r="BS28" i="7"/>
  <c r="BR28" i="7"/>
  <c r="BQ28" i="7"/>
  <c r="BS99" i="7"/>
  <c r="BQ99" i="7"/>
  <c r="BR99" i="7"/>
  <c r="BT111" i="7"/>
  <c r="BV111" i="7"/>
  <c r="CA49" i="7"/>
  <c r="BY44" i="7" l="1"/>
  <c r="BQ44" i="7"/>
  <c r="BX44" i="7"/>
  <c r="BR44" i="7"/>
  <c r="BV44" i="7" s="1"/>
  <c r="BR30" i="7"/>
  <c r="BV30" i="7" s="1"/>
  <c r="BV21" i="7"/>
  <c r="BQ21" i="7"/>
  <c r="BS21" i="7"/>
  <c r="BW21" i="7" s="1"/>
  <c r="BS30" i="7"/>
  <c r="BX30" i="7" s="1"/>
  <c r="BQ39" i="7"/>
  <c r="BW18" i="7"/>
  <c r="BQ18" i="7"/>
  <c r="BY18" i="7"/>
  <c r="BR18" i="7"/>
  <c r="BT18" i="7" s="1"/>
  <c r="CB18" i="7" s="1"/>
  <c r="BV59" i="7"/>
  <c r="BS59" i="7"/>
  <c r="BW59" i="7" s="1"/>
  <c r="BS6" i="7"/>
  <c r="BX6" i="7" s="1"/>
  <c r="BR6" i="7"/>
  <c r="BV6" i="7" s="1"/>
  <c r="BQ101" i="7"/>
  <c r="BS101" i="7"/>
  <c r="BX101" i="7" s="1"/>
  <c r="BT101" i="7"/>
  <c r="BS63" i="7"/>
  <c r="BY63" i="7" s="1"/>
  <c r="BQ56" i="7"/>
  <c r="BS121" i="7"/>
  <c r="BW121" i="7" s="1"/>
  <c r="BR63" i="7"/>
  <c r="BT63" i="7" s="1"/>
  <c r="BQ59" i="7"/>
  <c r="BR20" i="7"/>
  <c r="BT20" i="7" s="1"/>
  <c r="CC20" i="7" s="1"/>
  <c r="BY56" i="7"/>
  <c r="BX56" i="7"/>
  <c r="BQ85" i="7"/>
  <c r="BR56" i="7"/>
  <c r="BV56" i="7" s="1"/>
  <c r="BW85" i="7"/>
  <c r="BR85" i="7"/>
  <c r="BT85" i="7" s="1"/>
  <c r="CC85" i="7" s="1"/>
  <c r="BY85" i="7"/>
  <c r="BZ85" i="7"/>
  <c r="BQ57" i="7"/>
  <c r="BQ50" i="7"/>
  <c r="BY20" i="7"/>
  <c r="BX20" i="7"/>
  <c r="BR57" i="7"/>
  <c r="BT57" i="7" s="1"/>
  <c r="CC57" i="7" s="1"/>
  <c r="BQ20" i="7"/>
  <c r="BQ5" i="7"/>
  <c r="BR103" i="7"/>
  <c r="BV103" i="7" s="1"/>
  <c r="BR50" i="7"/>
  <c r="BV50" i="7" s="1"/>
  <c r="BR5" i="7"/>
  <c r="BV5" i="7" s="1"/>
  <c r="BS103" i="7"/>
  <c r="CA103" i="7" s="1"/>
  <c r="BR121" i="7"/>
  <c r="BT121" i="7" s="1"/>
  <c r="BZ121" i="7" s="1"/>
  <c r="BS128" i="7"/>
  <c r="CA128" i="7" s="1"/>
  <c r="BR128" i="7"/>
  <c r="BV128" i="7" s="1"/>
  <c r="BV39" i="7"/>
  <c r="BY123" i="7"/>
  <c r="BW123" i="7"/>
  <c r="BR123" i="7"/>
  <c r="BV123" i="7" s="1"/>
  <c r="BS39" i="7"/>
  <c r="BW39" i="7" s="1"/>
  <c r="BQ123" i="7"/>
  <c r="BS106" i="7"/>
  <c r="BY106" i="7" s="1"/>
  <c r="BR106" i="7"/>
  <c r="BT106" i="7" s="1"/>
  <c r="CC106" i="7" s="1"/>
  <c r="BQ84" i="7"/>
  <c r="BR24" i="7"/>
  <c r="BV24" i="7" s="1"/>
  <c r="BS19" i="7"/>
  <c r="BX19" i="7" s="1"/>
  <c r="BT80" i="7"/>
  <c r="BQ46" i="7"/>
  <c r="BS80" i="7"/>
  <c r="BW80" i="7" s="1"/>
  <c r="BQ80" i="7"/>
  <c r="BS78" i="7"/>
  <c r="BX78" i="7" s="1"/>
  <c r="CA25" i="7"/>
  <c r="BS37" i="7"/>
  <c r="BZ37" i="7" s="1"/>
  <c r="BS60" i="7"/>
  <c r="BX60" i="7" s="1"/>
  <c r="BS41" i="7"/>
  <c r="BY41" i="7" s="1"/>
  <c r="BW34" i="7"/>
  <c r="BQ78" i="7"/>
  <c r="BR13" i="7"/>
  <c r="BV13" i="7" s="1"/>
  <c r="BS105" i="7"/>
  <c r="BX105" i="7" s="1"/>
  <c r="BY13" i="7"/>
  <c r="BR25" i="7"/>
  <c r="BV25" i="7" s="1"/>
  <c r="BR34" i="7"/>
  <c r="BT34" i="7" s="1"/>
  <c r="CA34" i="7" s="1"/>
  <c r="BR9" i="7"/>
  <c r="BV9" i="7" s="1"/>
  <c r="BR14" i="7"/>
  <c r="BT14" i="7" s="1"/>
  <c r="BZ14" i="7" s="1"/>
  <c r="BS43" i="7"/>
  <c r="BW43" i="7" s="1"/>
  <c r="BY11" i="7"/>
  <c r="BS117" i="7"/>
  <c r="BX117" i="7" s="1"/>
  <c r="BQ75" i="7"/>
  <c r="BT75" i="7"/>
  <c r="BX13" i="7"/>
  <c r="BQ89" i="7"/>
  <c r="BW113" i="7"/>
  <c r="BQ14" i="7"/>
  <c r="BQ16" i="7"/>
  <c r="BS29" i="7"/>
  <c r="BX29" i="7" s="1"/>
  <c r="BR67" i="7"/>
  <c r="BV67" i="7" s="1"/>
  <c r="BS67" i="7"/>
  <c r="BX67" i="7" s="1"/>
  <c r="BQ117" i="7"/>
  <c r="BS12" i="7"/>
  <c r="BY12" i="7" s="1"/>
  <c r="BZ87" i="7"/>
  <c r="BQ27" i="7"/>
  <c r="BS75" i="7"/>
  <c r="BX75" i="7" s="1"/>
  <c r="BS84" i="7"/>
  <c r="BX84" i="7" s="1"/>
  <c r="BW110" i="7"/>
  <c r="BR37" i="7"/>
  <c r="BV37" i="7" s="1"/>
  <c r="BS93" i="7"/>
  <c r="BX93" i="7" s="1"/>
  <c r="BT48" i="7"/>
  <c r="BR26" i="7"/>
  <c r="BT26" i="7" s="1"/>
  <c r="CB26" i="7" s="1"/>
  <c r="BS122" i="7"/>
  <c r="BY122" i="7" s="1"/>
  <c r="BR31" i="7"/>
  <c r="BV31" i="7" s="1"/>
  <c r="BQ53" i="7"/>
  <c r="BR127" i="7"/>
  <c r="BT127" i="7" s="1"/>
  <c r="BT33" i="7"/>
  <c r="BS98" i="7"/>
  <c r="BY98" i="7" s="1"/>
  <c r="BT126" i="7"/>
  <c r="BS48" i="7"/>
  <c r="BW48" i="7" s="1"/>
  <c r="BR93" i="7"/>
  <c r="BT93" i="7" s="1"/>
  <c r="BR36" i="7"/>
  <c r="BT36" i="7" s="1"/>
  <c r="BX31" i="7"/>
  <c r="BQ110" i="7"/>
  <c r="BR72" i="7"/>
  <c r="BV72" i="7" s="1"/>
  <c r="BW31" i="7"/>
  <c r="BQ79" i="7"/>
  <c r="BW11" i="7"/>
  <c r="BZ91" i="7"/>
  <c r="BY49" i="7"/>
  <c r="BR62" i="7"/>
  <c r="BT62" i="7" s="1"/>
  <c r="BQ29" i="7"/>
  <c r="BZ26" i="7"/>
  <c r="BW61" i="7"/>
  <c r="BR122" i="7"/>
  <c r="BV122" i="7" s="1"/>
  <c r="BQ43" i="7"/>
  <c r="BQ24" i="7"/>
  <c r="BX91" i="7"/>
  <c r="BZ88" i="7"/>
  <c r="BS27" i="7"/>
  <c r="BW27" i="7" s="1"/>
  <c r="BS118" i="7"/>
  <c r="BW118" i="7" s="1"/>
  <c r="BR91" i="7"/>
  <c r="BT91" i="7" s="1"/>
  <c r="CB91" i="7" s="1"/>
  <c r="BR49" i="7"/>
  <c r="BT49" i="7" s="1"/>
  <c r="CC49" i="7" s="1"/>
  <c r="BS64" i="7"/>
  <c r="BY64" i="7" s="1"/>
  <c r="BR87" i="7"/>
  <c r="BT87" i="7" s="1"/>
  <c r="CA87" i="7" s="1"/>
  <c r="BQ112" i="7"/>
  <c r="BS112" i="7"/>
  <c r="CC112" i="7" s="1"/>
  <c r="BW26" i="7"/>
  <c r="BW87" i="7"/>
  <c r="BR46" i="7"/>
  <c r="BV46" i="7" s="1"/>
  <c r="BQ49" i="7"/>
  <c r="BQ11" i="7"/>
  <c r="BQ64" i="7"/>
  <c r="BR88" i="7"/>
  <c r="BV88" i="7" s="1"/>
  <c r="BX49" i="7"/>
  <c r="BV64" i="7"/>
  <c r="BQ83" i="7"/>
  <c r="BZ11" i="7"/>
  <c r="BS51" i="7"/>
  <c r="BW51" i="7" s="1"/>
  <c r="BY91" i="7"/>
  <c r="BQ118" i="7"/>
  <c r="BS65" i="7"/>
  <c r="BY65" i="7" s="1"/>
  <c r="BS69" i="7"/>
  <c r="BW69" i="7" s="1"/>
  <c r="BQ26" i="7"/>
  <c r="BS33" i="7"/>
  <c r="BZ33" i="7" s="1"/>
  <c r="BS104" i="7"/>
  <c r="BW104" i="7" s="1"/>
  <c r="BV112" i="7"/>
  <c r="BR73" i="7"/>
  <c r="BT73" i="7" s="1"/>
  <c r="CB73" i="7" s="1"/>
  <c r="BS73" i="7"/>
  <c r="BX73" i="7" s="1"/>
  <c r="BS47" i="7"/>
  <c r="BY47" i="7" s="1"/>
  <c r="BX26" i="7"/>
  <c r="BY26" i="7"/>
  <c r="BR66" i="7"/>
  <c r="BV66" i="7" s="1"/>
  <c r="BQ8" i="7"/>
  <c r="BW88" i="7"/>
  <c r="BR45" i="7"/>
  <c r="BV45" i="7" s="1"/>
  <c r="BQ91" i="7"/>
  <c r="BQ76" i="7"/>
  <c r="BS100" i="7"/>
  <c r="CA100" i="7" s="1"/>
  <c r="BQ66" i="7"/>
  <c r="BY88" i="7"/>
  <c r="BR100" i="7"/>
  <c r="BV100" i="7" s="1"/>
  <c r="BR8" i="7"/>
  <c r="BT8" i="7" s="1"/>
  <c r="CC8" i="7" s="1"/>
  <c r="BQ33" i="7"/>
  <c r="BR65" i="7"/>
  <c r="BV65" i="7" s="1"/>
  <c r="BQ88" i="7"/>
  <c r="BR104" i="7"/>
  <c r="BV104" i="7" s="1"/>
  <c r="BY34" i="7"/>
  <c r="BQ7" i="7"/>
  <c r="BY25" i="7"/>
  <c r="BS42" i="7"/>
  <c r="BX42" i="7" s="1"/>
  <c r="BS36" i="7"/>
  <c r="BX36" i="7" s="1"/>
  <c r="BX108" i="7"/>
  <c r="BX82" i="7"/>
  <c r="BY71" i="7"/>
  <c r="BR41" i="7"/>
  <c r="BV41" i="7" s="1"/>
  <c r="BX34" i="7"/>
  <c r="BR7" i="7"/>
  <c r="BT7" i="7" s="1"/>
  <c r="BZ7" i="7" s="1"/>
  <c r="BS95" i="7"/>
  <c r="BY95" i="7" s="1"/>
  <c r="BX25" i="7"/>
  <c r="BQ42" i="7"/>
  <c r="BS90" i="7"/>
  <c r="BY90" i="7" s="1"/>
  <c r="BR108" i="7"/>
  <c r="BT108" i="7" s="1"/>
  <c r="CC108" i="7" s="1"/>
  <c r="BT109" i="7"/>
  <c r="CA109" i="7" s="1"/>
  <c r="BR60" i="7"/>
  <c r="BT60" i="7" s="1"/>
  <c r="CC60" i="7" s="1"/>
  <c r="BQ25" i="7"/>
  <c r="BQ34" i="7"/>
  <c r="BQ86" i="7"/>
  <c r="BR17" i="7"/>
  <c r="BT17" i="7" s="1"/>
  <c r="BT68" i="7"/>
  <c r="BV76" i="7"/>
  <c r="BS77" i="7"/>
  <c r="CB77" i="7" s="1"/>
  <c r="BQ125" i="7"/>
  <c r="BY89" i="7"/>
  <c r="BV125" i="7"/>
  <c r="BS86" i="7"/>
  <c r="BX86" i="7" s="1"/>
  <c r="BS40" i="7"/>
  <c r="BW40" i="7" s="1"/>
  <c r="BS125" i="7"/>
  <c r="CB125" i="7" s="1"/>
  <c r="BR89" i="7"/>
  <c r="BT89" i="7" s="1"/>
  <c r="BZ89" i="7" s="1"/>
  <c r="BQ107" i="7"/>
  <c r="BW89" i="7"/>
  <c r="BQ32" i="7"/>
  <c r="BQ119" i="7"/>
  <c r="BQ23" i="7"/>
  <c r="BS54" i="7"/>
  <c r="BY54" i="7" s="1"/>
  <c r="BQ114" i="7"/>
  <c r="BS68" i="7"/>
  <c r="BX68" i="7" s="1"/>
  <c r="BS81" i="7"/>
  <c r="BW81" i="7" s="1"/>
  <c r="BR107" i="7"/>
  <c r="BT107" i="7" s="1"/>
  <c r="CC107" i="7" s="1"/>
  <c r="BQ102" i="7"/>
  <c r="BS23" i="7"/>
  <c r="BY23" i="7" s="1"/>
  <c r="BR130" i="7"/>
  <c r="BT130" i="7" s="1"/>
  <c r="CC130" i="7" s="1"/>
  <c r="BT114" i="7"/>
  <c r="BR77" i="7"/>
  <c r="BT77" i="7" s="1"/>
  <c r="BR119" i="7"/>
  <c r="BV119" i="7" s="1"/>
  <c r="BS58" i="7"/>
  <c r="BX58" i="7" s="1"/>
  <c r="BS76" i="7"/>
  <c r="BY76" i="7" s="1"/>
  <c r="BS17" i="7"/>
  <c r="BW17" i="7" s="1"/>
  <c r="BS9" i="7"/>
  <c r="BZ9" i="7" s="1"/>
  <c r="BV58" i="7"/>
  <c r="BR102" i="7"/>
  <c r="BT102" i="7" s="1"/>
  <c r="BZ102" i="7" s="1"/>
  <c r="BS32" i="7"/>
  <c r="BX32" i="7" s="1"/>
  <c r="BQ130" i="7"/>
  <c r="BR54" i="7"/>
  <c r="BV54" i="7" s="1"/>
  <c r="BR40" i="7"/>
  <c r="BV40" i="7" s="1"/>
  <c r="BR124" i="7"/>
  <c r="BT124" i="7" s="1"/>
  <c r="BR10" i="7"/>
  <c r="BV10" i="7" s="1"/>
  <c r="BQ58" i="7"/>
  <c r="BT81" i="7"/>
  <c r="BQ81" i="7"/>
  <c r="BQ68" i="7"/>
  <c r="BS114" i="7"/>
  <c r="CA114" i="7" s="1"/>
  <c r="BS124" i="7"/>
  <c r="BY124" i="7" s="1"/>
  <c r="BS10" i="7"/>
  <c r="BX10" i="7" s="1"/>
  <c r="BR15" i="7"/>
  <c r="BV15" i="7" s="1"/>
  <c r="BQ15" i="7"/>
  <c r="BS15" i="7"/>
  <c r="BX15" i="7" s="1"/>
  <c r="BS62" i="7"/>
  <c r="BX62" i="7" s="1"/>
  <c r="BS79" i="7"/>
  <c r="BW79" i="7" s="1"/>
  <c r="BQ94" i="7"/>
  <c r="BR35" i="7"/>
  <c r="BV35" i="7" s="1"/>
  <c r="BR19" i="7"/>
  <c r="BT19" i="7" s="1"/>
  <c r="CC19" i="7" s="1"/>
  <c r="BW108" i="7"/>
  <c r="BR90" i="7"/>
  <c r="BV90" i="7" s="1"/>
  <c r="BY82" i="7"/>
  <c r="BQ82" i="7"/>
  <c r="BV74" i="7"/>
  <c r="BS94" i="7"/>
  <c r="BW94" i="7" s="1"/>
  <c r="BR51" i="7"/>
  <c r="BV51" i="7" s="1"/>
  <c r="BR95" i="7"/>
  <c r="BT95" i="7" s="1"/>
  <c r="BZ20" i="7"/>
  <c r="CA108" i="7"/>
  <c r="BZ108" i="7"/>
  <c r="BS109" i="7"/>
  <c r="BV61" i="7"/>
  <c r="CB108" i="7"/>
  <c r="BR97" i="7"/>
  <c r="BV97" i="7" s="1"/>
  <c r="BR71" i="7"/>
  <c r="BV71" i="7" s="1"/>
  <c r="BR82" i="7"/>
  <c r="BT82" i="7" s="1"/>
  <c r="CB82" i="7" s="1"/>
  <c r="BQ108" i="7"/>
  <c r="BQ109" i="7"/>
  <c r="BR38" i="7"/>
  <c r="BS38" i="7"/>
  <c r="CC38" i="7" s="1"/>
  <c r="BQ38" i="7"/>
  <c r="BQ73" i="7"/>
  <c r="BR47" i="7"/>
  <c r="BV47" i="7" s="1"/>
  <c r="BS83" i="7"/>
  <c r="BX83" i="7" s="1"/>
  <c r="BR12" i="7"/>
  <c r="BT12" i="7" s="1"/>
  <c r="CC12" i="7" s="1"/>
  <c r="BY113" i="7"/>
  <c r="BX11" i="7"/>
  <c r="BY87" i="7"/>
  <c r="BQ113" i="7"/>
  <c r="BR11" i="7"/>
  <c r="BT11" i="7" s="1"/>
  <c r="CB11" i="7" s="1"/>
  <c r="BQ31" i="7"/>
  <c r="BQ13" i="7"/>
  <c r="BR69" i="7"/>
  <c r="BV69" i="7" s="1"/>
  <c r="BQ87" i="7"/>
  <c r="BR16" i="7"/>
  <c r="BR113" i="7"/>
  <c r="BT113" i="7" s="1"/>
  <c r="BZ113" i="7" s="1"/>
  <c r="BS72" i="7"/>
  <c r="BX72" i="7" s="1"/>
  <c r="BR22" i="7"/>
  <c r="BT22" i="7" s="1"/>
  <c r="BS22" i="7"/>
  <c r="BW22" i="7" s="1"/>
  <c r="BQ22" i="7"/>
  <c r="BX61" i="7"/>
  <c r="BZ110" i="7"/>
  <c r="BX115" i="7"/>
  <c r="BS127" i="7"/>
  <c r="BW127" i="7" s="1"/>
  <c r="BR105" i="7"/>
  <c r="BT105" i="7" s="1"/>
  <c r="CC105" i="7" s="1"/>
  <c r="BR115" i="7"/>
  <c r="BT115" i="7" s="1"/>
  <c r="BZ115" i="7" s="1"/>
  <c r="CA61" i="7"/>
  <c r="BQ55" i="7"/>
  <c r="BY110" i="7"/>
  <c r="BW115" i="7"/>
  <c r="BV53" i="7"/>
  <c r="BQ45" i="7"/>
  <c r="BR110" i="7"/>
  <c r="BT110" i="7" s="1"/>
  <c r="CA110" i="7" s="1"/>
  <c r="BS126" i="7"/>
  <c r="BZ126" i="7" s="1"/>
  <c r="BR55" i="7"/>
  <c r="BV55" i="7" s="1"/>
  <c r="BQ98" i="7"/>
  <c r="BQ126" i="7"/>
  <c r="BS53" i="7"/>
  <c r="CC53" i="7" s="1"/>
  <c r="BQ115" i="7"/>
  <c r="BZ61" i="7"/>
  <c r="BS35" i="7"/>
  <c r="BY35" i="7" s="1"/>
  <c r="BQ71" i="7"/>
  <c r="BX71" i="7"/>
  <c r="BW16" i="7"/>
  <c r="BZ18" i="7"/>
  <c r="BS74" i="7"/>
  <c r="BX74" i="7" s="1"/>
  <c r="BQ74" i="7"/>
  <c r="BS97" i="7"/>
  <c r="BY97" i="7" s="1"/>
  <c r="BM120" i="7"/>
  <c r="BN120" i="7" s="1"/>
  <c r="BP120" i="7" s="1"/>
  <c r="BS120" i="7" s="1"/>
  <c r="BQ96" i="7"/>
  <c r="BS96" i="7"/>
  <c r="CA96" i="7" s="1"/>
  <c r="BR96" i="7"/>
  <c r="CB34" i="7"/>
  <c r="CA91" i="7"/>
  <c r="CB115" i="7"/>
  <c r="CA113" i="7"/>
  <c r="CC34" i="7"/>
  <c r="CB87" i="7"/>
  <c r="CA89" i="7"/>
  <c r="CB61" i="7"/>
  <c r="CC82" i="7"/>
  <c r="CC58" i="7"/>
  <c r="BY70" i="7"/>
  <c r="BM52" i="7"/>
  <c r="BN52" i="7" s="1"/>
  <c r="BP52" i="7" s="1"/>
  <c r="CC18" i="7"/>
  <c r="CC64" i="7"/>
  <c r="CC75" i="7"/>
  <c r="CC115" i="7"/>
  <c r="CB81" i="7"/>
  <c r="CC81" i="7"/>
  <c r="CB90" i="7"/>
  <c r="BY16" i="7"/>
  <c r="CA20" i="7"/>
  <c r="BS116" i="7"/>
  <c r="BZ116" i="7" s="1"/>
  <c r="BQ116" i="7"/>
  <c r="BR116" i="7"/>
  <c r="CB49" i="7"/>
  <c r="CC126" i="7"/>
  <c r="CC110" i="7"/>
  <c r="BW111" i="7"/>
  <c r="CC111" i="7"/>
  <c r="CC74" i="7"/>
  <c r="CB113" i="7"/>
  <c r="BM129" i="7"/>
  <c r="BN129" i="7" s="1"/>
  <c r="BP129" i="7" s="1"/>
  <c r="CC26" i="7"/>
  <c r="CC109" i="7"/>
  <c r="CB17" i="7"/>
  <c r="CC17" i="7"/>
  <c r="CA69" i="7"/>
  <c r="CC59" i="7"/>
  <c r="CC48" i="7"/>
  <c r="CC63" i="7"/>
  <c r="CA63" i="7"/>
  <c r="CB63" i="7"/>
  <c r="CA18" i="7"/>
  <c r="CC89" i="7"/>
  <c r="CA121" i="7"/>
  <c r="CC121" i="7"/>
  <c r="CB121" i="7"/>
  <c r="CB16" i="7"/>
  <c r="CA16" i="7"/>
  <c r="CC16" i="7"/>
  <c r="CA50" i="7"/>
  <c r="CC114" i="7"/>
  <c r="CB109" i="7"/>
  <c r="BZ63" i="7"/>
  <c r="BT70" i="7"/>
  <c r="CB70" i="7" s="1"/>
  <c r="BT92" i="7"/>
  <c r="CA6" i="7"/>
  <c r="CB124" i="7"/>
  <c r="BZ6" i="7"/>
  <c r="CB75" i="7"/>
  <c r="CC125" i="7"/>
  <c r="CB101" i="7"/>
  <c r="CB59" i="7"/>
  <c r="CA21" i="7"/>
  <c r="CA59" i="7"/>
  <c r="CA30" i="7"/>
  <c r="BZ30" i="7"/>
  <c r="CB30" i="7"/>
  <c r="BZ59" i="7"/>
  <c r="BX111" i="7"/>
  <c r="CA111" i="7"/>
  <c r="CA124" i="7"/>
  <c r="CA70" i="7"/>
  <c r="BX70" i="7"/>
  <c r="BW70" i="7"/>
  <c r="CC80" i="7"/>
  <c r="CA101" i="7"/>
  <c r="BZ111" i="7"/>
  <c r="CB111" i="7"/>
  <c r="BY111" i="7"/>
  <c r="CC101" i="7"/>
  <c r="BZ21" i="7"/>
  <c r="CB21" i="7"/>
  <c r="BZ101" i="7"/>
  <c r="BX119" i="7"/>
  <c r="BW119" i="7"/>
  <c r="BY119" i="7"/>
  <c r="BT118" i="7"/>
  <c r="BV118" i="7"/>
  <c r="BV27" i="7"/>
  <c r="BT27" i="7"/>
  <c r="BW45" i="7"/>
  <c r="BY45" i="7"/>
  <c r="BX45" i="7"/>
  <c r="BT98" i="7"/>
  <c r="BV98" i="7"/>
  <c r="BV94" i="7"/>
  <c r="BT94" i="7"/>
  <c r="BV43" i="7"/>
  <c r="BT43" i="7"/>
  <c r="BT28" i="7"/>
  <c r="CA28" i="7" s="1"/>
  <c r="BV28" i="7"/>
  <c r="BT79" i="7"/>
  <c r="BV79" i="7"/>
  <c r="BT78" i="7"/>
  <c r="BV78" i="7"/>
  <c r="BY50" i="7"/>
  <c r="BW50" i="7"/>
  <c r="BX50" i="7"/>
  <c r="CB12" i="7"/>
  <c r="BW102" i="7"/>
  <c r="BX102" i="7"/>
  <c r="BY102" i="7"/>
  <c r="BW14" i="7"/>
  <c r="BX14" i="7"/>
  <c r="BY14" i="7"/>
  <c r="BV42" i="7"/>
  <c r="BT42" i="7"/>
  <c r="BW46" i="7"/>
  <c r="BX46" i="7"/>
  <c r="BY46" i="7"/>
  <c r="BW55" i="7"/>
  <c r="BX55" i="7"/>
  <c r="BY55" i="7"/>
  <c r="BW66" i="7"/>
  <c r="BX66" i="7"/>
  <c r="BY66" i="7"/>
  <c r="BZ66" i="7"/>
  <c r="BT99" i="7"/>
  <c r="CC99" i="7" s="1"/>
  <c r="BV99" i="7"/>
  <c r="BX28" i="7"/>
  <c r="BY28" i="7"/>
  <c r="BW28" i="7"/>
  <c r="BV23" i="7"/>
  <c r="BT23" i="7"/>
  <c r="CB23" i="7" s="1"/>
  <c r="BT32" i="7"/>
  <c r="CB32" i="7" s="1"/>
  <c r="BV32" i="7"/>
  <c r="BY130" i="7"/>
  <c r="BX130" i="7"/>
  <c r="CB130" i="7"/>
  <c r="CA130" i="7"/>
  <c r="BW130" i="7"/>
  <c r="BX99" i="7"/>
  <c r="BY99" i="7"/>
  <c r="BW99" i="7"/>
  <c r="CB99" i="7"/>
  <c r="BW7" i="7"/>
  <c r="BX7" i="7"/>
  <c r="BY7" i="7"/>
  <c r="BX57" i="7"/>
  <c r="BY57" i="7"/>
  <c r="BW57" i="7"/>
  <c r="CB57" i="7"/>
  <c r="BX107" i="7"/>
  <c r="BY107" i="7"/>
  <c r="BW107" i="7"/>
  <c r="BZ107" i="7"/>
  <c r="CB106" i="7"/>
  <c r="BT84" i="7"/>
  <c r="CA84" i="7" s="1"/>
  <c r="BV84" i="7"/>
  <c r="BT29" i="7"/>
  <c r="CB29" i="7" s="1"/>
  <c r="BV29" i="7"/>
  <c r="BT117" i="7"/>
  <c r="BV117" i="7"/>
  <c r="BT83" i="7"/>
  <c r="CC83" i="7" s="1"/>
  <c r="BV83" i="7"/>
  <c r="BX8" i="7"/>
  <c r="BY8" i="7"/>
  <c r="BW8" i="7"/>
  <c r="BZ8" i="7"/>
  <c r="BW24" i="7"/>
  <c r="BY24" i="7"/>
  <c r="BX24" i="7"/>
  <c r="BT86" i="7"/>
  <c r="BV86" i="7"/>
  <c r="BW5" i="7"/>
  <c r="BZ5" i="7"/>
  <c r="BX5" i="7"/>
  <c r="BY5" i="7"/>
  <c r="V2" i="7"/>
  <c r="W2" i="7" s="1"/>
  <c r="L2" i="7"/>
  <c r="M2" i="7" s="1"/>
  <c r="N2" i="7" s="1"/>
  <c r="K2" i="7"/>
  <c r="J2" i="7"/>
  <c r="I2" i="7"/>
  <c r="H2" i="7"/>
  <c r="BT44" i="7" l="1"/>
  <c r="BT30" i="7"/>
  <c r="CC30" i="7" s="1"/>
  <c r="BY21" i="7"/>
  <c r="BX21" i="7"/>
  <c r="BW30" i="7"/>
  <c r="BY30" i="7"/>
  <c r="BY6" i="7"/>
  <c r="BV18" i="7"/>
  <c r="CD18" i="7" s="1"/>
  <c r="CE18" i="7" s="1"/>
  <c r="CG18" i="7" s="1"/>
  <c r="CJ18" i="7" s="1"/>
  <c r="CO18" i="7" s="1"/>
  <c r="BY59" i="7"/>
  <c r="BX59" i="7"/>
  <c r="BW6" i="7"/>
  <c r="BT6" i="7"/>
  <c r="CC6" i="7" s="1"/>
  <c r="BY101" i="7"/>
  <c r="BW101" i="7"/>
  <c r="BX121" i="7"/>
  <c r="BX63" i="7"/>
  <c r="BW63" i="7"/>
  <c r="BV63" i="7"/>
  <c r="CD63" i="7" s="1"/>
  <c r="CE63" i="7" s="1"/>
  <c r="CG63" i="7" s="1"/>
  <c r="CJ63" i="7" s="1"/>
  <c r="CO63" i="7" s="1"/>
  <c r="BY121" i="7"/>
  <c r="BV20" i="7"/>
  <c r="BT56" i="7"/>
  <c r="CB56" i="7" s="1"/>
  <c r="BV85" i="7"/>
  <c r="CD85" i="7" s="1"/>
  <c r="CE85" i="7" s="1"/>
  <c r="CG85" i="7" s="1"/>
  <c r="CH85" i="7" s="1"/>
  <c r="BW103" i="7"/>
  <c r="BT103" i="7"/>
  <c r="BV57" i="7"/>
  <c r="BT50" i="7"/>
  <c r="BZ50" i="7" s="1"/>
  <c r="BX106" i="7"/>
  <c r="BW128" i="7"/>
  <c r="BT5" i="7"/>
  <c r="CC5" i="7" s="1"/>
  <c r="BV121" i="7"/>
  <c r="CD121" i="7" s="1"/>
  <c r="CE121" i="7" s="1"/>
  <c r="CG121" i="7" s="1"/>
  <c r="CJ121" i="7" s="1"/>
  <c r="BT128" i="7"/>
  <c r="BZ128" i="7" s="1"/>
  <c r="CB103" i="7"/>
  <c r="BY103" i="7"/>
  <c r="BZ103" i="7"/>
  <c r="BX103" i="7"/>
  <c r="BZ106" i="7"/>
  <c r="BW106" i="7"/>
  <c r="BX128" i="7"/>
  <c r="BY128" i="7"/>
  <c r="CA39" i="7"/>
  <c r="BY39" i="7"/>
  <c r="CC76" i="7"/>
  <c r="BT123" i="7"/>
  <c r="CC123" i="7" s="1"/>
  <c r="BX39" i="7"/>
  <c r="BZ39" i="7"/>
  <c r="BT24" i="7"/>
  <c r="BZ24" i="7" s="1"/>
  <c r="BT67" i="7"/>
  <c r="CB67" i="7" s="1"/>
  <c r="BV106" i="7"/>
  <c r="BY19" i="7"/>
  <c r="BW19" i="7"/>
  <c r="BZ78" i="7"/>
  <c r="CA105" i="7"/>
  <c r="BV73" i="7"/>
  <c r="BY105" i="7"/>
  <c r="BX41" i="7"/>
  <c r="BZ41" i="7"/>
  <c r="BY78" i="7"/>
  <c r="BW78" i="7"/>
  <c r="BY117" i="7"/>
  <c r="BZ82" i="7"/>
  <c r="CA78" i="7"/>
  <c r="BW105" i="7"/>
  <c r="BW41" i="7"/>
  <c r="CA95" i="7"/>
  <c r="BV127" i="7"/>
  <c r="BT9" i="7"/>
  <c r="CC9" i="7" s="1"/>
  <c r="BZ43" i="7"/>
  <c r="BY80" i="7"/>
  <c r="BY37" i="7"/>
  <c r="BX80" i="7"/>
  <c r="BZ80" i="7"/>
  <c r="BW37" i="7"/>
  <c r="BY43" i="7"/>
  <c r="CA43" i="7"/>
  <c r="BW67" i="7"/>
  <c r="CA80" i="7"/>
  <c r="BX122" i="7"/>
  <c r="CB80" i="7"/>
  <c r="BY60" i="7"/>
  <c r="BT13" i="7"/>
  <c r="CC13" i="7" s="1"/>
  <c r="BW76" i="7"/>
  <c r="BT37" i="7"/>
  <c r="CB37" i="7" s="1"/>
  <c r="CA37" i="7"/>
  <c r="BX37" i="7"/>
  <c r="BX43" i="7"/>
  <c r="BT25" i="7"/>
  <c r="BZ25" i="7" s="1"/>
  <c r="BV93" i="7"/>
  <c r="BW122" i="7"/>
  <c r="BW60" i="7"/>
  <c r="CA75" i="7"/>
  <c r="BY75" i="7"/>
  <c r="CB93" i="7"/>
  <c r="BZ75" i="7"/>
  <c r="BX51" i="7"/>
  <c r="BT51" i="7"/>
  <c r="CA51" i="7" s="1"/>
  <c r="CA60" i="7"/>
  <c r="BX112" i="7"/>
  <c r="BW75" i="7"/>
  <c r="BV34" i="7"/>
  <c r="CD34" i="7" s="1"/>
  <c r="CE34" i="7" s="1"/>
  <c r="CG34" i="7" s="1"/>
  <c r="CI34" i="7" s="1"/>
  <c r="BY100" i="7"/>
  <c r="BW64" i="7"/>
  <c r="CB48" i="7"/>
  <c r="BV14" i="7"/>
  <c r="BW77" i="7"/>
  <c r="BV26" i="7"/>
  <c r="CD26" i="7" s="1"/>
  <c r="CE26" i="7" s="1"/>
  <c r="CG26" i="7" s="1"/>
  <c r="CJ26" i="7" s="1"/>
  <c r="BY51" i="7"/>
  <c r="BW117" i="7"/>
  <c r="BZ51" i="7"/>
  <c r="BX100" i="7"/>
  <c r="BW112" i="7"/>
  <c r="CA112" i="7"/>
  <c r="CA117" i="7"/>
  <c r="BZ29" i="7"/>
  <c r="BT122" i="7"/>
  <c r="CA122" i="7" s="1"/>
  <c r="BW84" i="7"/>
  <c r="BT54" i="7"/>
  <c r="CC54" i="7" s="1"/>
  <c r="BW42" i="7"/>
  <c r="BV62" i="7"/>
  <c r="BV8" i="7"/>
  <c r="BY29" i="7"/>
  <c r="BW12" i="7"/>
  <c r="BY112" i="7"/>
  <c r="BW29" i="7"/>
  <c r="BX90" i="7"/>
  <c r="BX12" i="7"/>
  <c r="BY84" i="7"/>
  <c r="BY69" i="7"/>
  <c r="BX69" i="7"/>
  <c r="BT10" i="7"/>
  <c r="CB10" i="7" s="1"/>
  <c r="BX53" i="7"/>
  <c r="CB74" i="7"/>
  <c r="CB112" i="7"/>
  <c r="BZ49" i="7"/>
  <c r="BV11" i="7"/>
  <c r="BV49" i="7"/>
  <c r="BZ112" i="7"/>
  <c r="BZ76" i="7"/>
  <c r="BY73" i="7"/>
  <c r="BW86" i="7"/>
  <c r="BT41" i="7"/>
  <c r="CA41" i="7" s="1"/>
  <c r="BT72" i="7"/>
  <c r="BZ72" i="7" s="1"/>
  <c r="BY67" i="7"/>
  <c r="BW33" i="7"/>
  <c r="BV36" i="7"/>
  <c r="BX98" i="7"/>
  <c r="BV91" i="7"/>
  <c r="BV17" i="7"/>
  <c r="BW93" i="7"/>
  <c r="BX65" i="7"/>
  <c r="CA93" i="7"/>
  <c r="BZ98" i="7"/>
  <c r="BY93" i="7"/>
  <c r="CC93" i="7"/>
  <c r="BZ93" i="7"/>
  <c r="BW98" i="7"/>
  <c r="BT31" i="7"/>
  <c r="CB31" i="7" s="1"/>
  <c r="BT46" i="7"/>
  <c r="CA46" i="7" s="1"/>
  <c r="BZ94" i="7"/>
  <c r="BZ54" i="7"/>
  <c r="BV60" i="7"/>
  <c r="BX104" i="7"/>
  <c r="BT66" i="7"/>
  <c r="CB66" i="7" s="1"/>
  <c r="BZ27" i="7"/>
  <c r="BX27" i="7"/>
  <c r="CA64" i="7"/>
  <c r="BZ64" i="7"/>
  <c r="BT104" i="7"/>
  <c r="CB104" i="7" s="1"/>
  <c r="BW100" i="7"/>
  <c r="BY48" i="7"/>
  <c r="BZ42" i="7"/>
  <c r="BY27" i="7"/>
  <c r="CB64" i="7"/>
  <c r="BX48" i="7"/>
  <c r="BZ48" i="7"/>
  <c r="BX95" i="7"/>
  <c r="BX64" i="7"/>
  <c r="CA48" i="7"/>
  <c r="CB86" i="7"/>
  <c r="CA36" i="7"/>
  <c r="BY86" i="7"/>
  <c r="CA118" i="7"/>
  <c r="BY81" i="7"/>
  <c r="BY72" i="7"/>
  <c r="BV87" i="7"/>
  <c r="BY33" i="7"/>
  <c r="BY77" i="7"/>
  <c r="BY79" i="7"/>
  <c r="BY36" i="7"/>
  <c r="CB118" i="7"/>
  <c r="BT45" i="7"/>
  <c r="CB45" i="7" s="1"/>
  <c r="CA77" i="7"/>
  <c r="BW73" i="7"/>
  <c r="BZ118" i="7"/>
  <c r="BT119" i="7"/>
  <c r="CC119" i="7" s="1"/>
  <c r="CC118" i="7"/>
  <c r="BX81" i="7"/>
  <c r="CA33" i="7"/>
  <c r="BV107" i="7"/>
  <c r="BX54" i="7"/>
  <c r="BX40" i="7"/>
  <c r="BT65" i="7"/>
  <c r="BZ65" i="7" s="1"/>
  <c r="BY58" i="7"/>
  <c r="BY104" i="7"/>
  <c r="CC91" i="7"/>
  <c r="BZ77" i="7"/>
  <c r="BY83" i="7"/>
  <c r="CA86" i="7"/>
  <c r="BV130" i="7"/>
  <c r="BT40" i="7"/>
  <c r="CC40" i="7" s="1"/>
  <c r="BZ38" i="7"/>
  <c r="BW65" i="7"/>
  <c r="CC87" i="7"/>
  <c r="BX77" i="7"/>
  <c r="BW36" i="7"/>
  <c r="BT15" i="7"/>
  <c r="CB15" i="7" s="1"/>
  <c r="CB36" i="7"/>
  <c r="BX118" i="7"/>
  <c r="BY118" i="7"/>
  <c r="BZ58" i="7"/>
  <c r="BZ81" i="7"/>
  <c r="BX33" i="7"/>
  <c r="BV124" i="7"/>
  <c r="BT69" i="7"/>
  <c r="BZ69" i="7" s="1"/>
  <c r="BT88" i="7"/>
  <c r="CA88" i="7" s="1"/>
  <c r="BZ109" i="7"/>
  <c r="CB33" i="7"/>
  <c r="BY94" i="7"/>
  <c r="CC77" i="7"/>
  <c r="BW15" i="7"/>
  <c r="BX47" i="7"/>
  <c r="BW90" i="7"/>
  <c r="BX76" i="7"/>
  <c r="BY53" i="7"/>
  <c r="BX9" i="7"/>
  <c r="BY9" i="7"/>
  <c r="BT100" i="7"/>
  <c r="CC100" i="7" s="1"/>
  <c r="CA125" i="7"/>
  <c r="BW53" i="7"/>
  <c r="CB76" i="7"/>
  <c r="CA81" i="7"/>
  <c r="BV7" i="7"/>
  <c r="BY15" i="7"/>
  <c r="BT35" i="7"/>
  <c r="CB35" i="7" s="1"/>
  <c r="BW47" i="7"/>
  <c r="BX125" i="7"/>
  <c r="BW125" i="7"/>
  <c r="BW9" i="7"/>
  <c r="BY74" i="7"/>
  <c r="CA76" i="7"/>
  <c r="BY125" i="7"/>
  <c r="BZ125" i="7"/>
  <c r="BT97" i="7"/>
  <c r="CB97" i="7" s="1"/>
  <c r="BY42" i="7"/>
  <c r="BZ95" i="7"/>
  <c r="BZ17" i="7"/>
  <c r="CA62" i="7"/>
  <c r="BW95" i="7"/>
  <c r="BV77" i="7"/>
  <c r="BZ23" i="7"/>
  <c r="CA68" i="7"/>
  <c r="BV108" i="7"/>
  <c r="CD108" i="7" s="1"/>
  <c r="CE108" i="7" s="1"/>
  <c r="CG108" i="7" s="1"/>
  <c r="BV19" i="7"/>
  <c r="BT47" i="7"/>
  <c r="CB47" i="7" s="1"/>
  <c r="BX23" i="7"/>
  <c r="BV89" i="7"/>
  <c r="BZ68" i="7"/>
  <c r="CA17" i="7"/>
  <c r="BY17" i="7"/>
  <c r="BW10" i="7"/>
  <c r="BY10" i="7"/>
  <c r="CB89" i="7"/>
  <c r="BW62" i="7"/>
  <c r="BW23" i="7"/>
  <c r="BY68" i="7"/>
  <c r="BZ10" i="7"/>
  <c r="BX17" i="7"/>
  <c r="CC68" i="7"/>
  <c r="BW68" i="7"/>
  <c r="BZ124" i="7"/>
  <c r="BY22" i="7"/>
  <c r="CB68" i="7"/>
  <c r="BY32" i="7"/>
  <c r="BY40" i="7"/>
  <c r="BV105" i="7"/>
  <c r="CA58" i="7"/>
  <c r="BZ70" i="7"/>
  <c r="BW58" i="7"/>
  <c r="BX124" i="7"/>
  <c r="CB94" i="7"/>
  <c r="BW72" i="7"/>
  <c r="BX35" i="7"/>
  <c r="BX94" i="7"/>
  <c r="BT90" i="7"/>
  <c r="CA90" i="7" s="1"/>
  <c r="BZ35" i="7"/>
  <c r="BV12" i="7"/>
  <c r="BW32" i="7"/>
  <c r="BW54" i="7"/>
  <c r="BW124" i="7"/>
  <c r="CB58" i="7"/>
  <c r="CB40" i="7"/>
  <c r="BX79" i="7"/>
  <c r="BW83" i="7"/>
  <c r="CA79" i="7"/>
  <c r="BX127" i="7"/>
  <c r="BY38" i="7"/>
  <c r="BW114" i="7"/>
  <c r="CA127" i="7"/>
  <c r="BV102" i="7"/>
  <c r="BZ127" i="7"/>
  <c r="BY127" i="7"/>
  <c r="BX38" i="7"/>
  <c r="BY114" i="7"/>
  <c r="CB114" i="7"/>
  <c r="BV82" i="7"/>
  <c r="BX97" i="7"/>
  <c r="BW38" i="7"/>
  <c r="BV113" i="7"/>
  <c r="BX114" i="7"/>
  <c r="BZ114" i="7"/>
  <c r="CD20" i="7"/>
  <c r="CE20" i="7" s="1"/>
  <c r="CG20" i="7" s="1"/>
  <c r="CJ20" i="7" s="1"/>
  <c r="CA38" i="7"/>
  <c r="CC113" i="7"/>
  <c r="BY109" i="7"/>
  <c r="BW109" i="7"/>
  <c r="BX109" i="7"/>
  <c r="BW74" i="7"/>
  <c r="CA22" i="7"/>
  <c r="BX22" i="7"/>
  <c r="BT55" i="7"/>
  <c r="CB55" i="7" s="1"/>
  <c r="BV95" i="7"/>
  <c r="BY62" i="7"/>
  <c r="BZ74" i="7"/>
  <c r="CA74" i="7"/>
  <c r="BT71" i="7"/>
  <c r="CC71" i="7" s="1"/>
  <c r="BW120" i="7"/>
  <c r="BX120" i="7"/>
  <c r="BW35" i="7"/>
  <c r="CB107" i="7"/>
  <c r="CA53" i="7"/>
  <c r="BV115" i="7"/>
  <c r="BX126" i="7"/>
  <c r="CA126" i="7"/>
  <c r="CD61" i="7"/>
  <c r="CE61" i="7" s="1"/>
  <c r="CG61" i="7" s="1"/>
  <c r="CI61" i="7" s="1"/>
  <c r="BR120" i="7"/>
  <c r="BT120" i="7" s="1"/>
  <c r="CB120" i="7" s="1"/>
  <c r="BV22" i="7"/>
  <c r="CB53" i="7"/>
  <c r="BY126" i="7"/>
  <c r="BW126" i="7"/>
  <c r="CB126" i="7"/>
  <c r="CA115" i="7"/>
  <c r="BQ120" i="7"/>
  <c r="CA106" i="7"/>
  <c r="BZ130" i="7"/>
  <c r="BZ53" i="7"/>
  <c r="CC11" i="7"/>
  <c r="BT16" i="7"/>
  <c r="BZ16" i="7" s="1"/>
  <c r="BV16" i="7"/>
  <c r="BT38" i="7"/>
  <c r="CB38" i="7" s="1"/>
  <c r="BV38" i="7"/>
  <c r="BW97" i="7"/>
  <c r="BV110" i="7"/>
  <c r="CA97" i="7"/>
  <c r="CB110" i="7"/>
  <c r="BY120" i="7"/>
  <c r="CA8" i="7"/>
  <c r="CA99" i="7"/>
  <c r="BZ83" i="7"/>
  <c r="CB96" i="7"/>
  <c r="BX96" i="7"/>
  <c r="BY96" i="7"/>
  <c r="BW96" i="7"/>
  <c r="CB62" i="7"/>
  <c r="CC78" i="7"/>
  <c r="CA27" i="7"/>
  <c r="BV96" i="7"/>
  <c r="BT96" i="7"/>
  <c r="BZ57" i="7"/>
  <c r="BZ62" i="7"/>
  <c r="CC27" i="7"/>
  <c r="CB60" i="7"/>
  <c r="CB127" i="7"/>
  <c r="CB28" i="7"/>
  <c r="BZ73" i="7"/>
  <c r="CA71" i="7"/>
  <c r="CB71" i="7"/>
  <c r="CA72" i="7"/>
  <c r="CA23" i="7"/>
  <c r="CB50" i="7"/>
  <c r="CB42" i="7"/>
  <c r="CB13" i="7"/>
  <c r="CB92" i="7"/>
  <c r="CA92" i="7"/>
  <c r="CB51" i="7"/>
  <c r="CC94" i="7"/>
  <c r="BZ40" i="7"/>
  <c r="CA31" i="7"/>
  <c r="CA24" i="7"/>
  <c r="CC97" i="7"/>
  <c r="CB43" i="7"/>
  <c r="CC86" i="7"/>
  <c r="BZ19" i="7"/>
  <c r="BZ67" i="7"/>
  <c r="CB46" i="7"/>
  <c r="CA102" i="7"/>
  <c r="CC104" i="7"/>
  <c r="CC7" i="7"/>
  <c r="BZ36" i="7"/>
  <c r="CA119" i="7"/>
  <c r="CB69" i="7"/>
  <c r="CB79" i="7"/>
  <c r="CC29" i="7"/>
  <c r="CB22" i="7"/>
  <c r="CC84" i="7"/>
  <c r="CA15" i="7"/>
  <c r="BZ22" i="7"/>
  <c r="CB95" i="7"/>
  <c r="CC51" i="7"/>
  <c r="CC43" i="7"/>
  <c r="CA66" i="7"/>
  <c r="BZ105" i="7"/>
  <c r="BS52" i="7"/>
  <c r="BR52" i="7"/>
  <c r="BQ52" i="7"/>
  <c r="CA83" i="7"/>
  <c r="CB98" i="7"/>
  <c r="CB102" i="7"/>
  <c r="CB54" i="7"/>
  <c r="CC79" i="7"/>
  <c r="CC70" i="7"/>
  <c r="CB117" i="7"/>
  <c r="CC32" i="7"/>
  <c r="CA12" i="7"/>
  <c r="CC10" i="7"/>
  <c r="CC95" i="7"/>
  <c r="CC14" i="7"/>
  <c r="CA107" i="7"/>
  <c r="BZ79" i="7"/>
  <c r="CB83" i="7"/>
  <c r="BZ32" i="7"/>
  <c r="BZ45" i="7"/>
  <c r="BW116" i="7"/>
  <c r="BX116" i="7"/>
  <c r="BY116" i="7"/>
  <c r="CB84" i="7"/>
  <c r="BV116" i="7"/>
  <c r="BT116" i="7"/>
  <c r="CA116" i="7" s="1"/>
  <c r="CC35" i="7"/>
  <c r="CC23" i="7"/>
  <c r="BZ99" i="7"/>
  <c r="BZ97" i="7"/>
  <c r="CB44" i="7"/>
  <c r="CA44" i="7"/>
  <c r="CC42" i="7"/>
  <c r="CB24" i="7"/>
  <c r="CC69" i="7"/>
  <c r="CC36" i="7"/>
  <c r="CC90" i="7"/>
  <c r="BZ28" i="7"/>
  <c r="CD28" i="7" s="1"/>
  <c r="CE28" i="7" s="1"/>
  <c r="CG28" i="7" s="1"/>
  <c r="CA29" i="7"/>
  <c r="CC25" i="7"/>
  <c r="CA94" i="7"/>
  <c r="CC127" i="7"/>
  <c r="CA57" i="7"/>
  <c r="CA19" i="7"/>
  <c r="CA32" i="7"/>
  <c r="BZ12" i="7"/>
  <c r="BZ13" i="7"/>
  <c r="CA13" i="7"/>
  <c r="BZ71" i="7"/>
  <c r="BZ104" i="7"/>
  <c r="CA98" i="7"/>
  <c r="CA47" i="7"/>
  <c r="BZ86" i="7"/>
  <c r="CC92" i="7"/>
  <c r="BZ92" i="7"/>
  <c r="CA42" i="7"/>
  <c r="CA7" i="7"/>
  <c r="CB14" i="7"/>
  <c r="CC22" i="7"/>
  <c r="CB9" i="7"/>
  <c r="BS129" i="7"/>
  <c r="BQ129" i="7"/>
  <c r="BR129" i="7"/>
  <c r="CA73" i="7"/>
  <c r="BZ55" i="7"/>
  <c r="BZ90" i="7"/>
  <c r="BZ84" i="7"/>
  <c r="CB41" i="7"/>
  <c r="CC122" i="7"/>
  <c r="BZ100" i="7"/>
  <c r="CA65" i="7"/>
  <c r="CC41" i="7"/>
  <c r="CB19" i="7"/>
  <c r="CA55" i="7"/>
  <c r="CB119" i="7"/>
  <c r="CB105" i="7"/>
  <c r="CB123" i="7"/>
  <c r="CC128" i="7"/>
  <c r="CC50" i="7"/>
  <c r="CC46" i="7"/>
  <c r="CC103" i="7"/>
  <c r="CC102" i="7"/>
  <c r="CB78" i="7"/>
  <c r="CB72" i="7"/>
  <c r="CA40" i="7"/>
  <c r="BZ60" i="7"/>
  <c r="CB6" i="7"/>
  <c r="CD6" i="7" s="1"/>
  <c r="CE6" i="7" s="1"/>
  <c r="CG6" i="7" s="1"/>
  <c r="CI6" i="7" s="1"/>
  <c r="BZ56" i="7"/>
  <c r="CA56" i="7"/>
  <c r="CC73" i="7"/>
  <c r="CB27" i="7"/>
  <c r="CA35" i="7"/>
  <c r="CC15" i="7"/>
  <c r="CA10" i="7"/>
  <c r="CC98" i="7"/>
  <c r="CA54" i="7"/>
  <c r="CB5" i="7"/>
  <c r="CB8" i="7"/>
  <c r="BZ117" i="7"/>
  <c r="CC31" i="7"/>
  <c r="BZ31" i="7"/>
  <c r="CC88" i="7"/>
  <c r="CC44" i="7"/>
  <c r="BZ44" i="7"/>
  <c r="CB122" i="7"/>
  <c r="CA14" i="7"/>
  <c r="CC67" i="7"/>
  <c r="CB7" i="7"/>
  <c r="CD59" i="7"/>
  <c r="CE59" i="7" s="1"/>
  <c r="CG59" i="7" s="1"/>
  <c r="CH59" i="7" s="1"/>
  <c r="CD30" i="7"/>
  <c r="CE30" i="7" s="1"/>
  <c r="CG30" i="7" s="1"/>
  <c r="CH30" i="7" s="1"/>
  <c r="CD111" i="7"/>
  <c r="CE111" i="7" s="1"/>
  <c r="CG111" i="7" s="1"/>
  <c r="CJ111" i="7" s="1"/>
  <c r="CD21" i="7"/>
  <c r="CE21" i="7" s="1"/>
  <c r="CG21" i="7" s="1"/>
  <c r="CH21" i="7" s="1"/>
  <c r="CD101" i="7"/>
  <c r="CE101" i="7" s="1"/>
  <c r="CG101" i="7" s="1"/>
  <c r="CH101" i="7" s="1"/>
  <c r="CR18" i="7"/>
  <c r="AA2" i="7"/>
  <c r="X2" i="7"/>
  <c r="O2" i="7"/>
  <c r="P2" i="7" s="1"/>
  <c r="Y2" i="7"/>
  <c r="Z2" i="7"/>
  <c r="CI85" i="7" l="1"/>
  <c r="CK85" i="7" s="1"/>
  <c r="CT85" i="7" s="1"/>
  <c r="CJ85" i="7"/>
  <c r="CO85" i="7" s="1"/>
  <c r="CB128" i="7"/>
  <c r="CA5" i="7"/>
  <c r="CD5" i="7" s="1"/>
  <c r="CE5" i="7" s="1"/>
  <c r="CG5" i="7" s="1"/>
  <c r="CD39" i="7"/>
  <c r="CE39" i="7" s="1"/>
  <c r="CG39" i="7" s="1"/>
  <c r="CH39" i="7" s="1"/>
  <c r="CD106" i="7"/>
  <c r="CE106" i="7" s="1"/>
  <c r="CG106" i="7" s="1"/>
  <c r="CJ106" i="7" s="1"/>
  <c r="CD103" i="7"/>
  <c r="CE103" i="7" s="1"/>
  <c r="CG103" i="7" s="1"/>
  <c r="CH103" i="7" s="1"/>
  <c r="BZ123" i="7"/>
  <c r="CC24" i="7"/>
  <c r="CD128" i="7"/>
  <c r="CE128" i="7" s="1"/>
  <c r="CG128" i="7" s="1"/>
  <c r="CI128" i="7" s="1"/>
  <c r="CD57" i="7"/>
  <c r="CE57" i="7" s="1"/>
  <c r="CG57" i="7" s="1"/>
  <c r="CJ57" i="7" s="1"/>
  <c r="CD70" i="7"/>
  <c r="CE70" i="7" s="1"/>
  <c r="CG70" i="7" s="1"/>
  <c r="CI70" i="7" s="1"/>
  <c r="CM70" i="7" s="1"/>
  <c r="CA67" i="7"/>
  <c r="CD67" i="7" s="1"/>
  <c r="CE67" i="7" s="1"/>
  <c r="CG67" i="7" s="1"/>
  <c r="CJ67" i="7" s="1"/>
  <c r="CA9" i="7"/>
  <c r="CD9" i="7" s="1"/>
  <c r="CE9" i="7" s="1"/>
  <c r="CG9" i="7" s="1"/>
  <c r="CH9" i="7" s="1"/>
  <c r="CD82" i="7"/>
  <c r="CE82" i="7" s="1"/>
  <c r="CG82" i="7" s="1"/>
  <c r="CJ82" i="7" s="1"/>
  <c r="CN82" i="7" s="1"/>
  <c r="CD41" i="7"/>
  <c r="CE41" i="7" s="1"/>
  <c r="CG41" i="7" s="1"/>
  <c r="CI41" i="7" s="1"/>
  <c r="CM41" i="7" s="1"/>
  <c r="CD84" i="7"/>
  <c r="CE84" i="7" s="1"/>
  <c r="CG84" i="7" s="1"/>
  <c r="CH84" i="7" s="1"/>
  <c r="CD80" i="7"/>
  <c r="CE80" i="7" s="1"/>
  <c r="CG80" i="7" s="1"/>
  <c r="CJ80" i="7" s="1"/>
  <c r="CN80" i="7" s="1"/>
  <c r="CD69" i="7"/>
  <c r="CE69" i="7" s="1"/>
  <c r="CG69" i="7" s="1"/>
  <c r="CH69" i="7" s="1"/>
  <c r="CD49" i="7"/>
  <c r="CE49" i="7" s="1"/>
  <c r="CG49" i="7" s="1"/>
  <c r="CH49" i="7" s="1"/>
  <c r="CB25" i="7"/>
  <c r="CD25" i="7" s="1"/>
  <c r="CE25" i="7" s="1"/>
  <c r="CG25" i="7" s="1"/>
  <c r="CC37" i="7"/>
  <c r="CD37" i="7" s="1"/>
  <c r="CE37" i="7" s="1"/>
  <c r="CG37" i="7" s="1"/>
  <c r="CH37" i="7" s="1"/>
  <c r="BZ122" i="7"/>
  <c r="CD122" i="7" s="1"/>
  <c r="CE122" i="7" s="1"/>
  <c r="CG122" i="7" s="1"/>
  <c r="CI122" i="7" s="1"/>
  <c r="CD51" i="7"/>
  <c r="CE51" i="7" s="1"/>
  <c r="CG51" i="7" s="1"/>
  <c r="CI51" i="7" s="1"/>
  <c r="CD75" i="7"/>
  <c r="CE75" i="7" s="1"/>
  <c r="CG75" i="7" s="1"/>
  <c r="CI75" i="7" s="1"/>
  <c r="CK75" i="7" s="1"/>
  <c r="BZ119" i="7"/>
  <c r="CD119" i="7" s="1"/>
  <c r="CE119" i="7" s="1"/>
  <c r="CG119" i="7" s="1"/>
  <c r="CI119" i="7" s="1"/>
  <c r="CM119" i="7" s="1"/>
  <c r="CD130" i="7"/>
  <c r="CE130" i="7" s="1"/>
  <c r="CG130" i="7" s="1"/>
  <c r="CH130" i="7" s="1"/>
  <c r="CD112" i="7"/>
  <c r="CE112" i="7" s="1"/>
  <c r="CG112" i="7" s="1"/>
  <c r="CI112" i="7" s="1"/>
  <c r="CK112" i="7" s="1"/>
  <c r="CJ61" i="7"/>
  <c r="CN61" i="7" s="1"/>
  <c r="BZ47" i="7"/>
  <c r="CD47" i="7" s="1"/>
  <c r="CE47" i="7" s="1"/>
  <c r="CG47" i="7" s="1"/>
  <c r="CJ47" i="7" s="1"/>
  <c r="CN63" i="7"/>
  <c r="CD81" i="7"/>
  <c r="CE81" i="7" s="1"/>
  <c r="CG81" i="7" s="1"/>
  <c r="CH81" i="7" s="1"/>
  <c r="BZ46" i="7"/>
  <c r="CD46" i="7" s="1"/>
  <c r="CE46" i="7" s="1"/>
  <c r="CG46" i="7" s="1"/>
  <c r="CI46" i="7" s="1"/>
  <c r="CB88" i="7"/>
  <c r="CD88" i="7" s="1"/>
  <c r="CE88" i="7" s="1"/>
  <c r="CG88" i="7" s="1"/>
  <c r="CH61" i="7"/>
  <c r="CD11" i="7"/>
  <c r="CE11" i="7" s="1"/>
  <c r="CG11" i="7" s="1"/>
  <c r="CH11" i="7" s="1"/>
  <c r="CD91" i="7"/>
  <c r="CE91" i="7" s="1"/>
  <c r="CG91" i="7" s="1"/>
  <c r="CI91" i="7" s="1"/>
  <c r="CD93" i="7"/>
  <c r="CE93" i="7" s="1"/>
  <c r="CG93" i="7" s="1"/>
  <c r="CH93" i="7" s="1"/>
  <c r="CD125" i="7"/>
  <c r="CE125" i="7" s="1"/>
  <c r="CG125" i="7" s="1"/>
  <c r="CJ125" i="7" s="1"/>
  <c r="CO125" i="7" s="1"/>
  <c r="CD89" i="7"/>
  <c r="CE89" i="7" s="1"/>
  <c r="CG89" i="7" s="1"/>
  <c r="CH89" i="7" s="1"/>
  <c r="CD33" i="7"/>
  <c r="CE33" i="7" s="1"/>
  <c r="CG33" i="7" s="1"/>
  <c r="CH33" i="7" s="1"/>
  <c r="CD118" i="7"/>
  <c r="CE118" i="7" s="1"/>
  <c r="CG118" i="7" s="1"/>
  <c r="CH118" i="7" s="1"/>
  <c r="CD48" i="7"/>
  <c r="CE48" i="7" s="1"/>
  <c r="CG48" i="7" s="1"/>
  <c r="CI48" i="7" s="1"/>
  <c r="CM48" i="7" s="1"/>
  <c r="CD98" i="7"/>
  <c r="CE98" i="7" s="1"/>
  <c r="CG98" i="7" s="1"/>
  <c r="CH98" i="7" s="1"/>
  <c r="CD105" i="7"/>
  <c r="CE105" i="7" s="1"/>
  <c r="CG105" i="7" s="1"/>
  <c r="CI105" i="7" s="1"/>
  <c r="CD77" i="7"/>
  <c r="CE77" i="7" s="1"/>
  <c r="CG77" i="7" s="1"/>
  <c r="CH77" i="7" s="1"/>
  <c r="CD87" i="7"/>
  <c r="CE87" i="7" s="1"/>
  <c r="CG87" i="7" s="1"/>
  <c r="CJ87" i="7" s="1"/>
  <c r="CH20" i="7"/>
  <c r="CC66" i="7"/>
  <c r="CD66" i="7" s="1"/>
  <c r="CE66" i="7" s="1"/>
  <c r="CG66" i="7" s="1"/>
  <c r="CD36" i="7"/>
  <c r="CE36" i="7" s="1"/>
  <c r="CG36" i="7" s="1"/>
  <c r="CJ36" i="7" s="1"/>
  <c r="CB100" i="7"/>
  <c r="CD100" i="7" s="1"/>
  <c r="CE100" i="7" s="1"/>
  <c r="CG100" i="7" s="1"/>
  <c r="CJ100" i="7" s="1"/>
  <c r="CP100" i="7" s="1"/>
  <c r="CD64" i="7"/>
  <c r="CE64" i="7" s="1"/>
  <c r="CG64" i="7" s="1"/>
  <c r="CJ64" i="7" s="1"/>
  <c r="CO64" i="7" s="1"/>
  <c r="CD53" i="7"/>
  <c r="CE53" i="7" s="1"/>
  <c r="CG53" i="7" s="1"/>
  <c r="CJ53" i="7" s="1"/>
  <c r="CN53" i="7" s="1"/>
  <c r="CA45" i="7"/>
  <c r="CD45" i="7" s="1"/>
  <c r="CE45" i="7" s="1"/>
  <c r="CG45" i="7" s="1"/>
  <c r="CJ45" i="7" s="1"/>
  <c r="CA104" i="7"/>
  <c r="CD50" i="7"/>
  <c r="CE50" i="7" s="1"/>
  <c r="CG50" i="7" s="1"/>
  <c r="CH50" i="7" s="1"/>
  <c r="CD83" i="7"/>
  <c r="CE83" i="7" s="1"/>
  <c r="CG83" i="7" s="1"/>
  <c r="CI83" i="7" s="1"/>
  <c r="BZ15" i="7"/>
  <c r="CD15" i="7" s="1"/>
  <c r="CE15" i="7" s="1"/>
  <c r="CG15" i="7" s="1"/>
  <c r="CD54" i="7"/>
  <c r="CE54" i="7" s="1"/>
  <c r="CG54" i="7" s="1"/>
  <c r="CI54" i="7" s="1"/>
  <c r="CB65" i="7"/>
  <c r="CD65" i="7" s="1"/>
  <c r="CE65" i="7" s="1"/>
  <c r="CG65" i="7" s="1"/>
  <c r="CH65" i="7" s="1"/>
  <c r="CJ108" i="7"/>
  <c r="CO108" i="7" s="1"/>
  <c r="CI108" i="7"/>
  <c r="CK108" i="7" s="1"/>
  <c r="CD17" i="7"/>
  <c r="CE17" i="7" s="1"/>
  <c r="CG17" i="7" s="1"/>
  <c r="CH17" i="7" s="1"/>
  <c r="CD68" i="7"/>
  <c r="CE68" i="7" s="1"/>
  <c r="CG68" i="7" s="1"/>
  <c r="CJ68" i="7" s="1"/>
  <c r="CP68" i="7" s="1"/>
  <c r="CD76" i="7"/>
  <c r="CE76" i="7" s="1"/>
  <c r="CG76" i="7" s="1"/>
  <c r="CJ76" i="7" s="1"/>
  <c r="CO76" i="7" s="1"/>
  <c r="CJ34" i="7"/>
  <c r="CO34" i="7" s="1"/>
  <c r="CD104" i="7"/>
  <c r="CE104" i="7" s="1"/>
  <c r="CG104" i="7" s="1"/>
  <c r="CJ104" i="7" s="1"/>
  <c r="CO104" i="7" s="1"/>
  <c r="CD72" i="7"/>
  <c r="CE72" i="7" s="1"/>
  <c r="CG72" i="7" s="1"/>
  <c r="CH72" i="7" s="1"/>
  <c r="CD62" i="7"/>
  <c r="CE62" i="7" s="1"/>
  <c r="CG62" i="7" s="1"/>
  <c r="CH62" i="7" s="1"/>
  <c r="CD113" i="7"/>
  <c r="CE113" i="7" s="1"/>
  <c r="CG113" i="7" s="1"/>
  <c r="CH113" i="7" s="1"/>
  <c r="CD79" i="7"/>
  <c r="CE79" i="7" s="1"/>
  <c r="CG79" i="7" s="1"/>
  <c r="CJ79" i="7" s="1"/>
  <c r="CD124" i="7"/>
  <c r="CE124" i="7" s="1"/>
  <c r="CG124" i="7" s="1"/>
  <c r="CH124" i="7" s="1"/>
  <c r="CH34" i="7"/>
  <c r="CD90" i="7"/>
  <c r="CE90" i="7" s="1"/>
  <c r="CG90" i="7" s="1"/>
  <c r="CJ90" i="7" s="1"/>
  <c r="CD23" i="7"/>
  <c r="CE23" i="7" s="1"/>
  <c r="CG23" i="7" s="1"/>
  <c r="CI23" i="7" s="1"/>
  <c r="CD99" i="7"/>
  <c r="CE99" i="7" s="1"/>
  <c r="CG99" i="7" s="1"/>
  <c r="CJ99" i="7" s="1"/>
  <c r="CD43" i="7"/>
  <c r="CE43" i="7" s="1"/>
  <c r="CG43" i="7" s="1"/>
  <c r="CI43" i="7" s="1"/>
  <c r="CC55" i="7"/>
  <c r="CD55" i="7" s="1"/>
  <c r="CE55" i="7" s="1"/>
  <c r="CG55" i="7" s="1"/>
  <c r="CJ55" i="7" s="1"/>
  <c r="CD58" i="7"/>
  <c r="CE58" i="7" s="1"/>
  <c r="CG58" i="7" s="1"/>
  <c r="CH58" i="7" s="1"/>
  <c r="CH108" i="7"/>
  <c r="CD127" i="7"/>
  <c r="CE127" i="7" s="1"/>
  <c r="CG127" i="7" s="1"/>
  <c r="CI127" i="7" s="1"/>
  <c r="CD109" i="7"/>
  <c r="CE109" i="7" s="1"/>
  <c r="CG109" i="7" s="1"/>
  <c r="CH109" i="7" s="1"/>
  <c r="CD40" i="7"/>
  <c r="CE40" i="7" s="1"/>
  <c r="CG40" i="7" s="1"/>
  <c r="CH40" i="7" s="1"/>
  <c r="CD115" i="7"/>
  <c r="CE115" i="7" s="1"/>
  <c r="CG115" i="7" s="1"/>
  <c r="CJ115" i="7" s="1"/>
  <c r="CD114" i="7"/>
  <c r="CE114" i="7" s="1"/>
  <c r="CG114" i="7" s="1"/>
  <c r="CH114" i="7" s="1"/>
  <c r="CD60" i="7"/>
  <c r="CE60" i="7" s="1"/>
  <c r="CG60" i="7" s="1"/>
  <c r="CJ60" i="7" s="1"/>
  <c r="CI20" i="7"/>
  <c r="CM20" i="7" s="1"/>
  <c r="CP63" i="7"/>
  <c r="CH26" i="7"/>
  <c r="CD12" i="7"/>
  <c r="CE12" i="7" s="1"/>
  <c r="CG12" i="7" s="1"/>
  <c r="CJ12" i="7" s="1"/>
  <c r="CD102" i="7"/>
  <c r="CE102" i="7" s="1"/>
  <c r="CG102" i="7" s="1"/>
  <c r="CJ102" i="7" s="1"/>
  <c r="CN102" i="7" s="1"/>
  <c r="CD7" i="7"/>
  <c r="CE7" i="7" s="1"/>
  <c r="CG7" i="7" s="1"/>
  <c r="CJ7" i="7" s="1"/>
  <c r="BV120" i="7"/>
  <c r="CD74" i="7"/>
  <c r="CE74" i="7" s="1"/>
  <c r="CG74" i="7" s="1"/>
  <c r="CI74" i="7" s="1"/>
  <c r="CD38" i="7"/>
  <c r="CE38" i="7" s="1"/>
  <c r="CG38" i="7" s="1"/>
  <c r="CJ38" i="7" s="1"/>
  <c r="CD126" i="7"/>
  <c r="CE126" i="7" s="1"/>
  <c r="CG126" i="7" s="1"/>
  <c r="CJ126" i="7" s="1"/>
  <c r="CN126" i="7" s="1"/>
  <c r="CD16" i="7"/>
  <c r="CE16" i="7" s="1"/>
  <c r="CG16" i="7" s="1"/>
  <c r="CJ16" i="7" s="1"/>
  <c r="CD107" i="7"/>
  <c r="CE107" i="7" s="1"/>
  <c r="CG107" i="7" s="1"/>
  <c r="CH107" i="7" s="1"/>
  <c r="CD13" i="7"/>
  <c r="CE13" i="7" s="1"/>
  <c r="CG13" i="7" s="1"/>
  <c r="CJ13" i="7" s="1"/>
  <c r="CN13" i="7" s="1"/>
  <c r="CD27" i="7"/>
  <c r="CE27" i="7" s="1"/>
  <c r="CG27" i="7" s="1"/>
  <c r="CI27" i="7" s="1"/>
  <c r="CD22" i="7"/>
  <c r="CE22" i="7" s="1"/>
  <c r="CG22" i="7" s="1"/>
  <c r="CI22" i="7" s="1"/>
  <c r="CD94" i="7"/>
  <c r="CE94" i="7" s="1"/>
  <c r="CG94" i="7" s="1"/>
  <c r="CH94" i="7" s="1"/>
  <c r="CD42" i="7"/>
  <c r="CE42" i="7" s="1"/>
  <c r="CG42" i="7" s="1"/>
  <c r="CJ42" i="7" s="1"/>
  <c r="CD117" i="7"/>
  <c r="CE117" i="7" s="1"/>
  <c r="CG117" i="7" s="1"/>
  <c r="CJ117" i="7" s="1"/>
  <c r="CD29" i="7"/>
  <c r="CE29" i="7" s="1"/>
  <c r="CG29" i="7" s="1"/>
  <c r="CI29" i="7" s="1"/>
  <c r="CD86" i="7"/>
  <c r="CE86" i="7" s="1"/>
  <c r="CG86" i="7" s="1"/>
  <c r="CJ86" i="7" s="1"/>
  <c r="CO86" i="7" s="1"/>
  <c r="CI26" i="7"/>
  <c r="CM26" i="7" s="1"/>
  <c r="CD10" i="7"/>
  <c r="CE10" i="7" s="1"/>
  <c r="CG10" i="7" s="1"/>
  <c r="CJ10" i="7" s="1"/>
  <c r="CP10" i="7" s="1"/>
  <c r="CD110" i="7"/>
  <c r="CE110" i="7" s="1"/>
  <c r="CG110" i="7" s="1"/>
  <c r="CD8" i="7"/>
  <c r="CE8" i="7" s="1"/>
  <c r="CG8" i="7" s="1"/>
  <c r="CI8" i="7" s="1"/>
  <c r="CD78" i="7"/>
  <c r="CE78" i="7" s="1"/>
  <c r="CG78" i="7" s="1"/>
  <c r="CH78" i="7" s="1"/>
  <c r="CP18" i="7"/>
  <c r="CN18" i="7"/>
  <c r="CD32" i="7"/>
  <c r="CE32" i="7" s="1"/>
  <c r="CG32" i="7" s="1"/>
  <c r="CH32" i="7" s="1"/>
  <c r="CC120" i="7"/>
  <c r="CD44" i="7"/>
  <c r="CE44" i="7" s="1"/>
  <c r="CG44" i="7" s="1"/>
  <c r="CI44" i="7" s="1"/>
  <c r="CK44" i="7" s="1"/>
  <c r="CD31" i="7"/>
  <c r="CE31" i="7" s="1"/>
  <c r="CG31" i="7" s="1"/>
  <c r="BZ96" i="7"/>
  <c r="CC96" i="7"/>
  <c r="CD73" i="7"/>
  <c r="CE73" i="7" s="1"/>
  <c r="CG73" i="7" s="1"/>
  <c r="CI73" i="7" s="1"/>
  <c r="CD123" i="7"/>
  <c r="CE123" i="7" s="1"/>
  <c r="CG123" i="7" s="1"/>
  <c r="CH123" i="7" s="1"/>
  <c r="CD19" i="7"/>
  <c r="CE19" i="7" s="1"/>
  <c r="CG19" i="7" s="1"/>
  <c r="CJ19" i="7" s="1"/>
  <c r="CD95" i="7"/>
  <c r="CE95" i="7" s="1"/>
  <c r="CG95" i="7" s="1"/>
  <c r="CJ95" i="7" s="1"/>
  <c r="CC116" i="7"/>
  <c r="BZ120" i="7"/>
  <c r="CA120" i="7"/>
  <c r="CT18" i="7"/>
  <c r="CI18" i="7"/>
  <c r="CK18" i="7" s="1"/>
  <c r="CD56" i="7"/>
  <c r="CE56" i="7" s="1"/>
  <c r="CG56" i="7" s="1"/>
  <c r="CB116" i="7"/>
  <c r="BV52" i="7"/>
  <c r="BT52" i="7"/>
  <c r="CC52" i="7" s="1"/>
  <c r="CD14" i="7"/>
  <c r="CE14" i="7" s="1"/>
  <c r="CG14" i="7" s="1"/>
  <c r="CH14" i="7" s="1"/>
  <c r="CD24" i="7"/>
  <c r="CE24" i="7" s="1"/>
  <c r="CG24" i="7" s="1"/>
  <c r="CI24" i="7" s="1"/>
  <c r="CD97" i="7"/>
  <c r="CE97" i="7" s="1"/>
  <c r="CG97" i="7" s="1"/>
  <c r="CH97" i="7" s="1"/>
  <c r="CD35" i="7"/>
  <c r="CE35" i="7" s="1"/>
  <c r="CG35" i="7" s="1"/>
  <c r="CJ35" i="7" s="1"/>
  <c r="BW52" i="7"/>
  <c r="BX52" i="7"/>
  <c r="BY52" i="7"/>
  <c r="CH18" i="7"/>
  <c r="CB129" i="7"/>
  <c r="BY129" i="7"/>
  <c r="BW129" i="7"/>
  <c r="BX129" i="7"/>
  <c r="CD92" i="7"/>
  <c r="CE92" i="7" s="1"/>
  <c r="CG92" i="7" s="1"/>
  <c r="BV129" i="7"/>
  <c r="BT129" i="7"/>
  <c r="BZ129" i="7" s="1"/>
  <c r="CS39" i="7"/>
  <c r="CD71" i="7"/>
  <c r="CE71" i="7" s="1"/>
  <c r="CG71" i="7" s="1"/>
  <c r="CR63" i="7"/>
  <c r="CH63" i="7"/>
  <c r="CI63" i="7"/>
  <c r="CK63" i="7" s="1"/>
  <c r="CQ63" i="7" s="1"/>
  <c r="CS44" i="7"/>
  <c r="CT44" i="7"/>
  <c r="CI121" i="7"/>
  <c r="CM121" i="7" s="1"/>
  <c r="CR44" i="7"/>
  <c r="CH121" i="7"/>
  <c r="CJ59" i="7"/>
  <c r="CH111" i="7"/>
  <c r="CI59" i="7"/>
  <c r="CK59" i="7" s="1"/>
  <c r="CI21" i="7"/>
  <c r="CK21" i="7" s="1"/>
  <c r="CJ21" i="7"/>
  <c r="CJ6" i="7"/>
  <c r="CI111" i="7"/>
  <c r="CM111" i="7" s="1"/>
  <c r="CJ30" i="7"/>
  <c r="CP30" i="7" s="1"/>
  <c r="CH6" i="7"/>
  <c r="CM6" i="7"/>
  <c r="CK6" i="7"/>
  <c r="CI30" i="7"/>
  <c r="CM30" i="7" s="1"/>
  <c r="CJ101" i="7"/>
  <c r="CI101" i="7"/>
  <c r="CM101" i="7" s="1"/>
  <c r="CJ28" i="7"/>
  <c r="CH28" i="7"/>
  <c r="CI28" i="7"/>
  <c r="CN121" i="7"/>
  <c r="CO121" i="7"/>
  <c r="CP121" i="7"/>
  <c r="CS85" i="7"/>
  <c r="CN111" i="7"/>
  <c r="CP111" i="7"/>
  <c r="CO111" i="7"/>
  <c r="CO26" i="7"/>
  <c r="CN26" i="7"/>
  <c r="CP26" i="7"/>
  <c r="CQ26" i="7"/>
  <c r="CP20" i="7"/>
  <c r="CN20" i="7"/>
  <c r="CO20" i="7"/>
  <c r="CK61" i="7"/>
  <c r="CM61" i="7"/>
  <c r="CK34" i="7"/>
  <c r="CM34" i="7"/>
  <c r="S2" i="7"/>
  <c r="Q2" i="7"/>
  <c r="R2" i="7"/>
  <c r="CH57" i="7" l="1"/>
  <c r="CM85" i="7"/>
  <c r="CJ103" i="7"/>
  <c r="CP103" i="7" s="1"/>
  <c r="CN85" i="7"/>
  <c r="CP85" i="7"/>
  <c r="CH106" i="7"/>
  <c r="CJ39" i="7"/>
  <c r="CN39" i="7" s="1"/>
  <c r="CI39" i="7"/>
  <c r="CM39" i="7" s="1"/>
  <c r="CI103" i="7"/>
  <c r="CK103" i="7" s="1"/>
  <c r="CI106" i="7"/>
  <c r="CM106" i="7" s="1"/>
  <c r="CJ5" i="7"/>
  <c r="CN5" i="7" s="1"/>
  <c r="CI5" i="7"/>
  <c r="CM5" i="7" s="1"/>
  <c r="CO82" i="7"/>
  <c r="CH5" i="7"/>
  <c r="CH128" i="7"/>
  <c r="CJ128" i="7"/>
  <c r="CR128" i="7" s="1"/>
  <c r="CH80" i="7"/>
  <c r="CI57" i="7"/>
  <c r="CK57" i="7" s="1"/>
  <c r="CT57" i="7" s="1"/>
  <c r="CP82" i="7"/>
  <c r="CK70" i="7"/>
  <c r="CJ70" i="7"/>
  <c r="CO70" i="7" s="1"/>
  <c r="CH70" i="7"/>
  <c r="CI82" i="7"/>
  <c r="CM82" i="7" s="1"/>
  <c r="CJ41" i="7"/>
  <c r="CO41" i="7" s="1"/>
  <c r="CH82" i="7"/>
  <c r="CI98" i="7"/>
  <c r="CM98" i="7" s="1"/>
  <c r="CK41" i="7"/>
  <c r="CP61" i="7"/>
  <c r="CJ84" i="7"/>
  <c r="CN84" i="7" s="1"/>
  <c r="CH41" i="7"/>
  <c r="CM75" i="7"/>
  <c r="CI84" i="7"/>
  <c r="CK84" i="7" s="1"/>
  <c r="CR84" i="7" s="1"/>
  <c r="CH75" i="7"/>
  <c r="CR80" i="7"/>
  <c r="CI69" i="7"/>
  <c r="CK69" i="7" s="1"/>
  <c r="CJ69" i="7"/>
  <c r="CN69" i="7" s="1"/>
  <c r="CJ130" i="7"/>
  <c r="CN130" i="7" s="1"/>
  <c r="CP80" i="7"/>
  <c r="CQ80" i="7"/>
  <c r="CO80" i="7"/>
  <c r="CI80" i="7"/>
  <c r="CK80" i="7" s="1"/>
  <c r="CT80" i="7" s="1"/>
  <c r="CN68" i="7"/>
  <c r="CI50" i="7"/>
  <c r="CK50" i="7" s="1"/>
  <c r="CJ93" i="7"/>
  <c r="CQ93" i="7" s="1"/>
  <c r="CH91" i="7"/>
  <c r="CJ77" i="7"/>
  <c r="CR77" i="7" s="1"/>
  <c r="CJ118" i="7"/>
  <c r="CS118" i="7" s="1"/>
  <c r="CI72" i="7"/>
  <c r="CM72" i="7" s="1"/>
  <c r="CJ51" i="7"/>
  <c r="CP51" i="7" s="1"/>
  <c r="CI7" i="7"/>
  <c r="CM7" i="7" s="1"/>
  <c r="CI77" i="7"/>
  <c r="CK77" i="7" s="1"/>
  <c r="CI126" i="7"/>
  <c r="CK126" i="7" s="1"/>
  <c r="CQ126" i="7" s="1"/>
  <c r="CJ81" i="7"/>
  <c r="CP81" i="7" s="1"/>
  <c r="CJ48" i="7"/>
  <c r="CQ48" i="7" s="1"/>
  <c r="CM112" i="7"/>
  <c r="CJ40" i="7"/>
  <c r="CO40" i="7" s="1"/>
  <c r="CI42" i="7"/>
  <c r="CK42" i="7" s="1"/>
  <c r="CQ42" i="7" s="1"/>
  <c r="CP125" i="7"/>
  <c r="CI49" i="7"/>
  <c r="CM49" i="7" s="1"/>
  <c r="CK48" i="7"/>
  <c r="CK91" i="7"/>
  <c r="CM91" i="7"/>
  <c r="CO61" i="7"/>
  <c r="CJ91" i="7"/>
  <c r="CQ91" i="7" s="1"/>
  <c r="CI37" i="7"/>
  <c r="CM37" i="7" s="1"/>
  <c r="CJ50" i="7"/>
  <c r="CR50" i="7" s="1"/>
  <c r="CJ46" i="7"/>
  <c r="CN46" i="7" s="1"/>
  <c r="CI68" i="7"/>
  <c r="CM68" i="7" s="1"/>
  <c r="CJ75" i="7"/>
  <c r="CR75" i="7" s="1"/>
  <c r="CH48" i="7"/>
  <c r="CH46" i="7"/>
  <c r="CJ37" i="7"/>
  <c r="CP37" i="7" s="1"/>
  <c r="CQ61" i="7"/>
  <c r="CH105" i="7"/>
  <c r="CH112" i="7"/>
  <c r="CI11" i="7"/>
  <c r="CK11" i="7" s="1"/>
  <c r="CJ11" i="7"/>
  <c r="CN11" i="7" s="1"/>
  <c r="CI79" i="7"/>
  <c r="CM79" i="7" s="1"/>
  <c r="CH36" i="7"/>
  <c r="CJ105" i="7"/>
  <c r="CO105" i="7" s="1"/>
  <c r="CQ53" i="7"/>
  <c r="CI118" i="7"/>
  <c r="CM118" i="7" s="1"/>
  <c r="CI81" i="7"/>
  <c r="CK81" i="7" s="1"/>
  <c r="CJ112" i="7"/>
  <c r="CT112" i="7" s="1"/>
  <c r="CJ49" i="7"/>
  <c r="CK119" i="7"/>
  <c r="CN108" i="7"/>
  <c r="CH51" i="7"/>
  <c r="CJ9" i="7"/>
  <c r="CQ9" i="7" s="1"/>
  <c r="CJ119" i="7"/>
  <c r="CP119" i="7" s="1"/>
  <c r="CH67" i="7"/>
  <c r="CI60" i="7"/>
  <c r="CK60" i="7" s="1"/>
  <c r="CT60" i="7" s="1"/>
  <c r="CH119" i="7"/>
  <c r="CJ43" i="7"/>
  <c r="CP43" i="7" s="1"/>
  <c r="CI33" i="7"/>
  <c r="CK33" i="7" s="1"/>
  <c r="CN64" i="7"/>
  <c r="CJ83" i="7"/>
  <c r="CN83" i="7" s="1"/>
  <c r="CJ98" i="7"/>
  <c r="CP98" i="7" s="1"/>
  <c r="CN125" i="7"/>
  <c r="CI102" i="7"/>
  <c r="CM102" i="7" s="1"/>
  <c r="CI130" i="7"/>
  <c r="CK130" i="7" s="1"/>
  <c r="CT130" i="7" s="1"/>
  <c r="CI125" i="7"/>
  <c r="CM125" i="7" s="1"/>
  <c r="CR34" i="7"/>
  <c r="CQ76" i="7"/>
  <c r="CJ33" i="7"/>
  <c r="CQ33" i="7" s="1"/>
  <c r="CH125" i="7"/>
  <c r="CJ89" i="7"/>
  <c r="CO89" i="7" s="1"/>
  <c r="CH53" i="7"/>
  <c r="CH104" i="7"/>
  <c r="CQ104" i="7"/>
  <c r="CI17" i="7"/>
  <c r="CM17" i="7" s="1"/>
  <c r="CP53" i="7"/>
  <c r="CJ54" i="7"/>
  <c r="CO54" i="7" s="1"/>
  <c r="CH90" i="7"/>
  <c r="CN104" i="7"/>
  <c r="CH54" i="7"/>
  <c r="CI90" i="7"/>
  <c r="CK90" i="7" s="1"/>
  <c r="CR90" i="7" s="1"/>
  <c r="CH79" i="7"/>
  <c r="CP104" i="7"/>
  <c r="CO53" i="7"/>
  <c r="CJ17" i="7"/>
  <c r="CN17" i="7" s="1"/>
  <c r="CI104" i="7"/>
  <c r="CM104" i="7" s="1"/>
  <c r="CI62" i="7"/>
  <c r="CK62" i="7" s="1"/>
  <c r="CP86" i="7"/>
  <c r="CI76" i="7"/>
  <c r="CK76" i="7" s="1"/>
  <c r="CR76" i="7" s="1"/>
  <c r="CI9" i="7"/>
  <c r="CK9" i="7" s="1"/>
  <c r="CT9" i="7" s="1"/>
  <c r="CI89" i="7"/>
  <c r="CK89" i="7" s="1"/>
  <c r="CI67" i="7"/>
  <c r="CK67" i="7" s="1"/>
  <c r="CS67" i="7" s="1"/>
  <c r="CS108" i="7"/>
  <c r="CP108" i="7"/>
  <c r="CN76" i="7"/>
  <c r="CH83" i="7"/>
  <c r="CH60" i="7"/>
  <c r="CH87" i="7"/>
  <c r="CH12" i="7"/>
  <c r="CR108" i="7"/>
  <c r="CP76" i="7"/>
  <c r="CI12" i="7"/>
  <c r="CM12" i="7" s="1"/>
  <c r="CQ108" i="7"/>
  <c r="CH76" i="7"/>
  <c r="CH68" i="7"/>
  <c r="CO68" i="7"/>
  <c r="CR53" i="7"/>
  <c r="CI38" i="7"/>
  <c r="CK38" i="7" s="1"/>
  <c r="CR38" i="7" s="1"/>
  <c r="CI97" i="7"/>
  <c r="CM97" i="7" s="1"/>
  <c r="CJ72" i="7"/>
  <c r="CP72" i="7" s="1"/>
  <c r="CI53" i="7"/>
  <c r="CK53" i="7" s="1"/>
  <c r="CS53" i="7" s="1"/>
  <c r="CI93" i="7"/>
  <c r="CT108" i="7"/>
  <c r="CJ66" i="7"/>
  <c r="CN66" i="7" s="1"/>
  <c r="CI66" i="7"/>
  <c r="CM66" i="7" s="1"/>
  <c r="CH66" i="7"/>
  <c r="CP87" i="7"/>
  <c r="CO87" i="7"/>
  <c r="CN87" i="7"/>
  <c r="CJ109" i="7"/>
  <c r="CP109" i="7" s="1"/>
  <c r="CH99" i="7"/>
  <c r="CJ62" i="7"/>
  <c r="CN62" i="7" s="1"/>
  <c r="CP64" i="7"/>
  <c r="CN34" i="7"/>
  <c r="CN86" i="7"/>
  <c r="CO13" i="7"/>
  <c r="CH38" i="7"/>
  <c r="CP13" i="7"/>
  <c r="CH64" i="7"/>
  <c r="CI64" i="7"/>
  <c r="CM64" i="7" s="1"/>
  <c r="CI99" i="7"/>
  <c r="CM99" i="7" s="1"/>
  <c r="CH47" i="7"/>
  <c r="CH42" i="7"/>
  <c r="CM108" i="7"/>
  <c r="CI36" i="7"/>
  <c r="CM36" i="7" s="1"/>
  <c r="CP34" i="7"/>
  <c r="CH86" i="7"/>
  <c r="CI86" i="7"/>
  <c r="CK86" i="7" s="1"/>
  <c r="CS86" i="7" s="1"/>
  <c r="CJ97" i="7"/>
  <c r="CP97" i="7" s="1"/>
  <c r="CI87" i="7"/>
  <c r="CI47" i="7"/>
  <c r="CK47" i="7" s="1"/>
  <c r="CS47" i="7" s="1"/>
  <c r="CQ86" i="7"/>
  <c r="CH13" i="7"/>
  <c r="CJ14" i="7"/>
  <c r="CN14" i="7" s="1"/>
  <c r="CJ78" i="7"/>
  <c r="CO78" i="7" s="1"/>
  <c r="CI10" i="7"/>
  <c r="CK10" i="7" s="1"/>
  <c r="CQ10" i="7" s="1"/>
  <c r="CJ123" i="7"/>
  <c r="CO123" i="7" s="1"/>
  <c r="CJ113" i="7"/>
  <c r="CP113" i="7" s="1"/>
  <c r="CR86" i="7"/>
  <c r="CI13" i="7"/>
  <c r="CK13" i="7" s="1"/>
  <c r="CJ15" i="7"/>
  <c r="CN15" i="7" s="1"/>
  <c r="CI15" i="7"/>
  <c r="CM15" i="7" s="1"/>
  <c r="CH15" i="7"/>
  <c r="CD116" i="7"/>
  <c r="CE116" i="7" s="1"/>
  <c r="CG116" i="7" s="1"/>
  <c r="CI116" i="7" s="1"/>
  <c r="CH24" i="7"/>
  <c r="CN100" i="7"/>
  <c r="CI100" i="7"/>
  <c r="CM100" i="7" s="1"/>
  <c r="CH7" i="7"/>
  <c r="CI124" i="7"/>
  <c r="CM124" i="7" s="1"/>
  <c r="CO100" i="7"/>
  <c r="CK26" i="7"/>
  <c r="CS26" i="7" s="1"/>
  <c r="CJ124" i="7"/>
  <c r="CO124" i="7" s="1"/>
  <c r="CH100" i="7"/>
  <c r="CJ32" i="7"/>
  <c r="CN32" i="7" s="1"/>
  <c r="CJ8" i="7"/>
  <c r="CQ8" i="7" s="1"/>
  <c r="CH55" i="7"/>
  <c r="CI40" i="7"/>
  <c r="CK40" i="7" s="1"/>
  <c r="CI113" i="7"/>
  <c r="CH115" i="7"/>
  <c r="CH117" i="7"/>
  <c r="CH43" i="7"/>
  <c r="CH23" i="7"/>
  <c r="CJ127" i="7"/>
  <c r="CN127" i="7" s="1"/>
  <c r="CJ58" i="7"/>
  <c r="CN58" i="7" s="1"/>
  <c r="CH126" i="7"/>
  <c r="CP126" i="7"/>
  <c r="CJ23" i="7"/>
  <c r="CO23" i="7" s="1"/>
  <c r="CI94" i="7"/>
  <c r="CK94" i="7" s="1"/>
  <c r="CH127" i="7"/>
  <c r="CI107" i="7"/>
  <c r="CK107" i="7" s="1"/>
  <c r="CT107" i="7" s="1"/>
  <c r="CP102" i="7"/>
  <c r="CI58" i="7"/>
  <c r="CK58" i="7" s="1"/>
  <c r="CO126" i="7"/>
  <c r="CH19" i="7"/>
  <c r="CH35" i="7"/>
  <c r="CI55" i="7"/>
  <c r="CK55" i="7" s="1"/>
  <c r="CS55" i="7" s="1"/>
  <c r="CI117" i="7"/>
  <c r="CK117" i="7" s="1"/>
  <c r="CR117" i="7" s="1"/>
  <c r="CH27" i="7"/>
  <c r="CI114" i="7"/>
  <c r="CK114" i="7" s="1"/>
  <c r="CI109" i="7"/>
  <c r="CI19" i="7"/>
  <c r="CK19" i="7" s="1"/>
  <c r="CT19" i="7" s="1"/>
  <c r="CI32" i="7"/>
  <c r="CM32" i="7" s="1"/>
  <c r="CH8" i="7"/>
  <c r="CI35" i="7"/>
  <c r="CM35" i="7" s="1"/>
  <c r="CJ27" i="7"/>
  <c r="CP27" i="7" s="1"/>
  <c r="CJ114" i="7"/>
  <c r="CP114" i="7" s="1"/>
  <c r="CP115" i="7"/>
  <c r="CN115" i="7"/>
  <c r="CO115" i="7"/>
  <c r="CI16" i="7"/>
  <c r="CK16" i="7" s="1"/>
  <c r="CQ16" i="7" s="1"/>
  <c r="CI115" i="7"/>
  <c r="CI123" i="7"/>
  <c r="CH16" i="7"/>
  <c r="CJ74" i="7"/>
  <c r="CP74" i="7" s="1"/>
  <c r="CK74" i="7"/>
  <c r="CM74" i="7"/>
  <c r="CH95" i="7"/>
  <c r="CJ22" i="7"/>
  <c r="CN22" i="7" s="1"/>
  <c r="CO102" i="7"/>
  <c r="CI45" i="7"/>
  <c r="CM45" i="7" s="1"/>
  <c r="CH74" i="7"/>
  <c r="CI95" i="7"/>
  <c r="CK95" i="7" s="1"/>
  <c r="CR95" i="7" s="1"/>
  <c r="CH22" i="7"/>
  <c r="CK20" i="7"/>
  <c r="CT20" i="7" s="1"/>
  <c r="CH45" i="7"/>
  <c r="CI14" i="7"/>
  <c r="CM14" i="7" s="1"/>
  <c r="CI65" i="7"/>
  <c r="CM65" i="7" s="1"/>
  <c r="CH102" i="7"/>
  <c r="CN16" i="7"/>
  <c r="CP16" i="7"/>
  <c r="CO16" i="7"/>
  <c r="CM18" i="7"/>
  <c r="CH29" i="7"/>
  <c r="CJ94" i="7"/>
  <c r="CP94" i="7" s="1"/>
  <c r="CI78" i="7"/>
  <c r="CM78" i="7" s="1"/>
  <c r="CJ65" i="7"/>
  <c r="CO65" i="7" s="1"/>
  <c r="CH10" i="7"/>
  <c r="CM44" i="7"/>
  <c r="CN10" i="7"/>
  <c r="CJ44" i="7"/>
  <c r="CN44" i="7" s="1"/>
  <c r="CH122" i="7"/>
  <c r="CJ29" i="7"/>
  <c r="CP29" i="7" s="1"/>
  <c r="CJ107" i="7"/>
  <c r="CN107" i="7" s="1"/>
  <c r="CH73" i="7"/>
  <c r="CO10" i="7"/>
  <c r="CH110" i="7"/>
  <c r="CI110" i="7"/>
  <c r="CJ110" i="7"/>
  <c r="CQ110" i="7" s="1"/>
  <c r="CD96" i="7"/>
  <c r="CE96" i="7" s="1"/>
  <c r="CG96" i="7" s="1"/>
  <c r="CI96" i="7" s="1"/>
  <c r="CJ122" i="7"/>
  <c r="CO122" i="7" s="1"/>
  <c r="CJ24" i="7"/>
  <c r="CO24" i="7" s="1"/>
  <c r="CJ73" i="7"/>
  <c r="CP73" i="7" s="1"/>
  <c r="CH44" i="7"/>
  <c r="CJ31" i="7"/>
  <c r="CI31" i="7"/>
  <c r="CH31" i="7"/>
  <c r="CS18" i="7"/>
  <c r="CQ18" i="7"/>
  <c r="CD120" i="7"/>
  <c r="CE120" i="7" s="1"/>
  <c r="CG120" i="7" s="1"/>
  <c r="CA52" i="7"/>
  <c r="CS63" i="7"/>
  <c r="CR26" i="7"/>
  <c r="CS34" i="7"/>
  <c r="CS20" i="7"/>
  <c r="CT34" i="7"/>
  <c r="CS115" i="7"/>
  <c r="CT104" i="7"/>
  <c r="CT82" i="7"/>
  <c r="CS61" i="7"/>
  <c r="CS87" i="7"/>
  <c r="CS109" i="7"/>
  <c r="CR123" i="7"/>
  <c r="CT123" i="7"/>
  <c r="CS76" i="7"/>
  <c r="CR20" i="7"/>
  <c r="CQ85" i="7"/>
  <c r="CQ34" i="7"/>
  <c r="CT58" i="7"/>
  <c r="CI56" i="7"/>
  <c r="CH56" i="7"/>
  <c r="CJ56" i="7"/>
  <c r="CT115" i="7"/>
  <c r="CT75" i="7"/>
  <c r="CB52" i="7"/>
  <c r="BZ52" i="7"/>
  <c r="CT70" i="7"/>
  <c r="CT81" i="7"/>
  <c r="CS81" i="7"/>
  <c r="CR16" i="7"/>
  <c r="CC129" i="7"/>
  <c r="CA129" i="7"/>
  <c r="CT35" i="7"/>
  <c r="CS16" i="7"/>
  <c r="CT110" i="7"/>
  <c r="CT126" i="7"/>
  <c r="CT10" i="7"/>
  <c r="CS90" i="7"/>
  <c r="CQ87" i="7"/>
  <c r="CS49" i="7"/>
  <c r="CS69" i="7"/>
  <c r="CT69" i="7"/>
  <c r="CQ21" i="7"/>
  <c r="CS6" i="7"/>
  <c r="CR126" i="7"/>
  <c r="CT74" i="7"/>
  <c r="CS56" i="7"/>
  <c r="CR85" i="7"/>
  <c r="CJ25" i="7"/>
  <c r="CH25" i="7"/>
  <c r="CI25" i="7"/>
  <c r="CH92" i="7"/>
  <c r="CJ92" i="7"/>
  <c r="CI92" i="7"/>
  <c r="CT26" i="7"/>
  <c r="CH71" i="7"/>
  <c r="CI71" i="7"/>
  <c r="CJ71" i="7"/>
  <c r="CR82" i="7"/>
  <c r="CT109" i="7"/>
  <c r="CT16" i="7"/>
  <c r="CR69" i="7"/>
  <c r="CM63" i="7"/>
  <c r="CO59" i="7"/>
  <c r="CT59" i="7"/>
  <c r="CT63" i="7"/>
  <c r="CT89" i="7"/>
  <c r="CT114" i="7"/>
  <c r="CT48" i="7"/>
  <c r="CJ88" i="7"/>
  <c r="CH88" i="7"/>
  <c r="CI88" i="7"/>
  <c r="CR10" i="7"/>
  <c r="CN103" i="7"/>
  <c r="CT103" i="7"/>
  <c r="CR49" i="7"/>
  <c r="CS119" i="7"/>
  <c r="CT41" i="7"/>
  <c r="CS41" i="7"/>
  <c r="CR61" i="7"/>
  <c r="CN59" i="7"/>
  <c r="CR59" i="7"/>
  <c r="CK121" i="7"/>
  <c r="CQ59" i="7"/>
  <c r="CP59" i="7"/>
  <c r="CS59" i="7"/>
  <c r="CR21" i="7"/>
  <c r="CM59" i="7"/>
  <c r="CO21" i="7"/>
  <c r="CN21" i="7"/>
  <c r="CS75" i="7"/>
  <c r="CO30" i="7"/>
  <c r="CP21" i="7"/>
  <c r="CS21" i="7"/>
  <c r="CM21" i="7"/>
  <c r="CT6" i="7"/>
  <c r="CO6" i="7"/>
  <c r="CK111" i="7"/>
  <c r="CR6" i="7"/>
  <c r="CS30" i="7"/>
  <c r="CK30" i="7"/>
  <c r="CT30" i="7" s="1"/>
  <c r="CN30" i="7"/>
  <c r="CQ30" i="7"/>
  <c r="CN6" i="7"/>
  <c r="CP6" i="7"/>
  <c r="CQ6" i="7"/>
  <c r="CK101" i="7"/>
  <c r="CT101" i="7" s="1"/>
  <c r="CR103" i="7"/>
  <c r="CS70" i="7"/>
  <c r="CQ103" i="7"/>
  <c r="CS103" i="7"/>
  <c r="CR70" i="7"/>
  <c r="CP101" i="7"/>
  <c r="CO101" i="7"/>
  <c r="CR119" i="7"/>
  <c r="CQ101" i="7"/>
  <c r="CN101" i="7"/>
  <c r="CT119" i="7"/>
  <c r="CQ38" i="7"/>
  <c r="CN38" i="7"/>
  <c r="CP38" i="7"/>
  <c r="CO38" i="7"/>
  <c r="CM105" i="7"/>
  <c r="CK105" i="7"/>
  <c r="CT105" i="7" s="1"/>
  <c r="CM128" i="7"/>
  <c r="CK128" i="7"/>
  <c r="CO60" i="7"/>
  <c r="CP60" i="7"/>
  <c r="CQ60" i="7"/>
  <c r="CR60" i="7"/>
  <c r="CN60" i="7"/>
  <c r="CK54" i="7"/>
  <c r="CM54" i="7"/>
  <c r="CK127" i="7"/>
  <c r="CM127" i="7"/>
  <c r="CK27" i="7"/>
  <c r="CM27" i="7"/>
  <c r="CO45" i="7"/>
  <c r="CP45" i="7"/>
  <c r="CN45" i="7"/>
  <c r="CK23" i="7"/>
  <c r="CS23" i="7" s="1"/>
  <c r="CM23" i="7"/>
  <c r="CN99" i="7"/>
  <c r="CO99" i="7"/>
  <c r="CP99" i="7"/>
  <c r="CN79" i="7"/>
  <c r="CO79" i="7"/>
  <c r="CP79" i="7"/>
  <c r="CN106" i="7"/>
  <c r="CO106" i="7"/>
  <c r="CP106" i="7"/>
  <c r="CK73" i="7"/>
  <c r="CS73" i="7" s="1"/>
  <c r="CM73" i="7"/>
  <c r="CN7" i="7"/>
  <c r="CO7" i="7"/>
  <c r="CP7" i="7"/>
  <c r="CK29" i="7"/>
  <c r="CS29" i="7" s="1"/>
  <c r="CM29" i="7"/>
  <c r="CN67" i="7"/>
  <c r="CO67" i="7"/>
  <c r="CP67" i="7"/>
  <c r="CQ67" i="7"/>
  <c r="CO42" i="7"/>
  <c r="CN42" i="7"/>
  <c r="CP42" i="7"/>
  <c r="CM24" i="7"/>
  <c r="CK24" i="7"/>
  <c r="CR130" i="7"/>
  <c r="CK83" i="7"/>
  <c r="CT83" i="7" s="1"/>
  <c r="CM83" i="7"/>
  <c r="CN117" i="7"/>
  <c r="CP117" i="7"/>
  <c r="CQ117" i="7"/>
  <c r="CO117" i="7"/>
  <c r="CR15" i="7"/>
  <c r="CN36" i="7"/>
  <c r="CO36" i="7"/>
  <c r="CP36" i="7"/>
  <c r="CQ36" i="7"/>
  <c r="CM28" i="7"/>
  <c r="CK28" i="7"/>
  <c r="CR28" i="7" s="1"/>
  <c r="CK22" i="7"/>
  <c r="CM22" i="7"/>
  <c r="CK51" i="7"/>
  <c r="CM51" i="7"/>
  <c r="CP35" i="7"/>
  <c r="CO35" i="7"/>
  <c r="CN35" i="7"/>
  <c r="CN57" i="7"/>
  <c r="CO57" i="7"/>
  <c r="CP57" i="7"/>
  <c r="CS57" i="7"/>
  <c r="CR57" i="7"/>
  <c r="CR83" i="7"/>
  <c r="CN12" i="7"/>
  <c r="CO12" i="7"/>
  <c r="CP12" i="7"/>
  <c r="CN19" i="7"/>
  <c r="CP19" i="7"/>
  <c r="CQ19" i="7"/>
  <c r="CS19" i="7"/>
  <c r="CO19" i="7"/>
  <c r="CK122" i="7"/>
  <c r="CR122" i="7" s="1"/>
  <c r="CM122" i="7"/>
  <c r="CO90" i="7"/>
  <c r="CN90" i="7"/>
  <c r="CP90" i="7"/>
  <c r="CN95" i="7"/>
  <c r="CO95" i="7"/>
  <c r="CP95" i="7"/>
  <c r="CQ95" i="7"/>
  <c r="CK8" i="7"/>
  <c r="CT8" i="7" s="1"/>
  <c r="CM8" i="7"/>
  <c r="CK43" i="7"/>
  <c r="CM43" i="7"/>
  <c r="CO47" i="7"/>
  <c r="CP47" i="7"/>
  <c r="CR47" i="7"/>
  <c r="CN47" i="7"/>
  <c r="CM46" i="7"/>
  <c r="CK46" i="7"/>
  <c r="CR46" i="7" s="1"/>
  <c r="CP55" i="7"/>
  <c r="CO55" i="7"/>
  <c r="CN55" i="7"/>
  <c r="CN28" i="7"/>
  <c r="CO28" i="7"/>
  <c r="CP28" i="7"/>
  <c r="CS5" i="7"/>
  <c r="CO103" i="7" l="1"/>
  <c r="CM57" i="7"/>
  <c r="CO5" i="7"/>
  <c r="CQ128" i="7"/>
  <c r="CP128" i="7"/>
  <c r="CN128" i="7"/>
  <c r="CP5" i="7"/>
  <c r="CQ39" i="7"/>
  <c r="CM103" i="7"/>
  <c r="CU103" i="7" s="1"/>
  <c r="CV103" i="7" s="1"/>
  <c r="CP39" i="7"/>
  <c r="CO39" i="7"/>
  <c r="CK106" i="7"/>
  <c r="CT106" i="7" s="1"/>
  <c r="CK82" i="7"/>
  <c r="CS82" i="7" s="1"/>
  <c r="CK39" i="7"/>
  <c r="CT39" i="7" s="1"/>
  <c r="CK5" i="7"/>
  <c r="CT5" i="7" s="1"/>
  <c r="CO128" i="7"/>
  <c r="CP130" i="7"/>
  <c r="CP70" i="7"/>
  <c r="CN70" i="7"/>
  <c r="CQ70" i="7"/>
  <c r="CN41" i="7"/>
  <c r="CP41" i="7"/>
  <c r="CR41" i="7"/>
  <c r="CQ41" i="7"/>
  <c r="CO69" i="7"/>
  <c r="CM84" i="7"/>
  <c r="CP69" i="7"/>
  <c r="CO130" i="7"/>
  <c r="CP84" i="7"/>
  <c r="CK98" i="7"/>
  <c r="CR98" i="7" s="1"/>
  <c r="CO84" i="7"/>
  <c r="CO77" i="7"/>
  <c r="CO9" i="7"/>
  <c r="CO11" i="7"/>
  <c r="CQ69" i="7"/>
  <c r="CO113" i="7"/>
  <c r="CM69" i="7"/>
  <c r="CM77" i="7"/>
  <c r="CM50" i="7"/>
  <c r="CO118" i="7"/>
  <c r="CR48" i="7"/>
  <c r="CM60" i="7"/>
  <c r="CQ50" i="7"/>
  <c r="CP50" i="7"/>
  <c r="CN118" i="7"/>
  <c r="CQ11" i="7"/>
  <c r="CS11" i="7"/>
  <c r="CN50" i="7"/>
  <c r="CP118" i="7"/>
  <c r="CO50" i="7"/>
  <c r="CM38" i="7"/>
  <c r="CP9" i="7"/>
  <c r="CK12" i="7"/>
  <c r="CT12" i="7" s="1"/>
  <c r="CP112" i="7"/>
  <c r="CQ105" i="7"/>
  <c r="CM42" i="7"/>
  <c r="CN77" i="7"/>
  <c r="CK7" i="7"/>
  <c r="CQ7" i="7" s="1"/>
  <c r="CP77" i="7"/>
  <c r="CK37" i="7"/>
  <c r="CT37" i="7" s="1"/>
  <c r="CP105" i="7"/>
  <c r="CP48" i="7"/>
  <c r="CK99" i="7"/>
  <c r="CT99" i="7" s="1"/>
  <c r="CT77" i="7"/>
  <c r="CN105" i="7"/>
  <c r="CK17" i="7"/>
  <c r="CR17" i="7" s="1"/>
  <c r="CN75" i="7"/>
  <c r="CO48" i="7"/>
  <c r="CN112" i="7"/>
  <c r="CQ112" i="7"/>
  <c r="CQ75" i="7"/>
  <c r="CO75" i="7"/>
  <c r="CP75" i="7"/>
  <c r="CN48" i="7"/>
  <c r="CS112" i="7"/>
  <c r="CS126" i="7"/>
  <c r="CK79" i="7"/>
  <c r="CR79" i="7" s="1"/>
  <c r="CK72" i="7"/>
  <c r="CQ72" i="7" s="1"/>
  <c r="CQ119" i="7"/>
  <c r="CS93" i="7"/>
  <c r="CN119" i="7"/>
  <c r="CO93" i="7"/>
  <c r="CK66" i="7"/>
  <c r="CT66" i="7" s="1"/>
  <c r="CK36" i="7"/>
  <c r="CS36" i="7" s="1"/>
  <c r="CP46" i="7"/>
  <c r="CO15" i="7"/>
  <c r="CK15" i="7"/>
  <c r="CS15" i="7" s="1"/>
  <c r="CM126" i="7"/>
  <c r="CU126" i="7" s="1"/>
  <c r="CV126" i="7" s="1"/>
  <c r="CS48" i="7"/>
  <c r="CM80" i="7"/>
  <c r="CP11" i="7"/>
  <c r="CK125" i="7"/>
  <c r="CS125" i="7" s="1"/>
  <c r="CM9" i="7"/>
  <c r="CM33" i="7"/>
  <c r="CK104" i="7"/>
  <c r="CS104" i="7" s="1"/>
  <c r="CS80" i="7"/>
  <c r="CM81" i="7"/>
  <c r="CP32" i="7"/>
  <c r="CP33" i="7"/>
  <c r="CN93" i="7"/>
  <c r="CP93" i="7"/>
  <c r="CO98" i="7"/>
  <c r="CM13" i="7"/>
  <c r="CT76" i="7"/>
  <c r="CO43" i="7"/>
  <c r="CO17" i="7"/>
  <c r="CM76" i="7"/>
  <c r="CQ37" i="7"/>
  <c r="CN29" i="7"/>
  <c r="CQ66" i="7"/>
  <c r="CN98" i="7"/>
  <c r="CN43" i="7"/>
  <c r="CN54" i="7"/>
  <c r="CQ54" i="7"/>
  <c r="CR33" i="7"/>
  <c r="CN33" i="7"/>
  <c r="CP17" i="7"/>
  <c r="CR81" i="7"/>
  <c r="CM90" i="7"/>
  <c r="CK35" i="7"/>
  <c r="CQ35" i="7" s="1"/>
  <c r="CQ43" i="7"/>
  <c r="CP54" i="7"/>
  <c r="CP40" i="7"/>
  <c r="CK65" i="7"/>
  <c r="CS65" i="7" s="1"/>
  <c r="CO33" i="7"/>
  <c r="CO81" i="7"/>
  <c r="CM130" i="7"/>
  <c r="CM55" i="7"/>
  <c r="CR43" i="7"/>
  <c r="CQ98" i="7"/>
  <c r="CS66" i="7"/>
  <c r="CQ81" i="7"/>
  <c r="CM53" i="7"/>
  <c r="CT53" i="7"/>
  <c r="CN37" i="7"/>
  <c r="CO83" i="7"/>
  <c r="CQ51" i="7"/>
  <c r="CK118" i="7"/>
  <c r="CT118" i="7" s="1"/>
  <c r="CN81" i="7"/>
  <c r="CN51" i="7"/>
  <c r="CR37" i="7"/>
  <c r="CO46" i="7"/>
  <c r="CP14" i="7"/>
  <c r="CN40" i="7"/>
  <c r="CN9" i="7"/>
  <c r="CT11" i="7"/>
  <c r="CK49" i="7"/>
  <c r="CO51" i="7"/>
  <c r="CS37" i="7"/>
  <c r="CO37" i="7"/>
  <c r="CO14" i="7"/>
  <c r="CK102" i="7"/>
  <c r="CR102" i="7" s="1"/>
  <c r="CR114" i="7"/>
  <c r="CR11" i="7"/>
  <c r="CS40" i="7"/>
  <c r="CS33" i="7"/>
  <c r="CM19" i="7"/>
  <c r="CO112" i="7"/>
  <c r="CR112" i="7"/>
  <c r="CQ114" i="7"/>
  <c r="CM11" i="7"/>
  <c r="CO91" i="7"/>
  <c r="CP91" i="7"/>
  <c r="CN91" i="7"/>
  <c r="CR91" i="7"/>
  <c r="CM67" i="7"/>
  <c r="CO119" i="7"/>
  <c r="CK68" i="7"/>
  <c r="CT68" i="7" s="1"/>
  <c r="CO72" i="7"/>
  <c r="CT91" i="7"/>
  <c r="CQ82" i="7"/>
  <c r="CU82" i="7" s="1"/>
  <c r="CV82" i="7" s="1"/>
  <c r="CS91" i="7"/>
  <c r="CN49" i="7"/>
  <c r="CO49" i="7"/>
  <c r="CP49" i="7"/>
  <c r="CR14" i="7"/>
  <c r="CN109" i="7"/>
  <c r="CM58" i="7"/>
  <c r="CO114" i="7"/>
  <c r="CN114" i="7"/>
  <c r="CR89" i="7"/>
  <c r="CR113" i="7"/>
  <c r="CU108" i="7"/>
  <c r="CV108" i="7" s="1"/>
  <c r="CM89" i="7"/>
  <c r="CK97" i="7"/>
  <c r="CR97" i="7" s="1"/>
  <c r="CK100" i="7"/>
  <c r="CS100" i="7" s="1"/>
  <c r="CN123" i="7"/>
  <c r="CQ89" i="7"/>
  <c r="CN89" i="7"/>
  <c r="CP83" i="7"/>
  <c r="CO27" i="7"/>
  <c r="CO97" i="7"/>
  <c r="CP123" i="7"/>
  <c r="CU34" i="7"/>
  <c r="CV34" i="7" s="1"/>
  <c r="CO32" i="7"/>
  <c r="CM62" i="7"/>
  <c r="CN23" i="7"/>
  <c r="CP15" i="7"/>
  <c r="CR58" i="7"/>
  <c r="CN124" i="7"/>
  <c r="CM86" i="7"/>
  <c r="CS89" i="7"/>
  <c r="CH116" i="7"/>
  <c r="CR39" i="7"/>
  <c r="CU39" i="7" s="1"/>
  <c r="CV39" i="7" s="1"/>
  <c r="CP89" i="7"/>
  <c r="CP127" i="7"/>
  <c r="CJ116" i="7"/>
  <c r="CQ116" i="7" s="1"/>
  <c r="CM10" i="7"/>
  <c r="CT86" i="7"/>
  <c r="CO109" i="7"/>
  <c r="CQ27" i="7"/>
  <c r="CO66" i="7"/>
  <c r="CP8" i="7"/>
  <c r="CN78" i="7"/>
  <c r="CP58" i="7"/>
  <c r="CK124" i="7"/>
  <c r="CS124" i="7" s="1"/>
  <c r="CN72" i="7"/>
  <c r="CS113" i="7"/>
  <c r="CM94" i="7"/>
  <c r="CM47" i="7"/>
  <c r="CP62" i="7"/>
  <c r="CO94" i="7"/>
  <c r="CN65" i="7"/>
  <c r="CP124" i="7"/>
  <c r="CN97" i="7"/>
  <c r="CR62" i="7"/>
  <c r="CP66" i="7"/>
  <c r="CO62" i="7"/>
  <c r="CP78" i="7"/>
  <c r="CP65" i="7"/>
  <c r="CP122" i="7"/>
  <c r="CK64" i="7"/>
  <c r="CS64" i="7" s="1"/>
  <c r="CK93" i="7"/>
  <c r="CM93" i="7"/>
  <c r="CQ113" i="7"/>
  <c r="CS10" i="7"/>
  <c r="CM87" i="7"/>
  <c r="CK87" i="7"/>
  <c r="CU26" i="7"/>
  <c r="CV26" i="7" s="1"/>
  <c r="CN113" i="7"/>
  <c r="CU85" i="7"/>
  <c r="CV85" i="7" s="1"/>
  <c r="CQ44" i="7"/>
  <c r="CP44" i="7"/>
  <c r="CN27" i="7"/>
  <c r="CM16" i="7"/>
  <c r="CU16" i="7" s="1"/>
  <c r="CV16" i="7" s="1"/>
  <c r="CS114" i="7"/>
  <c r="CQ107" i="7"/>
  <c r="CP23" i="7"/>
  <c r="CR22" i="7"/>
  <c r="CO8" i="7"/>
  <c r="CM117" i="7"/>
  <c r="CU61" i="7"/>
  <c r="CV61" i="7" s="1"/>
  <c r="CP107" i="7"/>
  <c r="CN8" i="7"/>
  <c r="CO22" i="7"/>
  <c r="CO127" i="7"/>
  <c r="CM40" i="7"/>
  <c r="CR127" i="7"/>
  <c r="CH96" i="7"/>
  <c r="CO107" i="7"/>
  <c r="CQ127" i="7"/>
  <c r="CQ74" i="7"/>
  <c r="CR74" i="7"/>
  <c r="CK113" i="7"/>
  <c r="CT113" i="7" s="1"/>
  <c r="CM113" i="7"/>
  <c r="CM114" i="7"/>
  <c r="CK14" i="7"/>
  <c r="CQ14" i="7" s="1"/>
  <c r="CM107" i="7"/>
  <c r="CM95" i="7"/>
  <c r="CK32" i="7"/>
  <c r="CS32" i="7" s="1"/>
  <c r="CN24" i="7"/>
  <c r="CQ58" i="7"/>
  <c r="CS74" i="7"/>
  <c r="CQ24" i="7"/>
  <c r="CP24" i="7"/>
  <c r="CQ65" i="7"/>
  <c r="CO58" i="7"/>
  <c r="CS58" i="7"/>
  <c r="CQ57" i="7"/>
  <c r="CO44" i="7"/>
  <c r="CJ96" i="7"/>
  <c r="CR96" i="7" s="1"/>
  <c r="CM109" i="7"/>
  <c r="CK109" i="7"/>
  <c r="CM123" i="7"/>
  <c r="CK123" i="7"/>
  <c r="CK115" i="7"/>
  <c r="CM115" i="7"/>
  <c r="CO74" i="7"/>
  <c r="CN74" i="7"/>
  <c r="CP22" i="7"/>
  <c r="CK45" i="7"/>
  <c r="CS45" i="7" s="1"/>
  <c r="CQ20" i="7"/>
  <c r="CU20" i="7" s="1"/>
  <c r="CV20" i="7" s="1"/>
  <c r="CN73" i="7"/>
  <c r="CR73" i="7"/>
  <c r="CO73" i="7"/>
  <c r="CR29" i="7"/>
  <c r="CO29" i="7"/>
  <c r="CQ73" i="7"/>
  <c r="CR23" i="7"/>
  <c r="CQ29" i="7"/>
  <c r="CQ94" i="7"/>
  <c r="CN94" i="7"/>
  <c r="CQ83" i="7"/>
  <c r="CN122" i="7"/>
  <c r="CK78" i="7"/>
  <c r="CR78" i="7" s="1"/>
  <c r="CN110" i="7"/>
  <c r="CO110" i="7"/>
  <c r="CP110" i="7"/>
  <c r="CK110" i="7"/>
  <c r="CM110" i="7"/>
  <c r="CU18" i="7"/>
  <c r="CV18" i="7" s="1"/>
  <c r="CR101" i="7"/>
  <c r="CQ47" i="7"/>
  <c r="CP31" i="7"/>
  <c r="CQ31" i="7"/>
  <c r="CN31" i="7"/>
  <c r="CO31" i="7"/>
  <c r="CR31" i="7"/>
  <c r="CK96" i="7"/>
  <c r="CM96" i="7"/>
  <c r="CS62" i="7"/>
  <c r="CS60" i="7"/>
  <c r="CR27" i="7"/>
  <c r="CI120" i="7"/>
  <c r="CH120" i="7"/>
  <c r="CJ120" i="7"/>
  <c r="CR120" i="7" s="1"/>
  <c r="CT55" i="7"/>
  <c r="CM31" i="7"/>
  <c r="CK31" i="7"/>
  <c r="CT31" i="7" s="1"/>
  <c r="CR65" i="7"/>
  <c r="CQ62" i="7"/>
  <c r="CR106" i="7"/>
  <c r="CQ125" i="7"/>
  <c r="CT73" i="7"/>
  <c r="CD129" i="7"/>
  <c r="CE129" i="7" s="1"/>
  <c r="CG129" i="7" s="1"/>
  <c r="CH129" i="7" s="1"/>
  <c r="CD52" i="7"/>
  <c r="CE52" i="7" s="1"/>
  <c r="CG52" i="7" s="1"/>
  <c r="CH52" i="7" s="1"/>
  <c r="CT27" i="7"/>
  <c r="CR8" i="7"/>
  <c r="CR121" i="7"/>
  <c r="CS121" i="7"/>
  <c r="CS127" i="7"/>
  <c r="CS28" i="7"/>
  <c r="CQ28" i="7"/>
  <c r="CQ46" i="7"/>
  <c r="CQ84" i="7"/>
  <c r="CR67" i="7"/>
  <c r="CR72" i="7"/>
  <c r="CS50" i="7"/>
  <c r="CS13" i="7"/>
  <c r="CT13" i="7"/>
  <c r="CR100" i="7"/>
  <c r="CT94" i="7"/>
  <c r="CR40" i="7"/>
  <c r="CS42" i="7"/>
  <c r="CS51" i="7"/>
  <c r="CQ45" i="7"/>
  <c r="CS46" i="7"/>
  <c r="CR24" i="7"/>
  <c r="CS22" i="7"/>
  <c r="CS101" i="7"/>
  <c r="CQ122" i="7"/>
  <c r="CS106" i="7"/>
  <c r="CR105" i="7"/>
  <c r="CT29" i="7"/>
  <c r="CT38" i="7"/>
  <c r="CT54" i="7"/>
  <c r="CS102" i="7"/>
  <c r="CS43" i="7"/>
  <c r="CT84" i="7"/>
  <c r="CR55" i="7"/>
  <c r="CQ23" i="7"/>
  <c r="CS17" i="7"/>
  <c r="CS95" i="7"/>
  <c r="CS54" i="7"/>
  <c r="CT51" i="7"/>
  <c r="CR107" i="7"/>
  <c r="CR66" i="7"/>
  <c r="CQ22" i="7"/>
  <c r="CR118" i="7"/>
  <c r="CS98" i="7"/>
  <c r="CS84" i="7"/>
  <c r="CS38" i="7"/>
  <c r="CO56" i="7"/>
  <c r="CP56" i="7"/>
  <c r="CN56" i="7"/>
  <c r="CQ64" i="7"/>
  <c r="CT64" i="7"/>
  <c r="CS117" i="7"/>
  <c r="CT43" i="7"/>
  <c r="CT79" i="7"/>
  <c r="CS68" i="7"/>
  <c r="CQ68" i="7"/>
  <c r="CT32" i="7"/>
  <c r="CK56" i="7"/>
  <c r="CM56" i="7"/>
  <c r="CS130" i="7"/>
  <c r="CS77" i="7"/>
  <c r="CT36" i="7"/>
  <c r="CQ5" i="7"/>
  <c r="CR30" i="7"/>
  <c r="CU30" i="7" s="1"/>
  <c r="CV30" i="7" s="1"/>
  <c r="CS128" i="7"/>
  <c r="CT90" i="7"/>
  <c r="CQ78" i="7"/>
  <c r="CQ97" i="7"/>
  <c r="CT40" i="7"/>
  <c r="CQ99" i="7"/>
  <c r="CQ17" i="7"/>
  <c r="CT111" i="7"/>
  <c r="CR111" i="7"/>
  <c r="CS24" i="7"/>
  <c r="CT95" i="7"/>
  <c r="CM116" i="7"/>
  <c r="CK116" i="7"/>
  <c r="CT23" i="7"/>
  <c r="CQ12" i="7"/>
  <c r="CS9" i="7"/>
  <c r="CR42" i="7"/>
  <c r="CO92" i="7"/>
  <c r="CP92" i="7"/>
  <c r="CN92" i="7"/>
  <c r="CT122" i="7"/>
  <c r="CT127" i="7"/>
  <c r="CQ55" i="7"/>
  <c r="CS107" i="7"/>
  <c r="CQ90" i="7"/>
  <c r="CR19" i="7"/>
  <c r="CS83" i="7"/>
  <c r="CR36" i="7"/>
  <c r="CQ13" i="7"/>
  <c r="CR13" i="7"/>
  <c r="CS72" i="7"/>
  <c r="CR35" i="7"/>
  <c r="CU63" i="7"/>
  <c r="CV63" i="7" s="1"/>
  <c r="CO71" i="7"/>
  <c r="CN71" i="7"/>
  <c r="CP71" i="7"/>
  <c r="CP25" i="7"/>
  <c r="CN25" i="7"/>
  <c r="CO25" i="7"/>
  <c r="CR25" i="7"/>
  <c r="CT22" i="7"/>
  <c r="CQ130" i="7"/>
  <c r="CR7" i="7"/>
  <c r="CK71" i="7"/>
  <c r="CQ71" i="7" s="1"/>
  <c r="CM71" i="7"/>
  <c r="CQ79" i="7"/>
  <c r="CQ40" i="7"/>
  <c r="CR94" i="7"/>
  <c r="CK92" i="7"/>
  <c r="CS92" i="7" s="1"/>
  <c r="CM92" i="7"/>
  <c r="CK25" i="7"/>
  <c r="CT25" i="7" s="1"/>
  <c r="CM25" i="7"/>
  <c r="CT17" i="7"/>
  <c r="CR124" i="7"/>
  <c r="CS14" i="7"/>
  <c r="CS111" i="7"/>
  <c r="CQ111" i="7"/>
  <c r="CQ88" i="7"/>
  <c r="CN88" i="7"/>
  <c r="CP88" i="7"/>
  <c r="CO88" i="7"/>
  <c r="CR32" i="7"/>
  <c r="CS105" i="7"/>
  <c r="CR9" i="7"/>
  <c r="CS27" i="7"/>
  <c r="CT42" i="7"/>
  <c r="CS78" i="7"/>
  <c r="CT50" i="7"/>
  <c r="CS8" i="7"/>
  <c r="CQ118" i="7"/>
  <c r="CQ102" i="7"/>
  <c r="CT102" i="7"/>
  <c r="CQ121" i="7"/>
  <c r="CT121" i="7"/>
  <c r="CT100" i="7"/>
  <c r="CQ100" i="7"/>
  <c r="CT24" i="7"/>
  <c r="CM88" i="7"/>
  <c r="CK88" i="7"/>
  <c r="CT88" i="7" s="1"/>
  <c r="CS94" i="7"/>
  <c r="CT128" i="7"/>
  <c r="CS7" i="7"/>
  <c r="CT98" i="7"/>
  <c r="CR68" i="7"/>
  <c r="CS12" i="7"/>
  <c r="CQ77" i="7"/>
  <c r="CQ106" i="7"/>
  <c r="CS99" i="7"/>
  <c r="CR64" i="7"/>
  <c r="CT125" i="7"/>
  <c r="CR125" i="7"/>
  <c r="CT46" i="7"/>
  <c r="CT97" i="7"/>
  <c r="CT15" i="7"/>
  <c r="CS122" i="7"/>
  <c r="CR51" i="7"/>
  <c r="CR54" i="7"/>
  <c r="CT67" i="7"/>
  <c r="CU59" i="7"/>
  <c r="CV59" i="7" s="1"/>
  <c r="CU21" i="7"/>
  <c r="CV21" i="7" s="1"/>
  <c r="CU6" i="7"/>
  <c r="CV6" i="7" s="1"/>
  <c r="CU86" i="7" l="1"/>
  <c r="CV86" i="7" s="1"/>
  <c r="CU57" i="7"/>
  <c r="CV57" i="7" s="1"/>
  <c r="CR5" i="7"/>
  <c r="CU5" i="7" s="1"/>
  <c r="CV5" i="7" s="1"/>
  <c r="CU28" i="7"/>
  <c r="CV28" i="7" s="1"/>
  <c r="CU41" i="7"/>
  <c r="CV41" i="7" s="1"/>
  <c r="CU70" i="7"/>
  <c r="CV70" i="7" s="1"/>
  <c r="CU101" i="7"/>
  <c r="CV101" i="7" s="1"/>
  <c r="CT7" i="7"/>
  <c r="CU7" i="7" s="1"/>
  <c r="CV7" i="7" s="1"/>
  <c r="CU84" i="7"/>
  <c r="CV84" i="7" s="1"/>
  <c r="CS79" i="7"/>
  <c r="CU79" i="7" s="1"/>
  <c r="CV79" i="7" s="1"/>
  <c r="CR12" i="7"/>
  <c r="CU12" i="7" s="1"/>
  <c r="CV12" i="7" s="1"/>
  <c r="CU69" i="7"/>
  <c r="CV69" i="7" s="1"/>
  <c r="CU48" i="7"/>
  <c r="CV48" i="7" s="1"/>
  <c r="CP116" i="7"/>
  <c r="CU60" i="7"/>
  <c r="CV60" i="7" s="1"/>
  <c r="CU80" i="7"/>
  <c r="CV80" i="7" s="1"/>
  <c r="CQ15" i="7"/>
  <c r="CU76" i="7"/>
  <c r="CV76" i="7" s="1"/>
  <c r="CU36" i="7"/>
  <c r="CV36" i="7" s="1"/>
  <c r="CU50" i="7"/>
  <c r="CV50" i="7" s="1"/>
  <c r="CU53" i="7"/>
  <c r="CV53" i="7" s="1"/>
  <c r="CU33" i="7"/>
  <c r="CV33" i="7" s="1"/>
  <c r="CU75" i="7"/>
  <c r="CV75" i="7" s="1"/>
  <c r="CU38" i="7"/>
  <c r="CV38" i="7" s="1"/>
  <c r="CU67" i="7"/>
  <c r="CV67" i="7" s="1"/>
  <c r="CU17" i="7"/>
  <c r="CV17" i="7" s="1"/>
  <c r="CR99" i="7"/>
  <c r="CU99" i="7" s="1"/>
  <c r="CV99" i="7" s="1"/>
  <c r="CR104" i="7"/>
  <c r="CU104" i="7" s="1"/>
  <c r="CV104" i="7" s="1"/>
  <c r="CU119" i="7"/>
  <c r="CV119" i="7" s="1"/>
  <c r="CU112" i="7"/>
  <c r="CV112" i="7" s="1"/>
  <c r="CU51" i="7"/>
  <c r="CV51" i="7" s="1"/>
  <c r="CS97" i="7"/>
  <c r="CU97" i="7" s="1"/>
  <c r="CV97" i="7" s="1"/>
  <c r="CU90" i="7"/>
  <c r="CV90" i="7" s="1"/>
  <c r="CU106" i="7"/>
  <c r="CV106" i="7" s="1"/>
  <c r="CU83" i="7"/>
  <c r="CV83" i="7" s="1"/>
  <c r="CU81" i="7"/>
  <c r="CV81" i="7" s="1"/>
  <c r="CS35" i="7"/>
  <c r="CU35" i="7" s="1"/>
  <c r="CV35" i="7" s="1"/>
  <c r="CU11" i="7"/>
  <c r="CV11" i="7" s="1"/>
  <c r="CU19" i="7"/>
  <c r="CV19" i="7" s="1"/>
  <c r="CU37" i="7"/>
  <c r="CV37" i="7" s="1"/>
  <c r="CU46" i="7"/>
  <c r="CV46" i="7" s="1"/>
  <c r="CT49" i="7"/>
  <c r="CQ49" i="7"/>
  <c r="CU91" i="7"/>
  <c r="CV91" i="7" s="1"/>
  <c r="CU15" i="7"/>
  <c r="CV15" i="7" s="1"/>
  <c r="CU72" i="7"/>
  <c r="CV72" i="7" s="1"/>
  <c r="CU117" i="7"/>
  <c r="CV117" i="7" s="1"/>
  <c r="CU10" i="7"/>
  <c r="CV10" i="7" s="1"/>
  <c r="CU89" i="7"/>
  <c r="CV89" i="7" s="1"/>
  <c r="CQ124" i="7"/>
  <c r="CU124" i="7" s="1"/>
  <c r="CV124" i="7" s="1"/>
  <c r="CT14" i="7"/>
  <c r="CU14" i="7" s="1"/>
  <c r="CV14" i="7" s="1"/>
  <c r="CN116" i="7"/>
  <c r="CU47" i="7"/>
  <c r="CV47" i="7" s="1"/>
  <c r="CR116" i="7"/>
  <c r="CO116" i="7"/>
  <c r="CU27" i="7"/>
  <c r="CV27" i="7" s="1"/>
  <c r="CU62" i="7"/>
  <c r="CV62" i="7" s="1"/>
  <c r="CU54" i="7"/>
  <c r="CV54" i="7" s="1"/>
  <c r="CU55" i="7"/>
  <c r="CV55" i="7" s="1"/>
  <c r="CR93" i="7"/>
  <c r="CT93" i="7"/>
  <c r="CQ32" i="7"/>
  <c r="CU32" i="7" s="1"/>
  <c r="CV32" i="7" s="1"/>
  <c r="CQ120" i="7"/>
  <c r="CU114" i="7"/>
  <c r="CV114" i="7" s="1"/>
  <c r="CR87" i="7"/>
  <c r="CT87" i="7"/>
  <c r="CU58" i="7"/>
  <c r="CV58" i="7" s="1"/>
  <c r="CU66" i="7"/>
  <c r="CV66" i="7" s="1"/>
  <c r="CU44" i="7"/>
  <c r="CV44" i="7" s="1"/>
  <c r="CU23" i="7"/>
  <c r="CV23" i="7" s="1"/>
  <c r="CJ129" i="7"/>
  <c r="CP129" i="7" s="1"/>
  <c r="CU77" i="7"/>
  <c r="CV77" i="7" s="1"/>
  <c r="CU118" i="7"/>
  <c r="CV118" i="7" s="1"/>
  <c r="CO96" i="7"/>
  <c r="CU127" i="7"/>
  <c r="CV127" i="7" s="1"/>
  <c r="CR45" i="7"/>
  <c r="CU45" i="7" s="1"/>
  <c r="CV45" i="7" s="1"/>
  <c r="CU94" i="7"/>
  <c r="CV94" i="7" s="1"/>
  <c r="CU22" i="7"/>
  <c r="CV22" i="7" s="1"/>
  <c r="CU95" i="7"/>
  <c r="CV95" i="7" s="1"/>
  <c r="CU113" i="7"/>
  <c r="CV113" i="7" s="1"/>
  <c r="CP96" i="7"/>
  <c r="CU43" i="7"/>
  <c r="CV43" i="7" s="1"/>
  <c r="CT78" i="7"/>
  <c r="CU78" i="7" s="1"/>
  <c r="CV78" i="7" s="1"/>
  <c r="CS96" i="7"/>
  <c r="CU40" i="7"/>
  <c r="CV40" i="7" s="1"/>
  <c r="CI52" i="7"/>
  <c r="CU29" i="7"/>
  <c r="CV29" i="7" s="1"/>
  <c r="CU74" i="7"/>
  <c r="CV74" i="7" s="1"/>
  <c r="CI129" i="7"/>
  <c r="CU128" i="7"/>
  <c r="CV128" i="7" s="1"/>
  <c r="CU8" i="7"/>
  <c r="CV8" i="7" s="1"/>
  <c r="CU105" i="7"/>
  <c r="CV105" i="7" s="1"/>
  <c r="CN96" i="7"/>
  <c r="CU73" i="7"/>
  <c r="CV73" i="7" s="1"/>
  <c r="CR109" i="7"/>
  <c r="CQ109" i="7"/>
  <c r="CU107" i="7"/>
  <c r="CV107" i="7" s="1"/>
  <c r="CU65" i="7"/>
  <c r="CV65" i="7" s="1"/>
  <c r="CU42" i="7"/>
  <c r="CV42" i="7" s="1"/>
  <c r="CQ115" i="7"/>
  <c r="CR115" i="7"/>
  <c r="CS123" i="7"/>
  <c r="CQ123" i="7"/>
  <c r="CU122" i="7"/>
  <c r="CV122" i="7" s="1"/>
  <c r="CU68" i="7"/>
  <c r="CV68" i="7" s="1"/>
  <c r="CU24" i="7"/>
  <c r="CV24" i="7" s="1"/>
  <c r="CJ52" i="7"/>
  <c r="CR110" i="7"/>
  <c r="CS110" i="7"/>
  <c r="CM120" i="7"/>
  <c r="CK120" i="7"/>
  <c r="CS120" i="7" s="1"/>
  <c r="CQ96" i="7"/>
  <c r="CT96" i="7"/>
  <c r="CU98" i="7"/>
  <c r="CV98" i="7" s="1"/>
  <c r="CP120" i="7"/>
  <c r="CO120" i="7"/>
  <c r="CN120" i="7"/>
  <c r="CS31" i="7"/>
  <c r="CU31" i="7" s="1"/>
  <c r="CV31" i="7" s="1"/>
  <c r="CS71" i="7"/>
  <c r="CR92" i="7"/>
  <c r="CT116" i="7"/>
  <c r="CT52" i="7"/>
  <c r="CR71" i="7"/>
  <c r="CU9" i="7"/>
  <c r="CV9" i="7" s="1"/>
  <c r="CU130" i="7"/>
  <c r="CV130" i="7" s="1"/>
  <c r="CU102" i="7"/>
  <c r="CV102" i="7" s="1"/>
  <c r="CU13" i="7"/>
  <c r="CV13" i="7" s="1"/>
  <c r="CS116" i="7"/>
  <c r="CQ56" i="7"/>
  <c r="CR56" i="7"/>
  <c r="CT71" i="7"/>
  <c r="CS52" i="7"/>
  <c r="CQ25" i="7"/>
  <c r="CR88" i="7"/>
  <c r="CS25" i="7"/>
  <c r="CT92" i="7"/>
  <c r="CQ92" i="7"/>
  <c r="CU121" i="7"/>
  <c r="CV121" i="7" s="1"/>
  <c r="CS88" i="7"/>
  <c r="CU64" i="7"/>
  <c r="CV64" i="7" s="1"/>
  <c r="CU125" i="7"/>
  <c r="CV125" i="7" s="1"/>
  <c r="CU100" i="7"/>
  <c r="CV100" i="7" s="1"/>
  <c r="CU111" i="7"/>
  <c r="CV111" i="7" s="1"/>
  <c r="CU49" i="7" l="1"/>
  <c r="CV49" i="7" s="1"/>
  <c r="CU109" i="7"/>
  <c r="CV109" i="7" s="1"/>
  <c r="CU123" i="7"/>
  <c r="CV123" i="7" s="1"/>
  <c r="CS129" i="7"/>
  <c r="CU116" i="7"/>
  <c r="CV116" i="7" s="1"/>
  <c r="CO129" i="7"/>
  <c r="CU93" i="7"/>
  <c r="CV93" i="7" s="1"/>
  <c r="CQ129" i="7"/>
  <c r="CR129" i="7"/>
  <c r="CU87" i="7"/>
  <c r="CV87" i="7" s="1"/>
  <c r="CN129" i="7"/>
  <c r="CM52" i="7"/>
  <c r="CK52" i="7"/>
  <c r="CR52" i="7" s="1"/>
  <c r="CM129" i="7"/>
  <c r="CK129" i="7"/>
  <c r="CT129" i="7" s="1"/>
  <c r="CU115" i="7"/>
  <c r="CV115" i="7" s="1"/>
  <c r="CU96" i="7"/>
  <c r="CV96" i="7" s="1"/>
  <c r="CQ52" i="7"/>
  <c r="CU110" i="7"/>
  <c r="CV110" i="7" s="1"/>
  <c r="CN52" i="7"/>
  <c r="CO52" i="7"/>
  <c r="CP52" i="7"/>
  <c r="CT120" i="7"/>
  <c r="CU120" i="7" s="1"/>
  <c r="CV120" i="7" s="1"/>
  <c r="CU71" i="7"/>
  <c r="CV71" i="7" s="1"/>
  <c r="CU56" i="7"/>
  <c r="CV56" i="7" s="1"/>
  <c r="CU92" i="7"/>
  <c r="CV92" i="7" s="1"/>
  <c r="CU25" i="7"/>
  <c r="CV25" i="7" s="1"/>
  <c r="CU88" i="7"/>
  <c r="CV88" i="7" s="1"/>
  <c r="CU129" i="7" l="1"/>
  <c r="CV129" i="7" s="1"/>
  <c r="CU52" i="7"/>
  <c r="CV52" i="7" s="1"/>
</calcChain>
</file>

<file path=xl/sharedStrings.xml><?xml version="1.0" encoding="utf-8"?>
<sst xmlns="http://schemas.openxmlformats.org/spreadsheetml/2006/main" count="728" uniqueCount="597">
  <si>
    <t>Q1</t>
  </si>
  <si>
    <t>MARR</t>
  </si>
  <si>
    <t>Useful life (years)</t>
  </si>
  <si>
    <t>Alt 1</t>
  </si>
  <si>
    <t>Alt 2</t>
  </si>
  <si>
    <t>Alt 3</t>
  </si>
  <si>
    <t>Alt 4</t>
  </si>
  <si>
    <t>Alt 1 C</t>
  </si>
  <si>
    <t>Alt 2 C</t>
  </si>
  <si>
    <t>Alt 3 C</t>
  </si>
  <si>
    <t>Alt 4 C</t>
  </si>
  <si>
    <t>Alt 1 A</t>
  </si>
  <si>
    <t>Alt 2 A</t>
  </si>
  <si>
    <t>Alt 3 A</t>
  </si>
  <si>
    <t>Alt 4 A</t>
  </si>
  <si>
    <t>Increment Considered</t>
  </si>
  <si>
    <t>∆ Market Value</t>
  </si>
  <si>
    <t>∆ Capital investment</t>
  </si>
  <si>
    <t xml:space="preserve">IRR (%) </t>
  </si>
  <si>
    <t xml:space="preserve">Is increment justified? </t>
  </si>
  <si>
    <t>1st pair</t>
  </si>
  <si>
    <t>2nd pair</t>
  </si>
  <si>
    <t>3rd pair</t>
  </si>
  <si>
    <t>∆ Annual exp. (savings)</t>
  </si>
  <si>
    <t>Question 2</t>
  </si>
  <si>
    <t xml:space="preserve">Student ID: </t>
  </si>
  <si>
    <t>RANDOM</t>
  </si>
  <si>
    <t>Last Name</t>
  </si>
  <si>
    <t>First Name</t>
  </si>
  <si>
    <t>StudentID</t>
  </si>
  <si>
    <t>Combined</t>
  </si>
  <si>
    <t>Ablak</t>
  </si>
  <si>
    <t>Nida Nur</t>
  </si>
  <si>
    <t>Abo Sway</t>
  </si>
  <si>
    <t>Hilal Mohammad</t>
  </si>
  <si>
    <t>Acar</t>
  </si>
  <si>
    <t>Oğuzcan</t>
  </si>
  <si>
    <t>Açar</t>
  </si>
  <si>
    <t>Yahya Berkay</t>
  </si>
  <si>
    <t>Adıgüzel</t>
  </si>
  <si>
    <t>Ali Şamil</t>
  </si>
  <si>
    <t>Aka</t>
  </si>
  <si>
    <t>Elifsu Yüksel</t>
  </si>
  <si>
    <t>Kerem</t>
  </si>
  <si>
    <t>Akcan</t>
  </si>
  <si>
    <t>Ömer Gökalp</t>
  </si>
  <si>
    <t>Akçöl</t>
  </si>
  <si>
    <t>Emre</t>
  </si>
  <si>
    <t>Akdemir</t>
  </si>
  <si>
    <t>Bora</t>
  </si>
  <si>
    <t>Akgül</t>
  </si>
  <si>
    <t>Berk</t>
  </si>
  <si>
    <t>Akın</t>
  </si>
  <si>
    <t>Hayriye</t>
  </si>
  <si>
    <t>Akol</t>
  </si>
  <si>
    <t>Zeynep</t>
  </si>
  <si>
    <t>Aksüt</t>
  </si>
  <si>
    <t>Şevket Mert</t>
  </si>
  <si>
    <t>Aktaş</t>
  </si>
  <si>
    <t>Yılmaz Can</t>
  </si>
  <si>
    <t>Aktürk</t>
  </si>
  <si>
    <t>Furkan</t>
  </si>
  <si>
    <t>Akülkü</t>
  </si>
  <si>
    <t>İrem</t>
  </si>
  <si>
    <t>Akyüz</t>
  </si>
  <si>
    <t>Uğur Barış</t>
  </si>
  <si>
    <t>Alazem</t>
  </si>
  <si>
    <t>Sulaiman</t>
  </si>
  <si>
    <t>Alçın</t>
  </si>
  <si>
    <t>Arınç</t>
  </si>
  <si>
    <t>AlHariri</t>
  </si>
  <si>
    <t>Alaa Essam</t>
  </si>
  <si>
    <t>Aloush</t>
  </si>
  <si>
    <t>Bashar</t>
  </si>
  <si>
    <t>Altahan</t>
  </si>
  <si>
    <t>Mohammad</t>
  </si>
  <si>
    <t>Altuncu</t>
  </si>
  <si>
    <t>Ekin Deren</t>
  </si>
  <si>
    <t>Amir</t>
  </si>
  <si>
    <t>Rohama</t>
  </si>
  <si>
    <t>Aras</t>
  </si>
  <si>
    <t>Duygu</t>
  </si>
  <si>
    <t>Aren</t>
  </si>
  <si>
    <t>Barış Doruk</t>
  </si>
  <si>
    <t>Arık</t>
  </si>
  <si>
    <t>Koray</t>
  </si>
  <si>
    <t>Arslan</t>
  </si>
  <si>
    <t>Beyza</t>
  </si>
  <si>
    <t>Dara Deniz</t>
  </si>
  <si>
    <t>Pelin</t>
  </si>
  <si>
    <t>Atalık</t>
  </si>
  <si>
    <t>Berkay</t>
  </si>
  <si>
    <t>Atasoy</t>
  </si>
  <si>
    <t>Pamir</t>
  </si>
  <si>
    <t>Avunç</t>
  </si>
  <si>
    <t>Eren</t>
  </si>
  <si>
    <t>Ayar</t>
  </si>
  <si>
    <t>Metin Can</t>
  </si>
  <si>
    <t>Aydın</t>
  </si>
  <si>
    <t>Doğancan</t>
  </si>
  <si>
    <t>Hamza</t>
  </si>
  <si>
    <t>Munzur Onur</t>
  </si>
  <si>
    <t>Aydoğdu</t>
  </si>
  <si>
    <t>Tolga</t>
  </si>
  <si>
    <t>Aytekin</t>
  </si>
  <si>
    <t>Anıl Aydın</t>
  </si>
  <si>
    <t>Badr</t>
  </si>
  <si>
    <t>Abdullah</t>
  </si>
  <si>
    <t>Bakanoğlu</t>
  </si>
  <si>
    <t>Mehmet</t>
  </si>
  <si>
    <t>Balasar</t>
  </si>
  <si>
    <t>Balay</t>
  </si>
  <si>
    <t>Hakan</t>
  </si>
  <si>
    <t>Balcan</t>
  </si>
  <si>
    <t>Balcı</t>
  </si>
  <si>
    <t>Diyar</t>
  </si>
  <si>
    <t>Erdem</t>
  </si>
  <si>
    <t>Baran</t>
  </si>
  <si>
    <t>Yasin</t>
  </si>
  <si>
    <t>Barut</t>
  </si>
  <si>
    <t>Uğurcan</t>
  </si>
  <si>
    <t>Bayezid</t>
  </si>
  <si>
    <t>Elif</t>
  </si>
  <si>
    <t>Baykal</t>
  </si>
  <si>
    <t>Kemal</t>
  </si>
  <si>
    <t>Bayraktar</t>
  </si>
  <si>
    <t>Ahmet Faruk</t>
  </si>
  <si>
    <t>Bayram</t>
  </si>
  <si>
    <t>Oğuzhan</t>
  </si>
  <si>
    <t>Bennani Ziatni</t>
  </si>
  <si>
    <t>Dilara</t>
  </si>
  <si>
    <t>Biçer</t>
  </si>
  <si>
    <t>Senanur</t>
  </si>
  <si>
    <t>Bici</t>
  </si>
  <si>
    <t>Şeyda Nur</t>
  </si>
  <si>
    <t>Birkalan</t>
  </si>
  <si>
    <t>Barış Can</t>
  </si>
  <si>
    <t>Bozbaş</t>
  </si>
  <si>
    <t>Bozkaya</t>
  </si>
  <si>
    <t>Onur</t>
  </si>
  <si>
    <t>Bozkurt</t>
  </si>
  <si>
    <t>Selin</t>
  </si>
  <si>
    <t>Budak</t>
  </si>
  <si>
    <t>Buğdaycı</t>
  </si>
  <si>
    <t>Merihcan</t>
  </si>
  <si>
    <t>Büyüközkan</t>
  </si>
  <si>
    <t>Alp</t>
  </si>
  <si>
    <t>Çağlar</t>
  </si>
  <si>
    <t>Mehmet Fatih</t>
  </si>
  <si>
    <t>Çakırsoy</t>
  </si>
  <si>
    <t>Didem</t>
  </si>
  <si>
    <t>Çalışır</t>
  </si>
  <si>
    <t>Eymen</t>
  </si>
  <si>
    <t>Çalışkan</t>
  </si>
  <si>
    <t>Damla</t>
  </si>
  <si>
    <t>Çamlıbel</t>
  </si>
  <si>
    <t>Berke</t>
  </si>
  <si>
    <t>Çatana</t>
  </si>
  <si>
    <t>Banu Zeynep</t>
  </si>
  <si>
    <t>Çelebi</t>
  </si>
  <si>
    <t>Jülide Müşerref</t>
  </si>
  <si>
    <t>Çelik</t>
  </si>
  <si>
    <t>Ahmet Cansın</t>
  </si>
  <si>
    <t>Cevizci</t>
  </si>
  <si>
    <t>Semi</t>
  </si>
  <si>
    <t>Ceyhan</t>
  </si>
  <si>
    <t>Efeaydın</t>
  </si>
  <si>
    <t>Çilek</t>
  </si>
  <si>
    <t>Şebnem</t>
  </si>
  <si>
    <t>Çınar</t>
  </si>
  <si>
    <t>Ezgi</t>
  </si>
  <si>
    <t>Ferhat Görkem</t>
  </si>
  <si>
    <t>Çıtır</t>
  </si>
  <si>
    <t>Çoban</t>
  </si>
  <si>
    <t>Tutku</t>
  </si>
  <si>
    <t>Coşgun</t>
  </si>
  <si>
    <t>Metin</t>
  </si>
  <si>
    <t>Coşkun</t>
  </si>
  <si>
    <t>Abdullah Berhan</t>
  </si>
  <si>
    <t>Özgür</t>
  </si>
  <si>
    <t>Utku Özer</t>
  </si>
  <si>
    <t>Çuhadar</t>
  </si>
  <si>
    <t>Mehmet Onur</t>
  </si>
  <si>
    <t>Çukurova</t>
  </si>
  <si>
    <t>Cihan</t>
  </si>
  <si>
    <t>Çullas</t>
  </si>
  <si>
    <t>Kağıltay</t>
  </si>
  <si>
    <t>Cürgül</t>
  </si>
  <si>
    <t>Şelale Yaren</t>
  </si>
  <si>
    <t>Dağ</t>
  </si>
  <si>
    <t>Mustafa</t>
  </si>
  <si>
    <t>Dağlı</t>
  </si>
  <si>
    <t>Arda</t>
  </si>
  <si>
    <t>Cem</t>
  </si>
  <si>
    <t>Darkal</t>
  </si>
  <si>
    <t>Anas</t>
  </si>
  <si>
    <t>Dayı</t>
  </si>
  <si>
    <t>Kaan İsmail</t>
  </si>
  <si>
    <t>Değer</t>
  </si>
  <si>
    <t>Kerem Ozan</t>
  </si>
  <si>
    <t>Demer</t>
  </si>
  <si>
    <t>Beril</t>
  </si>
  <si>
    <t>Demir</t>
  </si>
  <si>
    <t>Demirbaş</t>
  </si>
  <si>
    <t>Ege</t>
  </si>
  <si>
    <t>Demirbay</t>
  </si>
  <si>
    <t>Rasim</t>
  </si>
  <si>
    <t>Demircioğlu</t>
  </si>
  <si>
    <t>Sarp Berk</t>
  </si>
  <si>
    <t>Demirkol</t>
  </si>
  <si>
    <t>Nihal</t>
  </si>
  <si>
    <t>Diken</t>
  </si>
  <si>
    <t>Fırat</t>
  </si>
  <si>
    <t>Diriker</t>
  </si>
  <si>
    <t>Çağla</t>
  </si>
  <si>
    <t>Doğan</t>
  </si>
  <si>
    <t>Ekim</t>
  </si>
  <si>
    <t>Doğmuş</t>
  </si>
  <si>
    <t>Dondurmacı</t>
  </si>
  <si>
    <t>Can</t>
  </si>
  <si>
    <t>Duymaz</t>
  </si>
  <si>
    <t>Adem</t>
  </si>
  <si>
    <t>Ebiller</t>
  </si>
  <si>
    <t>Halit Ege</t>
  </si>
  <si>
    <t>Ecesoy</t>
  </si>
  <si>
    <t>Eldem</t>
  </si>
  <si>
    <t>Emecen</t>
  </si>
  <si>
    <t>Utku</t>
  </si>
  <si>
    <t>Enderer</t>
  </si>
  <si>
    <t>Berkan</t>
  </si>
  <si>
    <t>Ercan</t>
  </si>
  <si>
    <t>Eda</t>
  </si>
  <si>
    <t>Erdoğan</t>
  </si>
  <si>
    <t>Burak</t>
  </si>
  <si>
    <t>Güney</t>
  </si>
  <si>
    <t>Ergen</t>
  </si>
  <si>
    <t>Kaya</t>
  </si>
  <si>
    <t>Erhan</t>
  </si>
  <si>
    <t>Ali Gökhan</t>
  </si>
  <si>
    <t>Eriman</t>
  </si>
  <si>
    <t>Murat Deniz</t>
  </si>
  <si>
    <t>Erkal</t>
  </si>
  <si>
    <t>Aslıhan</t>
  </si>
  <si>
    <t>Eruçan</t>
  </si>
  <si>
    <t>Ökkeş</t>
  </si>
  <si>
    <t>Dilan</t>
  </si>
  <si>
    <t>Sena</t>
  </si>
  <si>
    <t>Gargoum</t>
  </si>
  <si>
    <t>Nasiem A. Ragab</t>
  </si>
  <si>
    <t>Gedik</t>
  </si>
  <si>
    <t>Gelgeç</t>
  </si>
  <si>
    <t>Ghanem</t>
  </si>
  <si>
    <t>Ahmad</t>
  </si>
  <si>
    <t>Göçer</t>
  </si>
  <si>
    <t>Şafak</t>
  </si>
  <si>
    <t>Gökbaşı</t>
  </si>
  <si>
    <t>Gölcü</t>
  </si>
  <si>
    <t>Halis</t>
  </si>
  <si>
    <t>Göncü</t>
  </si>
  <si>
    <t>Helin</t>
  </si>
  <si>
    <t>Gözen</t>
  </si>
  <si>
    <t>Gujbawu</t>
  </si>
  <si>
    <t>Abdulrahman Baba</t>
  </si>
  <si>
    <t>Gül</t>
  </si>
  <si>
    <t>Hanifi Enes</t>
  </si>
  <si>
    <t>Yavuz Osman</t>
  </si>
  <si>
    <t>Gülcan</t>
  </si>
  <si>
    <t>Yiğit Aliosman</t>
  </si>
  <si>
    <t>Güldoğan</t>
  </si>
  <si>
    <t>Tuğman Turgut</t>
  </si>
  <si>
    <t>Gülen</t>
  </si>
  <si>
    <t>Gürel</t>
  </si>
  <si>
    <t>Alaeddin Selçuk</t>
  </si>
  <si>
    <t>Güven</t>
  </si>
  <si>
    <t>Demirhan Şerif</t>
  </si>
  <si>
    <t>Hacılar</t>
  </si>
  <si>
    <t>Nesli</t>
  </si>
  <si>
    <t>Hajjar</t>
  </si>
  <si>
    <t>Haya</t>
  </si>
  <si>
    <t>Hoşduran</t>
  </si>
  <si>
    <t>Bedirhan</t>
  </si>
  <si>
    <t>İnan</t>
  </si>
  <si>
    <t>Esra</t>
  </si>
  <si>
    <t>Irk</t>
  </si>
  <si>
    <t>Mert</t>
  </si>
  <si>
    <t>Işık</t>
  </si>
  <si>
    <t>Tuğba Nur</t>
  </si>
  <si>
    <t>Işıklar</t>
  </si>
  <si>
    <t>Bartu</t>
  </si>
  <si>
    <t>İskender</t>
  </si>
  <si>
    <t>Selim</t>
  </si>
  <si>
    <t>Jubran</t>
  </si>
  <si>
    <t>Mohamed Mansour O.</t>
  </si>
  <si>
    <t>Kakaa</t>
  </si>
  <si>
    <t>Rama</t>
  </si>
  <si>
    <t>Kalaycı</t>
  </si>
  <si>
    <t>Gizem</t>
  </si>
  <si>
    <t>Kaplan</t>
  </si>
  <si>
    <t>Serkan</t>
  </si>
  <si>
    <t>Karabudak</t>
  </si>
  <si>
    <t>Fatma Seray</t>
  </si>
  <si>
    <t>Karabulut</t>
  </si>
  <si>
    <t>Nikol</t>
  </si>
  <si>
    <t>Karadaş</t>
  </si>
  <si>
    <t>Yılmaz</t>
  </si>
  <si>
    <t>Karakaya</t>
  </si>
  <si>
    <t>Karaman</t>
  </si>
  <si>
    <t>Tarık Buğra</t>
  </si>
  <si>
    <t>Karanfiloğlu</t>
  </si>
  <si>
    <t>Karataş</t>
  </si>
  <si>
    <t>Eyüp Yarkın</t>
  </si>
  <si>
    <t>Karğın</t>
  </si>
  <si>
    <t>Kartal</t>
  </si>
  <si>
    <t>Lamia</t>
  </si>
  <si>
    <t>Keçeli</t>
  </si>
  <si>
    <t>Fikret Gizem</t>
  </si>
  <si>
    <t>Kerimoğlu</t>
  </si>
  <si>
    <t>Sinan Kevin</t>
  </si>
  <si>
    <t>Khalifah</t>
  </si>
  <si>
    <t>Kılıç</t>
  </si>
  <si>
    <t>Enes</t>
  </si>
  <si>
    <t>Kılıçaslan</t>
  </si>
  <si>
    <t>Kılıçkap</t>
  </si>
  <si>
    <t>Jiyan</t>
  </si>
  <si>
    <t>Kınalıdır</t>
  </si>
  <si>
    <t>Kıran</t>
  </si>
  <si>
    <t>Kırmacı</t>
  </si>
  <si>
    <t>Kılıç Kıray</t>
  </si>
  <si>
    <t>Kırmızıay</t>
  </si>
  <si>
    <t>Büşra</t>
  </si>
  <si>
    <t>Kişi</t>
  </si>
  <si>
    <t>Murtaza</t>
  </si>
  <si>
    <t>Kızılpınar</t>
  </si>
  <si>
    <t>Onur Çağrı</t>
  </si>
  <si>
    <t>Koçak</t>
  </si>
  <si>
    <t>Yusuf</t>
  </si>
  <si>
    <t>Köksal</t>
  </si>
  <si>
    <t>Kadir Burak</t>
  </si>
  <si>
    <t>Kontürk</t>
  </si>
  <si>
    <t>İlker</t>
  </si>
  <si>
    <t>Köroğlu</t>
  </si>
  <si>
    <t>Koyutürk</t>
  </si>
  <si>
    <t>Raşit</t>
  </si>
  <si>
    <t>Küçük</t>
  </si>
  <si>
    <t>Hüseyin Ardan</t>
  </si>
  <si>
    <t>Küçükyılmaz</t>
  </si>
  <si>
    <t>Canakan</t>
  </si>
  <si>
    <t>Kumruluoğlu</t>
  </si>
  <si>
    <t>Ahmet</t>
  </si>
  <si>
    <t>Kundak</t>
  </si>
  <si>
    <t>Esin</t>
  </si>
  <si>
    <t>Kurt</t>
  </si>
  <si>
    <t>Ferdi</t>
  </si>
  <si>
    <t>Necmettin Barış</t>
  </si>
  <si>
    <t>Kuşoğlu</t>
  </si>
  <si>
    <t>Kutluer</t>
  </si>
  <si>
    <t>Mecit</t>
  </si>
  <si>
    <t>Banu Ezgi</t>
  </si>
  <si>
    <t>Mohammed</t>
  </si>
  <si>
    <t>Siraj Mohammed Alsaedi</t>
  </si>
  <si>
    <t>Murkoyunlu</t>
  </si>
  <si>
    <t>Sezen</t>
  </si>
  <si>
    <t>Namal</t>
  </si>
  <si>
    <t>Fahri</t>
  </si>
  <si>
    <t>Nerezoğlu</t>
  </si>
  <si>
    <t>Berke Can</t>
  </si>
  <si>
    <t>Okutan</t>
  </si>
  <si>
    <t>İkbal Ömer</t>
  </si>
  <si>
    <t>Oran</t>
  </si>
  <si>
    <t>Oturaklıoğlu</t>
  </si>
  <si>
    <t>Nazif Mert</t>
  </si>
  <si>
    <t>Öz</t>
  </si>
  <si>
    <t>Ozan</t>
  </si>
  <si>
    <t>Tunç</t>
  </si>
  <si>
    <t>Özdemir</t>
  </si>
  <si>
    <t>Özer</t>
  </si>
  <si>
    <t>Necmi Can</t>
  </si>
  <si>
    <t>Özkan</t>
  </si>
  <si>
    <t>Özkırış</t>
  </si>
  <si>
    <t>Oktay</t>
  </si>
  <si>
    <t>Özler</t>
  </si>
  <si>
    <t>Özşahin</t>
  </si>
  <si>
    <t>Yağmur Burcu</t>
  </si>
  <si>
    <t>Öztürk</t>
  </si>
  <si>
    <t>Emirhan</t>
  </si>
  <si>
    <t>İlknur Senem</t>
  </si>
  <si>
    <t>Özcan</t>
  </si>
  <si>
    <t>Özübek</t>
  </si>
  <si>
    <t>Anıl</t>
  </si>
  <si>
    <t>Özyurt</t>
  </si>
  <si>
    <t>Yunus Emre</t>
  </si>
  <si>
    <t>Özzade</t>
  </si>
  <si>
    <t>Ayça Büşra</t>
  </si>
  <si>
    <t>Palalı</t>
  </si>
  <si>
    <t>Palombo</t>
  </si>
  <si>
    <t>Sami</t>
  </si>
  <si>
    <t>Pınar</t>
  </si>
  <si>
    <t>Eren Can</t>
  </si>
  <si>
    <t>Renklioğlu</t>
  </si>
  <si>
    <t>Rud</t>
  </si>
  <si>
    <t>Iliya</t>
  </si>
  <si>
    <t>Şabablı</t>
  </si>
  <si>
    <t>Ebru</t>
  </si>
  <si>
    <t>Sadrimajd</t>
  </si>
  <si>
    <t>Salva</t>
  </si>
  <si>
    <t>Şahin</t>
  </si>
  <si>
    <t>Hazal Su</t>
  </si>
  <si>
    <t>İlayda</t>
  </si>
  <si>
    <t>Saleem</t>
  </si>
  <si>
    <t>Muhammad Farhan</t>
  </si>
  <si>
    <t>Samancı</t>
  </si>
  <si>
    <t>Selahattin Alp</t>
  </si>
  <si>
    <t>Sandıkçı</t>
  </si>
  <si>
    <t>Oğulcan</t>
  </si>
  <si>
    <t>Sanisoğlu</t>
  </si>
  <si>
    <t>Ceren</t>
  </si>
  <si>
    <t>Şaşıoğlu</t>
  </si>
  <si>
    <t>Kaan</t>
  </si>
  <si>
    <t>Satış</t>
  </si>
  <si>
    <t>Sayek</t>
  </si>
  <si>
    <t>Alexander</t>
  </si>
  <si>
    <t>Selçuk</t>
  </si>
  <si>
    <t>Ahmet Mert</t>
  </si>
  <si>
    <t>Yağız</t>
  </si>
  <si>
    <t>Şenel</t>
  </si>
  <si>
    <t>Şengül</t>
  </si>
  <si>
    <t>Şensoy</t>
  </si>
  <si>
    <t>Emin Alper</t>
  </si>
  <si>
    <t>Serdaroğlu</t>
  </si>
  <si>
    <t>Hüdanur</t>
  </si>
  <si>
    <t>Serin</t>
  </si>
  <si>
    <t>Ali Emre</t>
  </si>
  <si>
    <t>Sev</t>
  </si>
  <si>
    <t>Onat Çağıl</t>
  </si>
  <si>
    <t>Sevim</t>
  </si>
  <si>
    <t>Mehmet Emin</t>
  </si>
  <si>
    <t>Sevimli</t>
  </si>
  <si>
    <t>Gülşah</t>
  </si>
  <si>
    <t>Sevinçhan</t>
  </si>
  <si>
    <t>İbrahim Yuşah</t>
  </si>
  <si>
    <t>Sezer</t>
  </si>
  <si>
    <t>Erkmen</t>
  </si>
  <si>
    <t>Şimşek</t>
  </si>
  <si>
    <t>Onurcan</t>
  </si>
  <si>
    <t>Sedat</t>
  </si>
  <si>
    <t>Şimşir</t>
  </si>
  <si>
    <t>Mısra</t>
  </si>
  <si>
    <t>Serra</t>
  </si>
  <si>
    <t>Şişli</t>
  </si>
  <si>
    <t>Bahar</t>
  </si>
  <si>
    <t>Su</t>
  </si>
  <si>
    <t>Ertuğrul</t>
  </si>
  <si>
    <t>Sunay</t>
  </si>
  <si>
    <t>Volkan</t>
  </si>
  <si>
    <t>Sürmeli</t>
  </si>
  <si>
    <t>Mehmet Cahit</t>
  </si>
  <si>
    <t>Sweid</t>
  </si>
  <si>
    <t>Mohamad Rushdi</t>
  </si>
  <si>
    <t>Tahmaz</t>
  </si>
  <si>
    <t>Ecem Naz</t>
  </si>
  <si>
    <t>Takıl</t>
  </si>
  <si>
    <t>Buse</t>
  </si>
  <si>
    <t>Tarakçı</t>
  </si>
  <si>
    <t>Ömer</t>
  </si>
  <si>
    <t>Taşçı</t>
  </si>
  <si>
    <t>Tamay Seda</t>
  </si>
  <si>
    <t>Taşkıran</t>
  </si>
  <si>
    <t>Tekgül</t>
  </si>
  <si>
    <t>Hüma</t>
  </si>
  <si>
    <t>Tekin</t>
  </si>
  <si>
    <t>Engincan</t>
  </si>
  <si>
    <t>Temel</t>
  </si>
  <si>
    <t>Münür Uğur</t>
  </si>
  <si>
    <t>Temizer</t>
  </si>
  <si>
    <t>Tesbihci</t>
  </si>
  <si>
    <t>Tevrüz</t>
  </si>
  <si>
    <t>Toker</t>
  </si>
  <si>
    <t>Furkan Salih</t>
  </si>
  <si>
    <t>Toledo</t>
  </si>
  <si>
    <t>Rıfat</t>
  </si>
  <si>
    <t>Topal</t>
  </si>
  <si>
    <t>Topaloğlu</t>
  </si>
  <si>
    <t>Toz</t>
  </si>
  <si>
    <t>Bersu İrem</t>
  </si>
  <si>
    <t>Turan</t>
  </si>
  <si>
    <t>Yekcan</t>
  </si>
  <si>
    <t>Türkay</t>
  </si>
  <si>
    <t>Şehadet</t>
  </si>
  <si>
    <t>Türkeli</t>
  </si>
  <si>
    <t>Anıl Emek</t>
  </si>
  <si>
    <t>Türker</t>
  </si>
  <si>
    <t>Sabedin Berat</t>
  </si>
  <si>
    <t>Uçar</t>
  </si>
  <si>
    <t>Uçarer</t>
  </si>
  <si>
    <t>Uğurlu</t>
  </si>
  <si>
    <t>Özden Kübra</t>
  </si>
  <si>
    <t>Ulu</t>
  </si>
  <si>
    <t>Uluhansın</t>
  </si>
  <si>
    <t>Orkun</t>
  </si>
  <si>
    <t>Ulusoy</t>
  </si>
  <si>
    <t>Eylül</t>
  </si>
  <si>
    <t>Ünal</t>
  </si>
  <si>
    <t>Canberk</t>
  </si>
  <si>
    <t>Ufuk</t>
  </si>
  <si>
    <t>Ünver</t>
  </si>
  <si>
    <t>Batuhan</t>
  </si>
  <si>
    <t>Uras</t>
  </si>
  <si>
    <t>Ege Salih</t>
  </si>
  <si>
    <t>Urgancı</t>
  </si>
  <si>
    <t>Hakkı</t>
  </si>
  <si>
    <t>Usta</t>
  </si>
  <si>
    <t>Üstün</t>
  </si>
  <si>
    <t>Uysalcan</t>
  </si>
  <si>
    <t>Şevval</t>
  </si>
  <si>
    <t>Uziyel</t>
  </si>
  <si>
    <t>Naz Suzan</t>
  </si>
  <si>
    <t>Üzüm</t>
  </si>
  <si>
    <t>Muhammet Hakan</t>
  </si>
  <si>
    <t>Uzun</t>
  </si>
  <si>
    <t>Yiğit</t>
  </si>
  <si>
    <t>Uzunkaya</t>
  </si>
  <si>
    <t>Hıdır</t>
  </si>
  <si>
    <t>Vural</t>
  </si>
  <si>
    <t>Murat</t>
  </si>
  <si>
    <t>Yalaz</t>
  </si>
  <si>
    <t>Barış</t>
  </si>
  <si>
    <t>Yalçınkaya</t>
  </si>
  <si>
    <t>Beste</t>
  </si>
  <si>
    <t>Yaman</t>
  </si>
  <si>
    <t>Yusuf Doruk</t>
  </si>
  <si>
    <t>Yasan</t>
  </si>
  <si>
    <t>Melih Can</t>
  </si>
  <si>
    <t>Yaşar</t>
  </si>
  <si>
    <t>Nurullah</t>
  </si>
  <si>
    <t>Yavuz</t>
  </si>
  <si>
    <t>Yeşerdir</t>
  </si>
  <si>
    <t>Kaan Mert</t>
  </si>
  <si>
    <t>Yeşilbaş</t>
  </si>
  <si>
    <t>Ali Can</t>
  </si>
  <si>
    <t>Yıldırım</t>
  </si>
  <si>
    <t>Özlem Nur</t>
  </si>
  <si>
    <t>Yıldız</t>
  </si>
  <si>
    <t>Mustafa Gökhan</t>
  </si>
  <si>
    <t>Yavuz Sinan</t>
  </si>
  <si>
    <t>Youssef</t>
  </si>
  <si>
    <t>Majed</t>
  </si>
  <si>
    <t>Yüce</t>
  </si>
  <si>
    <t>Süvelde Tuğçe</t>
  </si>
  <si>
    <t>Yücebağ</t>
  </si>
  <si>
    <t>Deniz</t>
  </si>
  <si>
    <t>Yücel</t>
  </si>
  <si>
    <t>Necla</t>
  </si>
  <si>
    <t>Yukarıkozan</t>
  </si>
  <si>
    <t>Yüksektepe</t>
  </si>
  <si>
    <t>Veysel</t>
  </si>
  <si>
    <t>Yuvacı</t>
  </si>
  <si>
    <t>Talha</t>
  </si>
  <si>
    <t>Zengi</t>
  </si>
  <si>
    <t>Zeper</t>
  </si>
  <si>
    <t>Seyfi Tunç</t>
  </si>
  <si>
    <t>Ziylan</t>
  </si>
  <si>
    <t>randMARR</t>
  </si>
  <si>
    <t>life</t>
  </si>
  <si>
    <t>.</t>
  </si>
  <si>
    <t>,</t>
  </si>
  <si>
    <t>Rand Numbers</t>
  </si>
  <si>
    <t>Capital Inv.</t>
  </si>
  <si>
    <t>Capital Inv. Scrumbled</t>
  </si>
  <si>
    <t>Q2</t>
  </si>
  <si>
    <t>ALT A1</t>
  </si>
  <si>
    <t>ALT A2</t>
  </si>
  <si>
    <t>ALT A3</t>
  </si>
  <si>
    <t>ALT A4</t>
  </si>
  <si>
    <t>ALT B1</t>
  </si>
  <si>
    <t>ALT B2</t>
  </si>
  <si>
    <t>ALT B3</t>
  </si>
  <si>
    <t>ALT B4</t>
  </si>
  <si>
    <t>inflation</t>
  </si>
  <si>
    <t>real i</t>
  </si>
  <si>
    <t>Sow</t>
  </si>
  <si>
    <t>Modıbo</t>
  </si>
  <si>
    <r>
      <t xml:space="preserve">
IE 260 - Fall 2017
Assignment 3
Due date: 11/12/2017, 15:00
</t>
    </r>
    <r>
      <rPr>
        <sz val="8"/>
        <color theme="1"/>
        <rFont val="Times New Roman"/>
        <family val="1"/>
        <charset val="162"/>
      </rPr>
      <t xml:space="preserve"> </t>
    </r>
  </si>
  <si>
    <t>∆(1-3)</t>
  </si>
  <si>
    <t>∆(1-2)</t>
  </si>
  <si>
    <t>∆(1-4)</t>
  </si>
  <si>
    <t>∆(2-1)</t>
  </si>
  <si>
    <t>∆(2-3)</t>
  </si>
  <si>
    <t>∆(2-4)</t>
  </si>
  <si>
    <t>∆(3-1)</t>
  </si>
  <si>
    <t>∆(3-2)</t>
  </si>
  <si>
    <t>∆(3-4)</t>
  </si>
  <si>
    <t>∆(4-1)</t>
  </si>
  <si>
    <t>∆(4-2)</t>
  </si>
  <si>
    <t>∆(4-3)</t>
  </si>
  <si>
    <t>Gül, Hanifi Enes-115200085</t>
  </si>
  <si>
    <t>Yes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</si>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</sst>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0.0%"/>
    <numFmt numFmtId="166" formatCode="[$$-409]#,##0.00"/>
    <numFmt numFmtId="167" formatCode="0.0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6"/>
      <color theme="1"/>
      <name val="Times New Roman"/>
      <family val="1"/>
    </font>
    <font>
      <sz val="11"/>
      <color theme="1"/>
      <name val="Calibri"/>
      <family val="2"/>
      <scheme val="minor"/>
    </font>
    <font>
      <sz val="12"/>
      <color rgb="FF000000"/>
      <name val="Times New Roman"/>
      <family val="1"/>
      <charset val="162"/>
    </font>
    <font>
      <sz val="12"/>
      <color theme="1"/>
      <name val="Times New Roman"/>
      <family val="1"/>
      <charset val="162"/>
    </font>
    <font>
      <sz val="12"/>
      <color rgb="FF131313"/>
      <name val="Times New Roman"/>
      <family val="1"/>
      <charset val="162"/>
    </font>
    <font>
      <b/>
      <sz val="12"/>
      <color theme="1"/>
      <name val="Times New Roman"/>
      <family val="1"/>
      <charset val="162"/>
    </font>
    <font>
      <b/>
      <sz val="12"/>
      <color theme="1"/>
      <name val="Times New Roman"/>
      <family val="1"/>
    </font>
    <font>
      <sz val="8"/>
      <color theme="1"/>
      <name val="Times New Roman"/>
      <family val="1"/>
      <charset val="162"/>
    </font>
    <font>
      <sz val="11"/>
      <color rgb="FFFF0000"/>
      <name val="Times New Roman"/>
      <family val="1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2"/>
      <color theme="1"/>
      <name val="Times New Roman"/>
      <family val="1"/>
      <charset val="162"/>
    </font>
    <font>
      <u/>
      <sz val="12"/>
      <color theme="1"/>
      <name val="Times New Roman"/>
      <family val="1"/>
      <charset val="16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18">
    <xf numFmtId="0" fontId="0" fillId="0" borderId="0" xfId="0"/>
    <xf numFmtId="0" fontId="1" fillId="0" borderId="0" xfId="0" applyFont="1"/>
    <xf numFmtId="0" fontId="1" fillId="0" borderId="0" xfId="0" applyFont="1" applyFill="1" applyBorder="1"/>
    <xf numFmtId="0" fontId="8" fillId="0" borderId="0" xfId="0" applyFont="1" applyFill="1" applyBorder="1" applyAlignment="1"/>
    <xf numFmtId="0" fontId="1" fillId="0" borderId="0" xfId="0" applyFont="1" applyFill="1" applyBorder="1" applyAlignment="1"/>
    <xf numFmtId="165" fontId="1" fillId="0" borderId="0" xfId="0" applyNumberFormat="1" applyFont="1" applyFill="1" applyBorder="1" applyAlignment="1"/>
    <xf numFmtId="0" fontId="0" fillId="0" borderId="0" xfId="0" applyAlignment="1">
      <alignment horizontal="center"/>
    </xf>
    <xf numFmtId="10" fontId="0" fillId="0" borderId="0" xfId="2" applyNumberFormat="1" applyFont="1"/>
    <xf numFmtId="0" fontId="0" fillId="0" borderId="0" xfId="2" applyNumberFormat="1" applyFont="1"/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21" xfId="0" applyBorder="1" applyAlignment="1">
      <alignment horizontal="center" wrapText="1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10" fontId="0" fillId="0" borderId="0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0" fontId="0" fillId="4" borderId="0" xfId="0" applyNumberFormat="1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0" borderId="0" xfId="0" applyFont="1"/>
    <xf numFmtId="0" fontId="12" fillId="0" borderId="0" xfId="0" applyFont="1"/>
    <xf numFmtId="0" fontId="0" fillId="0" borderId="0" xfId="0" applyAlignment="1">
      <alignment horizontal="center"/>
    </xf>
    <xf numFmtId="0" fontId="0" fillId="0" borderId="0" xfId="0" applyFont="1"/>
    <xf numFmtId="167" fontId="0" fillId="0" borderId="0" xfId="2" applyNumberFormat="1" applyFont="1"/>
    <xf numFmtId="167" fontId="11" fillId="0" borderId="0" xfId="2" applyNumberFormat="1" applyFont="1"/>
    <xf numFmtId="0" fontId="2" fillId="0" borderId="17" xfId="0" applyFont="1" applyBorder="1" applyAlignment="1" applyProtection="1">
      <alignment horizontal="center" vertical="center" wrapText="1"/>
      <protection hidden="1"/>
    </xf>
    <xf numFmtId="0" fontId="7" fillId="0" borderId="16" xfId="0" applyFont="1" applyBorder="1" applyProtection="1">
      <protection hidden="1"/>
    </xf>
    <xf numFmtId="0" fontId="1" fillId="0" borderId="17" xfId="0" applyFont="1" applyBorder="1" applyAlignment="1" applyProtection="1">
      <alignment horizontal="left" vertical="top" wrapText="1"/>
      <protection hidden="1"/>
    </xf>
    <xf numFmtId="0" fontId="1" fillId="0" borderId="16" xfId="0" applyFont="1" applyBorder="1" applyProtection="1"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1" fillId="0" borderId="0" xfId="0" applyFont="1" applyBorder="1" applyProtection="1">
      <protection hidden="1"/>
    </xf>
    <xf numFmtId="0" fontId="1" fillId="0" borderId="17" xfId="0" applyFont="1" applyBorder="1" applyProtection="1">
      <protection hidden="1"/>
    </xf>
    <xf numFmtId="0" fontId="7" fillId="0" borderId="0" xfId="0" applyFont="1" applyBorder="1" applyProtection="1">
      <protection hidden="1"/>
    </xf>
    <xf numFmtId="0" fontId="1" fillId="0" borderId="17" xfId="0" applyFont="1" applyBorder="1" applyAlignment="1" applyProtection="1">
      <alignment horizontal="left" vertical="top"/>
      <protection hidden="1"/>
    </xf>
    <xf numFmtId="0" fontId="5" fillId="0" borderId="16" xfId="0" applyFont="1" applyBorder="1" applyProtection="1">
      <protection hidden="1"/>
    </xf>
    <xf numFmtId="0" fontId="1" fillId="0" borderId="0" xfId="0" applyFont="1" applyBorder="1" applyAlignment="1" applyProtection="1">
      <alignment vertical="top" wrapText="1"/>
      <protection hidden="1"/>
    </xf>
    <xf numFmtId="0" fontId="7" fillId="0" borderId="17" xfId="0" applyFont="1" applyBorder="1" applyAlignment="1" applyProtection="1">
      <protection hidden="1"/>
    </xf>
    <xf numFmtId="0" fontId="1" fillId="0" borderId="0" xfId="0" applyFont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Protection="1">
      <protection hidden="1"/>
    </xf>
    <xf numFmtId="0" fontId="1" fillId="0" borderId="17" xfId="0" applyFont="1" applyFill="1" applyBorder="1" applyProtection="1">
      <protection hidden="1"/>
    </xf>
    <xf numFmtId="0" fontId="7" fillId="0" borderId="0" xfId="0" applyFont="1" applyFill="1" applyBorder="1" applyAlignment="1" applyProtection="1">
      <protection hidden="1"/>
    </xf>
    <xf numFmtId="0" fontId="7" fillId="0" borderId="17" xfId="0" applyFont="1" applyFill="1" applyBorder="1" applyAlignment="1" applyProtection="1">
      <protection hidden="1"/>
    </xf>
    <xf numFmtId="0" fontId="1" fillId="0" borderId="0" xfId="0" applyFont="1" applyBorder="1" applyAlignment="1" applyProtection="1">
      <protection hidden="1"/>
    </xf>
    <xf numFmtId="0" fontId="1" fillId="0" borderId="18" xfId="0" applyFont="1" applyBorder="1" applyProtection="1">
      <protection hidden="1"/>
    </xf>
    <xf numFmtId="0" fontId="1" fillId="0" borderId="19" xfId="0" applyFont="1" applyBorder="1" applyProtection="1">
      <protection hidden="1"/>
    </xf>
    <xf numFmtId="0" fontId="1" fillId="0" borderId="20" xfId="0" applyFont="1" applyBorder="1" applyProtection="1">
      <protection hidden="1"/>
    </xf>
    <xf numFmtId="0" fontId="6" fillId="0" borderId="1" xfId="0" applyFont="1" applyBorder="1" applyAlignment="1" applyProtection="1">
      <alignment horizontal="left" vertical="center" wrapText="1"/>
      <protection hidden="1"/>
    </xf>
    <xf numFmtId="0" fontId="5" fillId="0" borderId="1" xfId="0" applyFont="1" applyBorder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right"/>
      <protection hidden="1"/>
    </xf>
    <xf numFmtId="3" fontId="5" fillId="0" borderId="1" xfId="1" applyNumberFormat="1" applyFont="1" applyBorder="1" applyAlignment="1" applyProtection="1">
      <alignment horizontal="right"/>
      <protection hidden="1"/>
    </xf>
    <xf numFmtId="3" fontId="6" fillId="0" borderId="1" xfId="1" applyNumberFormat="1" applyFont="1" applyBorder="1" applyAlignment="1" applyProtection="1">
      <alignment horizontal="right" vertical="center" wrapText="1"/>
      <protection hidden="1"/>
    </xf>
    <xf numFmtId="0" fontId="1" fillId="2" borderId="14" xfId="0" applyFont="1" applyFill="1" applyBorder="1" applyAlignment="1" applyProtection="1">
      <alignment horizontal="left"/>
      <protection locked="0"/>
    </xf>
    <xf numFmtId="0" fontId="1" fillId="2" borderId="15" xfId="0" applyFont="1" applyFill="1" applyBorder="1" applyAlignment="1" applyProtection="1">
      <alignment horizontal="left"/>
      <protection locked="0"/>
    </xf>
    <xf numFmtId="0" fontId="10" fillId="0" borderId="16" xfId="0" applyFont="1" applyBorder="1" applyAlignment="1" applyProtection="1">
      <alignment horizontal="center"/>
      <protection hidden="1"/>
    </xf>
    <xf numFmtId="0" fontId="10" fillId="0" borderId="0" xfId="0" applyFont="1" applyBorder="1" applyAlignment="1" applyProtection="1">
      <alignment horizontal="center"/>
      <protection hidden="1"/>
    </xf>
    <xf numFmtId="0" fontId="10" fillId="0" borderId="17" xfId="0" applyFont="1" applyBorder="1" applyAlignment="1" applyProtection="1">
      <alignment horizontal="center"/>
      <protection hidden="1"/>
    </xf>
    <xf numFmtId="0" fontId="2" fillId="0" borderId="16" xfId="0" applyFont="1" applyBorder="1" applyAlignment="1" applyProtection="1">
      <alignment horizontal="center" wrapText="1"/>
      <protection hidden="1"/>
    </xf>
    <xf numFmtId="0" fontId="2" fillId="0" borderId="0" xfId="0" applyFont="1" applyBorder="1" applyAlignment="1" applyProtection="1">
      <alignment horizontal="center" wrapText="1"/>
      <protection hidden="1"/>
    </xf>
    <xf numFmtId="0" fontId="1" fillId="0" borderId="0" xfId="0" applyFont="1" applyBorder="1" applyAlignment="1" applyProtection="1">
      <alignment horizontal="left" vertical="top" wrapText="1"/>
      <protection hidden="1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7" fillId="3" borderId="4" xfId="0" applyFont="1" applyFill="1" applyBorder="1" applyAlignment="1" applyProtection="1">
      <alignment horizontal="right"/>
      <protection locked="0"/>
    </xf>
    <xf numFmtId="0" fontId="1" fillId="0" borderId="0" xfId="0" applyFont="1" applyBorder="1" applyAlignment="1" applyProtection="1">
      <alignment horizontal="left"/>
      <protection hidden="1"/>
    </xf>
    <xf numFmtId="0" fontId="1" fillId="3" borderId="1" xfId="0" applyFont="1" applyFill="1" applyBorder="1" applyAlignment="1" applyProtection="1">
      <alignment horizontal="center"/>
      <protection locked="0"/>
    </xf>
    <xf numFmtId="3" fontId="1" fillId="2" borderId="1" xfId="0" applyNumberFormat="1" applyFont="1" applyFill="1" applyBorder="1" applyAlignment="1" applyProtection="1">
      <alignment horizontal="right"/>
      <protection locked="0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27" xfId="0" applyFont="1" applyBorder="1" applyAlignment="1" applyProtection="1">
      <alignment horizontal="left"/>
      <protection hidden="1"/>
    </xf>
    <xf numFmtId="0" fontId="6" fillId="0" borderId="28" xfId="0" applyFont="1" applyBorder="1" applyAlignment="1" applyProtection="1">
      <alignment horizontal="left"/>
      <protection hidden="1"/>
    </xf>
    <xf numFmtId="0" fontId="1" fillId="0" borderId="10" xfId="0" applyFont="1" applyBorder="1" applyAlignment="1" applyProtection="1">
      <alignment horizontal="left"/>
      <protection hidden="1"/>
    </xf>
    <xf numFmtId="0" fontId="1" fillId="0" borderId="11" xfId="0" applyFont="1" applyBorder="1" applyAlignment="1" applyProtection="1">
      <alignment horizontal="left"/>
      <protection hidden="1"/>
    </xf>
    <xf numFmtId="0" fontId="1" fillId="0" borderId="8" xfId="0" applyFont="1" applyBorder="1" applyAlignment="1" applyProtection="1">
      <alignment horizontal="left"/>
      <protection hidden="1"/>
    </xf>
    <xf numFmtId="0" fontId="1" fillId="0" borderId="1" xfId="0" applyFont="1" applyBorder="1" applyAlignment="1" applyProtection="1">
      <alignment horizontal="left"/>
      <protection hidden="1"/>
    </xf>
    <xf numFmtId="2" fontId="1" fillId="2" borderId="1" xfId="0" applyNumberFormat="1" applyFont="1" applyFill="1" applyBorder="1" applyAlignment="1" applyProtection="1">
      <alignment horizontal="right"/>
      <protection locked="0"/>
    </xf>
    <xf numFmtId="0" fontId="6" fillId="0" borderId="1" xfId="0" applyFont="1" applyBorder="1" applyAlignment="1" applyProtection="1">
      <alignment horizontal="left"/>
      <protection hidden="1"/>
    </xf>
    <xf numFmtId="3" fontId="1" fillId="2" borderId="2" xfId="0" applyNumberFormat="1" applyFont="1" applyFill="1" applyBorder="1" applyAlignment="1" applyProtection="1">
      <alignment horizontal="right"/>
      <protection locked="0"/>
    </xf>
    <xf numFmtId="3" fontId="1" fillId="2" borderId="7" xfId="0" applyNumberFormat="1" applyFont="1" applyFill="1" applyBorder="1" applyAlignment="1" applyProtection="1">
      <alignment horizontal="right"/>
      <protection locked="0"/>
    </xf>
    <xf numFmtId="0" fontId="7" fillId="3" borderId="5" xfId="0" applyFont="1" applyFill="1" applyBorder="1" applyAlignment="1" applyProtection="1">
      <alignment horizontal="right"/>
      <protection locked="0"/>
    </xf>
    <xf numFmtId="3" fontId="1" fillId="2" borderId="9" xfId="0" applyNumberFormat="1" applyFont="1" applyFill="1" applyBorder="1" applyAlignment="1" applyProtection="1">
      <alignment horizontal="right"/>
      <protection locked="0"/>
    </xf>
    <xf numFmtId="0" fontId="7" fillId="0" borderId="22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4" fillId="0" borderId="30" xfId="0" applyFont="1" applyBorder="1" applyAlignment="1" applyProtection="1">
      <alignment horizontal="center"/>
      <protection hidden="1"/>
    </xf>
    <xf numFmtId="0" fontId="14" fillId="0" borderId="29" xfId="0" applyFont="1" applyBorder="1" applyAlignment="1" applyProtection="1">
      <alignment horizontal="center"/>
      <protection hidden="1"/>
    </xf>
    <xf numFmtId="0" fontId="14" fillId="0" borderId="31" xfId="0" applyFont="1" applyBorder="1" applyAlignment="1" applyProtection="1">
      <alignment horizontal="center"/>
      <protection hidden="1"/>
    </xf>
    <xf numFmtId="0" fontId="7" fillId="0" borderId="3" xfId="0" applyFont="1" applyBorder="1" applyAlignment="1" applyProtection="1">
      <alignment horizontal="left"/>
      <protection hidden="1"/>
    </xf>
    <xf numFmtId="0" fontId="7" fillId="0" borderId="4" xfId="0" applyFont="1" applyBorder="1" applyAlignment="1" applyProtection="1">
      <alignment horizontal="left"/>
      <protection hidden="1"/>
    </xf>
    <xf numFmtId="0" fontId="6" fillId="0" borderId="6" xfId="0" applyFont="1" applyBorder="1" applyAlignment="1" applyProtection="1">
      <alignment horizontal="left" vertical="center" wrapText="1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6" fillId="0" borderId="8" xfId="0" applyFont="1" applyBorder="1" applyAlignment="1" applyProtection="1">
      <alignment horizontal="left"/>
      <protection hidden="1"/>
    </xf>
    <xf numFmtId="2" fontId="1" fillId="2" borderId="9" xfId="0" applyNumberFormat="1" applyFont="1" applyFill="1" applyBorder="1" applyAlignment="1" applyProtection="1">
      <alignment horizontal="right"/>
      <protection locked="0"/>
    </xf>
    <xf numFmtId="0" fontId="1" fillId="3" borderId="11" xfId="0" applyFont="1" applyFill="1" applyBorder="1" applyAlignment="1" applyProtection="1">
      <alignment horizontal="right"/>
      <protection locked="0"/>
    </xf>
    <xf numFmtId="0" fontId="1" fillId="3" borderId="12" xfId="0" applyFont="1" applyFill="1" applyBorder="1" applyAlignment="1" applyProtection="1">
      <alignment horizontal="right"/>
      <protection locked="0"/>
    </xf>
    <xf numFmtId="0" fontId="1" fillId="2" borderId="1" xfId="0" applyFont="1" applyFill="1" applyBorder="1" applyAlignment="1" applyProtection="1">
      <alignment horizontal="right"/>
      <protection locked="0"/>
    </xf>
    <xf numFmtId="0" fontId="1" fillId="2" borderId="9" xfId="0" applyFont="1" applyFill="1" applyBorder="1" applyAlignment="1" applyProtection="1">
      <alignment horizontal="right"/>
      <protection locked="0"/>
    </xf>
    <xf numFmtId="0" fontId="6" fillId="0" borderId="1" xfId="0" applyFont="1" applyBorder="1" applyAlignment="1" applyProtection="1">
      <alignment horizontal="center" vertical="center" wrapText="1"/>
      <protection hidden="1"/>
    </xf>
    <xf numFmtId="0" fontId="5" fillId="0" borderId="30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alignment horizontal="center"/>
      <protection hidden="1"/>
    </xf>
    <xf numFmtId="0" fontId="5" fillId="0" borderId="22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5" fillId="0" borderId="23" xfId="0" applyFont="1" applyBorder="1" applyAlignment="1" applyProtection="1">
      <alignment horizontal="center"/>
      <protection hidden="1"/>
    </xf>
    <xf numFmtId="0" fontId="5" fillId="0" borderId="21" xfId="0" applyFont="1" applyBorder="1" applyAlignment="1" applyProtection="1">
      <alignment horizontal="center"/>
      <protection hidden="1"/>
    </xf>
    <xf numFmtId="10" fontId="1" fillId="2" borderId="1" xfId="0" applyNumberFormat="1" applyFont="1" applyFill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hidden="1"/>
    </xf>
    <xf numFmtId="166" fontId="1" fillId="2" borderId="1" xfId="0" applyNumberFormat="1" applyFont="1" applyFill="1" applyBorder="1" applyAlignment="1" applyProtection="1">
      <alignment horizontal="right"/>
      <protection locked="0"/>
    </xf>
    <xf numFmtId="3" fontId="6" fillId="0" borderId="1" xfId="1" applyNumberFormat="1" applyFont="1" applyBorder="1" applyAlignment="1" applyProtection="1">
      <alignment horizontal="center" vertical="center" wrapText="1"/>
      <protection hidden="1"/>
    </xf>
    <xf numFmtId="0" fontId="13" fillId="0" borderId="2" xfId="0" applyFont="1" applyBorder="1" applyAlignment="1" applyProtection="1">
      <alignment horizontal="center" vertical="center" wrapText="1"/>
      <protection hidden="1"/>
    </xf>
    <xf numFmtId="0" fontId="13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0" fontId="0" fillId="0" borderId="22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0" fillId="0" borderId="2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4" xfId="0" applyBorder="1" applyAlignment="1">
      <alignment horizontal="center"/>
    </xf>
  </cellXfs>
  <cellStyles count="3">
    <cellStyle name="Normal" xfId="0" builtinId="0"/>
    <cellStyle name="Virgül" xfId="1" builtinId="3"/>
    <cellStyle name="Yüzde" xfId="2" builtinId="5"/>
  </cellStyles>
  <dxfs count="1">
    <dxf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182216</xdr:colOff>
      <xdr:row>2</xdr:row>
      <xdr:rowOff>49699</xdr:rowOff>
    </xdr:from>
    <xdr:to>
      <xdr:col>21</xdr:col>
      <xdr:colOff>81643</xdr:colOff>
      <xdr:row>2</xdr:row>
      <xdr:rowOff>635582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2173" y="447264"/>
          <a:ext cx="2086035" cy="585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104</xdr:col>
      <xdr:colOff>0</xdr:colOff>
      <xdr:row>2</xdr:row>
      <xdr:rowOff>0</xdr:rowOff>
    </xdr:from>
    <xdr:to>
      <xdr:col>115</xdr:col>
      <xdr:colOff>152400</xdr:colOff>
      <xdr:row>5</xdr:row>
      <xdr:rowOff>28575</xdr:rowOff>
    </xdr:to>
    <xdr:pic>
      <xdr:nvPicPr>
        <xdr:cNvPr id="4" name="Picture 3" descr="http://thumbs4.ebaystatic.com/d/l225/m/m6TxteiiVGETHFGAIfqveAg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49950" y="400050"/>
          <a:ext cx="2143125" cy="2143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F48"/>
  <sheetViews>
    <sheetView showGridLines="0" tabSelected="1" topLeftCell="A25" zoomScaleNormal="100" workbookViewId="0">
      <selection activeCell="G1" sqref="G1:AF1"/>
    </sheetView>
  </sheetViews>
  <sheetFormatPr defaultColWidth="0" defaultRowHeight="15.75" zeroHeight="1" x14ac:dyDescent="0.25"/>
  <cols>
    <col min="1" max="32" width="2.7109375" style="1" customWidth="1"/>
    <col min="33" max="33" width="0.140625" style="1" customWidth="1"/>
    <col min="34" max="16384" width="2.7109375" style="1" hidden="1"/>
  </cols>
  <sheetData>
    <row r="1" spans="1:105" x14ac:dyDescent="0.25">
      <c r="A1" s="61" t="s">
        <v>25</v>
      </c>
      <c r="B1" s="62"/>
      <c r="C1" s="62"/>
      <c r="D1" s="62"/>
      <c r="E1" s="62"/>
      <c r="F1" s="62"/>
      <c r="G1" s="53" t="s">
        <v>594</v>
      </c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4"/>
      <c r="CA1" s="1" t="s">
        <v>563</v>
      </c>
    </row>
    <row r="2" spans="1:105" x14ac:dyDescent="0.25">
      <c r="A2" s="55" t="str">
        <f>IF(G1="","Please ENABLE MACROS and SELECT (DO NOT WRITE) your name above to see the questions","")</f>
        <v/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7"/>
      <c r="CA2" s="1" t="s">
        <v>564</v>
      </c>
    </row>
    <row r="3" spans="1:105" ht="135" customHeight="1" x14ac:dyDescent="0.3">
      <c r="A3" s="58" t="s">
        <v>581</v>
      </c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27"/>
      <c r="CA3" s="1" t="b">
        <v>0</v>
      </c>
      <c r="DA3"/>
    </row>
    <row r="4" spans="1:105" ht="15.75" customHeight="1" x14ac:dyDescent="0.25">
      <c r="A4" s="28" t="str">
        <f>IF($A$2="","1)","")</f>
        <v>1)</v>
      </c>
      <c r="B4" s="60" t="str">
        <f>IF($A$2="","For the following alternatives, determine the preferred one using the IRR method. Market value is taken as 20% of the initial capital investment. The useful life of each alternative is "&amp;VLOOKUP($G$1,Data!$D:$E,2,FALSE)&amp;" years.","")</f>
        <v>For the following alternatives, determine the preferred one using the IRR method. Market value is taken as 20% of the initial capital investment. The useful life of each alternative is 5 years.</v>
      </c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29"/>
      <c r="AI4" s="1" t="s">
        <v>583</v>
      </c>
    </row>
    <row r="5" spans="1:105" x14ac:dyDescent="0.25">
      <c r="A5" s="3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29"/>
      <c r="AI5" s="1" t="s">
        <v>582</v>
      </c>
    </row>
    <row r="6" spans="1:105" x14ac:dyDescent="0.25">
      <c r="A6" s="30"/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29"/>
      <c r="AI6" s="1" t="s">
        <v>584</v>
      </c>
    </row>
    <row r="7" spans="1:105" x14ac:dyDescent="0.25">
      <c r="A7" s="30"/>
      <c r="B7" s="64" t="str">
        <f>IF($A$2="","(MARR: "&amp; VLOOKUP($G$1,Data!$D:$G,4,FALSE)&amp;" %)","")</f>
        <v>(MARR: 8 %)</v>
      </c>
      <c r="C7" s="64"/>
      <c r="D7" s="64"/>
      <c r="E7" s="64"/>
      <c r="F7" s="64"/>
      <c r="G7" s="64"/>
      <c r="H7" s="31"/>
      <c r="I7" s="31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29"/>
      <c r="AI7" s="1" t="s">
        <v>585</v>
      </c>
    </row>
    <row r="8" spans="1:105" ht="15.75" customHeight="1" x14ac:dyDescent="0.25">
      <c r="A8" s="30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29"/>
      <c r="AI8" s="1" t="s">
        <v>586</v>
      </c>
    </row>
    <row r="9" spans="1:105" x14ac:dyDescent="0.25">
      <c r="A9" s="30"/>
      <c r="B9" s="49"/>
      <c r="C9" s="49"/>
      <c r="D9" s="49"/>
      <c r="E9" s="49"/>
      <c r="F9" s="49"/>
      <c r="G9" s="49"/>
      <c r="H9" s="49"/>
      <c r="I9" s="50" t="str">
        <f>IF($A$2="","Alt 1","")</f>
        <v>Alt 1</v>
      </c>
      <c r="J9" s="50"/>
      <c r="K9" s="50"/>
      <c r="L9" s="50"/>
      <c r="M9" s="50" t="str">
        <f>IF($A$2="","Alt 2","")</f>
        <v>Alt 2</v>
      </c>
      <c r="N9" s="50"/>
      <c r="O9" s="50"/>
      <c r="P9" s="50"/>
      <c r="Q9" s="50" t="str">
        <f>IF($A$2="","Alt 3","")</f>
        <v>Alt 3</v>
      </c>
      <c r="R9" s="50"/>
      <c r="S9" s="50"/>
      <c r="T9" s="50"/>
      <c r="U9" s="50" t="str">
        <f>IF($A$2="","Alt 4","")</f>
        <v>Alt 4</v>
      </c>
      <c r="V9" s="50"/>
      <c r="W9" s="50"/>
      <c r="X9" s="50"/>
      <c r="Y9" s="32"/>
      <c r="Z9" s="32"/>
      <c r="AA9" s="32"/>
      <c r="AB9" s="32"/>
      <c r="AC9" s="32"/>
      <c r="AD9" s="32"/>
      <c r="AE9" s="32"/>
      <c r="AF9" s="29"/>
      <c r="AI9" s="1" t="s">
        <v>587</v>
      </c>
    </row>
    <row r="10" spans="1:105" x14ac:dyDescent="0.25">
      <c r="A10" s="30"/>
      <c r="B10" s="48" t="str">
        <f>IF($A$2="","Capital investment ","")</f>
        <v xml:space="preserve">Capital investment </v>
      </c>
      <c r="C10" s="48"/>
      <c r="D10" s="48"/>
      <c r="E10" s="48"/>
      <c r="F10" s="48"/>
      <c r="G10" s="48"/>
      <c r="H10" s="48"/>
      <c r="I10" s="52">
        <f>IF($A$2="",VLOOKUP($G$1,Data!$D:$AA,13,FALSE),"")</f>
        <v>100000</v>
      </c>
      <c r="J10" s="52"/>
      <c r="K10" s="52"/>
      <c r="L10" s="52"/>
      <c r="M10" s="52">
        <f>IF($A$2="",VLOOKUP($G$1,Data!$D:$AA,14,FALSE),"")</f>
        <v>117100</v>
      </c>
      <c r="N10" s="52"/>
      <c r="O10" s="52"/>
      <c r="P10" s="52"/>
      <c r="Q10" s="52">
        <f>IF($A$2="",VLOOKUP($G$1,Data!$D:$AA,15,FALSE),"")</f>
        <v>108700</v>
      </c>
      <c r="R10" s="52"/>
      <c r="S10" s="52"/>
      <c r="T10" s="52"/>
      <c r="U10" s="52">
        <f>IF($A$2="",VLOOKUP($G$1,Data!$D:$AA,16,FALSE),"")</f>
        <v>125400</v>
      </c>
      <c r="V10" s="52"/>
      <c r="W10" s="52"/>
      <c r="X10" s="52"/>
      <c r="Y10" s="32"/>
      <c r="Z10" s="32"/>
      <c r="AA10" s="32"/>
      <c r="AB10" s="32"/>
      <c r="AC10" s="32"/>
      <c r="AD10" s="32"/>
      <c r="AE10" s="32"/>
      <c r="AF10" s="29"/>
      <c r="AI10" s="1" t="s">
        <v>588</v>
      </c>
    </row>
    <row r="11" spans="1:105" x14ac:dyDescent="0.25">
      <c r="A11" s="30"/>
      <c r="B11" s="75" t="str">
        <f>IF($A$2="","Annual expenses","")</f>
        <v>Annual expenses</v>
      </c>
      <c r="C11" s="75"/>
      <c r="D11" s="75"/>
      <c r="E11" s="75"/>
      <c r="F11" s="75"/>
      <c r="G11" s="75"/>
      <c r="H11" s="75"/>
      <c r="I11" s="51">
        <f>IF($A$2="",VLOOKUP($G$1,Data!$D:$AA,21,FALSE),"")</f>
        <v>29131</v>
      </c>
      <c r="J11" s="51"/>
      <c r="K11" s="51"/>
      <c r="L11" s="51"/>
      <c r="M11" s="51">
        <f>IF($A$2="",VLOOKUP($G$1,Data!$D:$AA,22,FALSE),"")</f>
        <v>24231</v>
      </c>
      <c r="N11" s="51"/>
      <c r="O11" s="51"/>
      <c r="P11" s="51"/>
      <c r="Q11" s="51">
        <f>IF($A$2="",VLOOKUP($G$1,Data!$D:$AA,23,FALSE),"")</f>
        <v>26731</v>
      </c>
      <c r="R11" s="51"/>
      <c r="S11" s="51"/>
      <c r="T11" s="51"/>
      <c r="U11" s="51">
        <f>IF($A$2="",VLOOKUP($G$1,Data!$D:$AA,24,FALSE),"")</f>
        <v>21731</v>
      </c>
      <c r="V11" s="51"/>
      <c r="W11" s="51"/>
      <c r="X11" s="51"/>
      <c r="Y11" s="32"/>
      <c r="Z11" s="32"/>
      <c r="AA11" s="32"/>
      <c r="AB11" s="32"/>
      <c r="AC11" s="32"/>
      <c r="AD11" s="32"/>
      <c r="AE11" s="32"/>
      <c r="AF11" s="33"/>
      <c r="AI11" s="1" t="s">
        <v>589</v>
      </c>
    </row>
    <row r="12" spans="1:105" x14ac:dyDescent="0.25">
      <c r="A12" s="30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3"/>
      <c r="AI12" s="1" t="s">
        <v>590</v>
      </c>
    </row>
    <row r="13" spans="1:105" x14ac:dyDescent="0.25">
      <c r="A13" s="30"/>
      <c r="B13" s="60" t="str">
        <f>IF($A$2="","Write your answers in the following table. Please note that you may not need to fill all the fields.","")</f>
        <v>Write your answers in the following table. Please note that you may not need to fill all the fields.</v>
      </c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33"/>
      <c r="AI13" s="1" t="s">
        <v>591</v>
      </c>
    </row>
    <row r="14" spans="1:105" ht="15.75" customHeight="1" x14ac:dyDescent="0.25">
      <c r="A14" s="30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33"/>
      <c r="AI14" s="1" t="s">
        <v>592</v>
      </c>
    </row>
    <row r="15" spans="1:105" ht="16.5" customHeight="1" thickBot="1" x14ac:dyDescent="0.3">
      <c r="A15" s="30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3"/>
      <c r="AI15" s="1" t="s">
        <v>593</v>
      </c>
    </row>
    <row r="16" spans="1:105" ht="16.5" customHeight="1" thickBot="1" x14ac:dyDescent="0.3">
      <c r="A16" s="30"/>
      <c r="B16" s="85" t="str">
        <f>IF($A$2="","Increment Considered","")</f>
        <v>Increment Considered</v>
      </c>
      <c r="C16" s="86"/>
      <c r="D16" s="86"/>
      <c r="E16" s="86"/>
      <c r="F16" s="86"/>
      <c r="G16" s="86"/>
      <c r="H16" s="86"/>
      <c r="I16" s="86"/>
      <c r="J16" s="86"/>
      <c r="K16" s="86"/>
      <c r="L16" s="63" t="s">
        <v>588</v>
      </c>
      <c r="M16" s="63"/>
      <c r="N16" s="63"/>
      <c r="O16" s="63"/>
      <c r="P16" s="63"/>
      <c r="Q16" s="63" t="s">
        <v>586</v>
      </c>
      <c r="R16" s="63"/>
      <c r="S16" s="63"/>
      <c r="T16" s="63"/>
      <c r="U16" s="63"/>
      <c r="V16" s="63" t="s">
        <v>592</v>
      </c>
      <c r="W16" s="63"/>
      <c r="X16" s="63"/>
      <c r="Y16" s="63"/>
      <c r="Z16" s="78"/>
      <c r="AA16" s="32"/>
      <c r="AB16" s="34" t="str">
        <f>IF($A$2="","(10 pts each)","")</f>
        <v>(10 pts each)</v>
      </c>
      <c r="AC16" s="32"/>
      <c r="AD16" s="32"/>
      <c r="AE16" s="32"/>
      <c r="AF16" s="33"/>
    </row>
    <row r="17" spans="1:110" ht="15" customHeight="1" x14ac:dyDescent="0.25">
      <c r="A17" s="30"/>
      <c r="B17" s="87" t="str">
        <f>IF($A$2="","∆ Capital investment ","")</f>
        <v xml:space="preserve">∆ Capital investment </v>
      </c>
      <c r="C17" s="88"/>
      <c r="D17" s="88"/>
      <c r="E17" s="88"/>
      <c r="F17" s="88"/>
      <c r="G17" s="88"/>
      <c r="H17" s="88"/>
      <c r="I17" s="88"/>
      <c r="J17" s="88"/>
      <c r="K17" s="88"/>
      <c r="L17" s="76">
        <v>8700</v>
      </c>
      <c r="M17" s="76"/>
      <c r="N17" s="76"/>
      <c r="O17" s="76"/>
      <c r="P17" s="76"/>
      <c r="Q17" s="76">
        <v>8400</v>
      </c>
      <c r="R17" s="76"/>
      <c r="S17" s="76"/>
      <c r="T17" s="76"/>
      <c r="U17" s="76"/>
      <c r="V17" s="76">
        <v>8300</v>
      </c>
      <c r="W17" s="76"/>
      <c r="X17" s="76"/>
      <c r="Y17" s="76"/>
      <c r="Z17" s="77"/>
      <c r="AA17" s="32"/>
      <c r="AB17" s="34"/>
      <c r="AC17" s="32"/>
      <c r="AD17" s="32"/>
      <c r="AE17" s="32"/>
      <c r="AF17" s="35"/>
      <c r="CY17" s="2"/>
      <c r="CZ17" s="2"/>
      <c r="DA17" s="2"/>
      <c r="DB17" s="2"/>
      <c r="DC17" s="2"/>
      <c r="DD17" s="2"/>
      <c r="DE17" s="2"/>
      <c r="DF17" s="2"/>
    </row>
    <row r="18" spans="1:110" x14ac:dyDescent="0.25">
      <c r="A18" s="30"/>
      <c r="B18" s="67" t="str">
        <f>IF($A$2="","∆ Annual savings","")</f>
        <v>∆ Annual savings</v>
      </c>
      <c r="C18" s="68"/>
      <c r="D18" s="68"/>
      <c r="E18" s="68"/>
      <c r="F18" s="68"/>
      <c r="G18" s="68"/>
      <c r="H18" s="68"/>
      <c r="I18" s="68"/>
      <c r="J18" s="68"/>
      <c r="K18" s="69"/>
      <c r="L18" s="66">
        <v>2400</v>
      </c>
      <c r="M18" s="66"/>
      <c r="N18" s="66"/>
      <c r="O18" s="66"/>
      <c r="P18" s="66"/>
      <c r="Q18" s="66">
        <v>2500</v>
      </c>
      <c r="R18" s="66"/>
      <c r="S18" s="66"/>
      <c r="T18" s="66"/>
      <c r="U18" s="66"/>
      <c r="V18" s="66">
        <v>2500</v>
      </c>
      <c r="W18" s="66"/>
      <c r="X18" s="66"/>
      <c r="Y18" s="66"/>
      <c r="Z18" s="79"/>
      <c r="AA18" s="32"/>
      <c r="AB18" s="34"/>
      <c r="AC18" s="32"/>
      <c r="AD18" s="32"/>
      <c r="AE18" s="32"/>
      <c r="AF18" s="35"/>
      <c r="CY18" s="2"/>
      <c r="DA18" s="2"/>
      <c r="DB18" s="2"/>
      <c r="DC18" s="2"/>
      <c r="DD18" s="2"/>
      <c r="DE18" s="2"/>
      <c r="DF18" s="2"/>
    </row>
    <row r="19" spans="1:110" ht="15.75" customHeight="1" x14ac:dyDescent="0.25">
      <c r="A19" s="30"/>
      <c r="B19" s="89" t="str">
        <f>IF($A$2="","∆ Market Value","")</f>
        <v>∆ Market Value</v>
      </c>
      <c r="C19" s="75"/>
      <c r="D19" s="75"/>
      <c r="E19" s="75"/>
      <c r="F19" s="75"/>
      <c r="G19" s="75"/>
      <c r="H19" s="75"/>
      <c r="I19" s="75"/>
      <c r="J19" s="75"/>
      <c r="K19" s="75"/>
      <c r="L19" s="66">
        <v>1740</v>
      </c>
      <c r="M19" s="66"/>
      <c r="N19" s="66"/>
      <c r="O19" s="66"/>
      <c r="P19" s="66"/>
      <c r="Q19" s="66">
        <v>1680</v>
      </c>
      <c r="R19" s="66"/>
      <c r="S19" s="66"/>
      <c r="T19" s="66"/>
      <c r="U19" s="66"/>
      <c r="V19" s="66">
        <v>1660</v>
      </c>
      <c r="W19" s="66"/>
      <c r="X19" s="66"/>
      <c r="Y19" s="66"/>
      <c r="Z19" s="79"/>
      <c r="AA19" s="32"/>
      <c r="AB19" s="34" t="str">
        <f t="shared" ref="AB19" si="0">IF($A$2="","(2 pts each)","")</f>
        <v>(2 pts each)</v>
      </c>
      <c r="AC19" s="32"/>
      <c r="AD19" s="32"/>
      <c r="AE19" s="32"/>
      <c r="AF19" s="33"/>
      <c r="CY19" s="2"/>
      <c r="DA19" s="2"/>
      <c r="DB19" s="2"/>
      <c r="DC19" s="2"/>
      <c r="DD19" s="2"/>
      <c r="DE19" s="2"/>
      <c r="DF19" s="2"/>
    </row>
    <row r="20" spans="1:110" x14ac:dyDescent="0.25">
      <c r="A20" s="30"/>
      <c r="B20" s="89" t="str">
        <f>IF($A$2="","Useful life (years)","")</f>
        <v>Useful life (years)</v>
      </c>
      <c r="C20" s="75"/>
      <c r="D20" s="75"/>
      <c r="E20" s="75"/>
      <c r="F20" s="75"/>
      <c r="G20" s="75"/>
      <c r="H20" s="75"/>
      <c r="I20" s="75"/>
      <c r="J20" s="75"/>
      <c r="K20" s="75"/>
      <c r="L20" s="93">
        <v>5</v>
      </c>
      <c r="M20" s="93"/>
      <c r="N20" s="93"/>
      <c r="O20" s="93"/>
      <c r="P20" s="93"/>
      <c r="Q20" s="93">
        <v>5</v>
      </c>
      <c r="R20" s="93"/>
      <c r="S20" s="93"/>
      <c r="T20" s="93"/>
      <c r="U20" s="93"/>
      <c r="V20" s="93">
        <v>5</v>
      </c>
      <c r="W20" s="93"/>
      <c r="X20" s="93"/>
      <c r="Y20" s="93"/>
      <c r="Z20" s="94"/>
      <c r="AA20" s="32"/>
      <c r="AB20" s="34"/>
      <c r="AC20" s="32"/>
      <c r="AD20" s="32"/>
      <c r="AE20" s="32"/>
      <c r="AF20" s="33"/>
      <c r="CY20" s="3"/>
      <c r="DA20" s="3"/>
      <c r="DB20" s="3"/>
      <c r="DC20" s="3"/>
      <c r="DD20" s="3"/>
      <c r="DE20" s="2"/>
      <c r="DF20" s="2"/>
    </row>
    <row r="21" spans="1:110" ht="15.75" customHeight="1" x14ac:dyDescent="0.25">
      <c r="A21" s="30"/>
      <c r="B21" s="72" t="str">
        <f>IF($A$2="","IRR (%)","")</f>
        <v>IRR (%)</v>
      </c>
      <c r="C21" s="73"/>
      <c r="D21" s="73"/>
      <c r="E21" s="73"/>
      <c r="F21" s="73"/>
      <c r="G21" s="73"/>
      <c r="H21" s="73"/>
      <c r="I21" s="73"/>
      <c r="J21" s="73"/>
      <c r="K21" s="73"/>
      <c r="L21" s="74">
        <v>15.94</v>
      </c>
      <c r="M21" s="74"/>
      <c r="N21" s="74"/>
      <c r="O21" s="74"/>
      <c r="P21" s="74"/>
      <c r="Q21" s="74">
        <v>18.742000000000001</v>
      </c>
      <c r="R21" s="74"/>
      <c r="S21" s="74"/>
      <c r="T21" s="74"/>
      <c r="U21" s="74"/>
      <c r="V21" s="74">
        <v>19.199000000000002</v>
      </c>
      <c r="W21" s="74"/>
      <c r="X21" s="74"/>
      <c r="Y21" s="74"/>
      <c r="Z21" s="90"/>
      <c r="AA21" s="32"/>
      <c r="AB21" s="34"/>
      <c r="AC21" s="32"/>
      <c r="AD21" s="32"/>
      <c r="AE21" s="32"/>
      <c r="AF21" s="33"/>
      <c r="CY21" s="4"/>
      <c r="DA21" s="4"/>
      <c r="DB21" s="4"/>
      <c r="DC21" s="4"/>
      <c r="DD21" s="4"/>
      <c r="DE21" s="2"/>
      <c r="DF21" s="2"/>
    </row>
    <row r="22" spans="1:110" ht="16.5" thickBot="1" x14ac:dyDescent="0.3">
      <c r="A22" s="36"/>
      <c r="B22" s="70" t="str">
        <f>IF($A$2="","Is increment justified?","")</f>
        <v>Is increment justified?</v>
      </c>
      <c r="C22" s="71"/>
      <c r="D22" s="71"/>
      <c r="E22" s="71"/>
      <c r="F22" s="71"/>
      <c r="G22" s="71"/>
      <c r="H22" s="71"/>
      <c r="I22" s="71"/>
      <c r="J22" s="71"/>
      <c r="K22" s="71"/>
      <c r="L22" s="91" t="s">
        <v>595</v>
      </c>
      <c r="M22" s="91"/>
      <c r="N22" s="91"/>
      <c r="O22" s="91"/>
      <c r="P22" s="91"/>
      <c r="Q22" s="91" t="s">
        <v>595</v>
      </c>
      <c r="R22" s="91"/>
      <c r="S22" s="91"/>
      <c r="T22" s="91"/>
      <c r="U22" s="91"/>
      <c r="V22" s="91" t="s">
        <v>595</v>
      </c>
      <c r="W22" s="91"/>
      <c r="X22" s="91"/>
      <c r="Y22" s="91"/>
      <c r="Z22" s="92"/>
      <c r="AA22" s="32"/>
      <c r="AB22" s="34"/>
      <c r="AC22" s="32"/>
      <c r="AD22" s="32"/>
      <c r="AE22" s="32"/>
      <c r="AF22" s="33"/>
      <c r="CY22" s="4"/>
      <c r="DA22" s="4"/>
      <c r="DB22" s="4"/>
      <c r="DC22" s="4"/>
      <c r="DD22" s="4"/>
      <c r="DE22" s="2"/>
      <c r="DF22" s="2"/>
    </row>
    <row r="23" spans="1:110" ht="15.75" customHeight="1" x14ac:dyDescent="0.25">
      <c r="A23" s="36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3"/>
      <c r="CY23" s="4"/>
      <c r="DA23" s="4"/>
      <c r="DB23" s="4"/>
      <c r="DC23" s="4"/>
      <c r="DD23" s="4"/>
      <c r="DE23" s="2"/>
      <c r="DF23" s="2"/>
    </row>
    <row r="24" spans="1:110" ht="15.75" customHeight="1" x14ac:dyDescent="0.25">
      <c r="A24" s="36"/>
      <c r="B24" s="64" t="str">
        <f>IF($A$2="","What is the base alternative?","")</f>
        <v>What is the base alternative?</v>
      </c>
      <c r="C24" s="64"/>
      <c r="D24" s="64"/>
      <c r="E24" s="64"/>
      <c r="F24" s="64"/>
      <c r="G24" s="64"/>
      <c r="H24" s="64"/>
      <c r="I24" s="64"/>
      <c r="J24" s="64"/>
      <c r="K24" s="64"/>
      <c r="L24" s="65" t="s">
        <v>3</v>
      </c>
      <c r="M24" s="65"/>
      <c r="N24" s="65"/>
      <c r="O24" s="34" t="str">
        <f>IF($A$2="","(5 pts)","")</f>
        <v>(5 pts)</v>
      </c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3"/>
      <c r="CY24" s="4"/>
      <c r="DA24" s="4"/>
      <c r="DB24" s="4"/>
      <c r="DC24" s="4"/>
      <c r="DD24" s="4"/>
      <c r="DE24" s="2"/>
      <c r="DF24" s="2"/>
    </row>
    <row r="25" spans="1:110" ht="15.75" customHeight="1" x14ac:dyDescent="0.25">
      <c r="A25" s="30"/>
      <c r="B25" s="64" t="str">
        <f>IF($A$2="","What is the best alternative?","")</f>
        <v>What is the best alternative?</v>
      </c>
      <c r="C25" s="64"/>
      <c r="D25" s="64"/>
      <c r="E25" s="64"/>
      <c r="F25" s="64"/>
      <c r="G25" s="64"/>
      <c r="H25" s="64"/>
      <c r="I25" s="64"/>
      <c r="J25" s="64"/>
      <c r="K25" s="64"/>
      <c r="L25" s="65" t="s">
        <v>6</v>
      </c>
      <c r="M25" s="65"/>
      <c r="N25" s="65"/>
      <c r="O25" s="34" t="str">
        <f>IF($A$2="","(5 pts)","")</f>
        <v>(5 pts)</v>
      </c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3"/>
      <c r="CY25" s="5"/>
      <c r="DA25" s="5"/>
      <c r="DB25" s="5"/>
      <c r="DC25" s="5"/>
      <c r="DD25" s="5"/>
      <c r="DE25" s="2"/>
      <c r="DF25" s="2"/>
    </row>
    <row r="26" spans="1:110" ht="15.75" customHeight="1" x14ac:dyDescent="0.25">
      <c r="A26" s="30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29"/>
      <c r="CY26" s="4"/>
      <c r="DA26" s="4"/>
      <c r="DB26" s="4"/>
      <c r="DC26" s="4"/>
      <c r="DD26" s="4"/>
      <c r="DE26" s="2"/>
      <c r="DF26" s="2"/>
    </row>
    <row r="27" spans="1:110" ht="15.75" customHeight="1" x14ac:dyDescent="0.25">
      <c r="A27" s="28" t="str">
        <f>IF($A$2="","2)","")</f>
        <v>2)</v>
      </c>
      <c r="B27" s="60" t="str">
        <f>IF($A$2="","Annual expenses for two alternatives have been estimated as follows: ","")</f>
        <v xml:space="preserve">Annual expenses for two alternatives have been estimated as follows: </v>
      </c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29"/>
      <c r="CY27" s="4"/>
      <c r="DA27" s="4"/>
      <c r="DB27" s="4"/>
      <c r="DC27" s="4"/>
      <c r="DD27" s="4"/>
      <c r="DE27" s="2"/>
      <c r="DF27" s="2"/>
    </row>
    <row r="28" spans="1:110" ht="15.75" customHeight="1" x14ac:dyDescent="0.25">
      <c r="A28" s="3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33"/>
      <c r="CY28" s="4"/>
      <c r="DA28" s="4"/>
      <c r="DB28" s="4"/>
      <c r="DC28" s="4"/>
      <c r="DD28" s="4"/>
      <c r="DE28" s="2"/>
      <c r="DF28" s="2"/>
    </row>
    <row r="29" spans="1:110" x14ac:dyDescent="0.25">
      <c r="A29" s="30"/>
      <c r="B29" s="96" t="str">
        <f>IF($A$2="","End of Year","")</f>
        <v>End of Year</v>
      </c>
      <c r="C29" s="97"/>
      <c r="D29" s="97"/>
      <c r="E29" s="97"/>
      <c r="F29" s="97"/>
      <c r="G29" s="97"/>
      <c r="H29" s="97"/>
      <c r="I29" s="82" t="str">
        <f>IF($A$2="","Alternative A","")</f>
        <v>Alternative A</v>
      </c>
      <c r="J29" s="83"/>
      <c r="K29" s="83"/>
      <c r="L29" s="83"/>
      <c r="M29" s="83"/>
      <c r="N29" s="83"/>
      <c r="O29" s="83"/>
      <c r="P29" s="83"/>
      <c r="Q29" s="83"/>
      <c r="R29" s="83"/>
      <c r="S29" s="84"/>
      <c r="T29" s="82" t="str">
        <f>IF($A$2="","Alternative B","")</f>
        <v>Alternative B</v>
      </c>
      <c r="U29" s="83"/>
      <c r="V29" s="83"/>
      <c r="W29" s="83"/>
      <c r="X29" s="83"/>
      <c r="Y29" s="83"/>
      <c r="Z29" s="83"/>
      <c r="AA29" s="83"/>
      <c r="AB29" s="83"/>
      <c r="AC29" s="83"/>
      <c r="AD29" s="84"/>
      <c r="AE29" s="37"/>
      <c r="AF29" s="33"/>
      <c r="CY29" s="4"/>
      <c r="DA29" s="4"/>
      <c r="DB29" s="4"/>
      <c r="DC29" s="4"/>
      <c r="DD29" s="4"/>
      <c r="DE29" s="2"/>
      <c r="DF29" s="2"/>
    </row>
    <row r="30" spans="1:110" x14ac:dyDescent="0.25">
      <c r="A30" s="30"/>
      <c r="B30" s="98"/>
      <c r="C30" s="99"/>
      <c r="D30" s="99"/>
      <c r="E30" s="99"/>
      <c r="F30" s="99"/>
      <c r="G30" s="99"/>
      <c r="H30" s="99"/>
      <c r="I30" s="106" t="str">
        <f>IF($A$2="","Annual Expenses Estimated in Actual Dollars ($)","")</f>
        <v>Annual Expenses Estimated in Actual Dollars ($)</v>
      </c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 t="str">
        <f>IF($A$2="","Annual Expenses Estimated in Real Dollars ($)","")</f>
        <v>Annual Expenses Estimated in Real Dollars ($)</v>
      </c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32"/>
      <c r="AF30" s="33"/>
      <c r="CY30" s="4"/>
      <c r="DA30" s="4"/>
      <c r="DB30" s="4"/>
      <c r="DC30" s="4"/>
      <c r="DD30" s="4"/>
      <c r="DE30" s="2"/>
      <c r="DF30" s="2"/>
    </row>
    <row r="31" spans="1:110" ht="15.75" customHeight="1" x14ac:dyDescent="0.25">
      <c r="A31" s="30"/>
      <c r="B31" s="100"/>
      <c r="C31" s="101"/>
      <c r="D31" s="101"/>
      <c r="E31" s="101"/>
      <c r="F31" s="101"/>
      <c r="G31" s="101"/>
      <c r="H31" s="101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32"/>
      <c r="AF31" s="33"/>
      <c r="CY31" s="4"/>
      <c r="DA31" s="4"/>
      <c r="DB31" s="4"/>
      <c r="DC31" s="4"/>
      <c r="DD31" s="4"/>
      <c r="DE31" s="2"/>
      <c r="DF31" s="2"/>
    </row>
    <row r="32" spans="1:110" x14ac:dyDescent="0.25">
      <c r="A32" s="30"/>
      <c r="B32" s="95" t="str">
        <f>IF($A$2="","1","")</f>
        <v>1</v>
      </c>
      <c r="C32" s="95"/>
      <c r="D32" s="95"/>
      <c r="E32" s="95"/>
      <c r="F32" s="95"/>
      <c r="G32" s="95"/>
      <c r="H32" s="95"/>
      <c r="I32" s="105">
        <f>IF($A$2="",VLOOKUP($G$1,Data!$D:$AK,25,FALSE),"")</f>
        <v>108000</v>
      </c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>
        <f>IF($A$2="",VLOOKUP($G$1,Data!$D:$AK,29,FALSE),"")</f>
        <v>104500</v>
      </c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32"/>
      <c r="AF32" s="33"/>
      <c r="CY32" s="4"/>
      <c r="DA32" s="4"/>
      <c r="DB32" s="4"/>
      <c r="DC32" s="4"/>
      <c r="DD32" s="4"/>
      <c r="DE32" s="2"/>
      <c r="DF32" s="2"/>
    </row>
    <row r="33" spans="1:110" x14ac:dyDescent="0.25">
      <c r="A33" s="30"/>
      <c r="B33" s="95" t="str">
        <f>IF($A$2="","2","")</f>
        <v>2</v>
      </c>
      <c r="C33" s="95"/>
      <c r="D33" s="95"/>
      <c r="E33" s="95"/>
      <c r="F33" s="95"/>
      <c r="G33" s="95"/>
      <c r="H33" s="95"/>
      <c r="I33" s="105">
        <f>IF($A$2="",VLOOKUP($G$1,Data!$D:$AK,26,FALSE),"")</f>
        <v>112000</v>
      </c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>
        <f>IF($A$2="",VLOOKUP($G$1,Data!$D:$AK,30,FALSE),"")</f>
        <v>108000</v>
      </c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32"/>
      <c r="AF33" s="33"/>
      <c r="CY33" s="2"/>
      <c r="CZ33" s="2"/>
      <c r="DA33" s="2"/>
      <c r="DB33" s="2"/>
      <c r="DC33" s="2"/>
      <c r="DD33" s="2"/>
      <c r="DE33" s="2"/>
      <c r="DF33" s="2"/>
    </row>
    <row r="34" spans="1:110" x14ac:dyDescent="0.25">
      <c r="A34" s="30"/>
      <c r="B34" s="95" t="str">
        <f>IF($A$2="","3","")</f>
        <v>3</v>
      </c>
      <c r="C34" s="95"/>
      <c r="D34" s="95"/>
      <c r="E34" s="95"/>
      <c r="F34" s="95"/>
      <c r="G34" s="95"/>
      <c r="H34" s="95"/>
      <c r="I34" s="105">
        <f>IF($A$2="",VLOOKUP($G$1,Data!$D:$AK,27,FALSE),"")</f>
        <v>109000</v>
      </c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>
        <f>IF($A$2="",VLOOKUP($G$1,Data!$D:$AK,31,FALSE),"")</f>
        <v>107500</v>
      </c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32"/>
      <c r="AF34" s="33"/>
      <c r="CY34" s="2"/>
      <c r="CZ34" s="2"/>
      <c r="DA34" s="2"/>
      <c r="DB34" s="2"/>
      <c r="DC34" s="2"/>
      <c r="DD34" s="2"/>
      <c r="DE34" s="2"/>
      <c r="DF34" s="2"/>
    </row>
    <row r="35" spans="1:110" x14ac:dyDescent="0.25">
      <c r="A35" s="30"/>
      <c r="B35" s="95" t="str">
        <f>IF($A$2="","4","")</f>
        <v>4</v>
      </c>
      <c r="C35" s="95"/>
      <c r="D35" s="95"/>
      <c r="E35" s="95"/>
      <c r="F35" s="95"/>
      <c r="G35" s="95"/>
      <c r="H35" s="95"/>
      <c r="I35" s="105">
        <f>IF($A$2="",VLOOKUP($G$1,Data!$D:$AK,28,FALSE),"")</f>
        <v>111000</v>
      </c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>
        <f>IF($A$2="",VLOOKUP($G$1,Data!$D:$AK,32,FALSE),"")</f>
        <v>109000</v>
      </c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32"/>
      <c r="AF35" s="33"/>
    </row>
    <row r="36" spans="1:110" x14ac:dyDescent="0.25">
      <c r="A36" s="30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3"/>
    </row>
    <row r="37" spans="1:110" ht="15.75" customHeight="1" x14ac:dyDescent="0.25">
      <c r="A37" s="30"/>
      <c r="B37" s="34" t="str">
        <f>IF($A$2="","a)","")</f>
        <v>a)</v>
      </c>
      <c r="C37" s="60" t="str">
        <f>IF($A$2="","If the average general price inflation rate is expected to be "&amp;VLOOKUP($G$1,Data!$D:$AK,33,FALSE)&amp;"% per year and the real rate of interest is "&amp;VLOOKUP($G$1,Data!$D:$AK,34,FALSE)&amp;"% per year, what is the value of the market interest rate?","")</f>
        <v>If the average general price inflation rate is expected to be 3.4% per year and the real rate of interest is 9.8% per year, what is the value of the market interest rate?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37"/>
      <c r="Y37" s="102"/>
      <c r="Z37" s="102"/>
      <c r="AA37" s="102"/>
      <c r="AB37" s="102"/>
      <c r="AC37" s="80" t="str">
        <f>IF($A$2="","(10 pts)","")</f>
        <v>(10 pts)</v>
      </c>
      <c r="AD37" s="81"/>
      <c r="AE37" s="81"/>
      <c r="AF37" s="38"/>
    </row>
    <row r="38" spans="1:110" x14ac:dyDescent="0.25">
      <c r="A38" s="30"/>
      <c r="B38" s="37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37"/>
      <c r="Y38" s="37"/>
      <c r="Z38" s="37"/>
      <c r="AA38" s="37"/>
      <c r="AB38" s="37"/>
      <c r="AC38" s="37"/>
      <c r="AD38" s="37"/>
      <c r="AE38" s="37"/>
      <c r="AF38" s="33"/>
    </row>
    <row r="39" spans="1:110" x14ac:dyDescent="0.25">
      <c r="A39" s="30"/>
      <c r="B39" s="32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32"/>
      <c r="Y39" s="32"/>
      <c r="Z39" s="32"/>
      <c r="AA39" s="32"/>
      <c r="AB39" s="32"/>
      <c r="AC39" s="32"/>
      <c r="AD39" s="32"/>
      <c r="AE39" s="32"/>
      <c r="AF39" s="33"/>
    </row>
    <row r="40" spans="1:110" x14ac:dyDescent="0.25">
      <c r="A40" s="30"/>
      <c r="B40" s="32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2"/>
      <c r="Y40" s="32"/>
      <c r="Z40" s="32"/>
      <c r="AA40" s="32"/>
      <c r="AB40" s="32"/>
      <c r="AC40" s="32"/>
      <c r="AD40" s="32"/>
      <c r="AE40" s="32"/>
      <c r="AF40" s="33"/>
    </row>
    <row r="41" spans="1:110" ht="15.75" customHeight="1" x14ac:dyDescent="0.25">
      <c r="A41" s="30"/>
      <c r="B41" s="34" t="str">
        <f>IF($A$2="","b)","")</f>
        <v>b)</v>
      </c>
      <c r="C41" s="60" t="str">
        <f>IF($A$2="","What is the PW of alternative A?","")</f>
        <v>What is the PW of alternative A?</v>
      </c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34" t="str">
        <f>IF($A$2="","c)","")</f>
        <v>c)</v>
      </c>
      <c r="Q41" s="60" t="str">
        <f>IF($A$2="","What is the PW of alternative B?","")</f>
        <v>What is the PW of alternative B?</v>
      </c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40"/>
      <c r="AE41" s="40"/>
      <c r="AF41" s="41"/>
    </row>
    <row r="42" spans="1:110" ht="15.75" customHeight="1" x14ac:dyDescent="0.25">
      <c r="A42" s="30"/>
      <c r="B42" s="32"/>
      <c r="C42" s="104"/>
      <c r="D42" s="104"/>
      <c r="E42" s="104"/>
      <c r="F42" s="104"/>
      <c r="G42" s="104"/>
      <c r="H42" s="104"/>
      <c r="I42" s="103" t="str">
        <f>IF($A$2="","(5 pts)","")</f>
        <v>(5 pts)</v>
      </c>
      <c r="J42" s="103"/>
      <c r="K42" s="103"/>
      <c r="L42" s="103"/>
      <c r="M42" s="32"/>
      <c r="N42" s="32"/>
      <c r="O42" s="32"/>
      <c r="P42" s="32"/>
      <c r="Q42" s="104"/>
      <c r="R42" s="104"/>
      <c r="S42" s="104"/>
      <c r="T42" s="104"/>
      <c r="U42" s="104"/>
      <c r="V42" s="104"/>
      <c r="W42" s="103" t="str">
        <f>IF($A$2="","(5 pts)","")</f>
        <v>(5 pts)</v>
      </c>
      <c r="X42" s="103"/>
      <c r="Y42" s="103"/>
      <c r="Z42" s="103"/>
      <c r="AA42" s="32"/>
      <c r="AB42" s="32"/>
      <c r="AC42" s="32"/>
      <c r="AD42" s="42"/>
      <c r="AE42" s="42"/>
      <c r="AF42" s="43"/>
    </row>
    <row r="43" spans="1:110" x14ac:dyDescent="0.25">
      <c r="A43" s="30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7"/>
      <c r="U43" s="37"/>
      <c r="V43" s="37"/>
      <c r="W43" s="37"/>
      <c r="X43" s="44"/>
      <c r="Y43" s="44"/>
      <c r="Z43" s="44"/>
      <c r="AA43" s="44"/>
      <c r="AB43" s="44"/>
      <c r="AC43" s="32"/>
      <c r="AD43" s="32"/>
      <c r="AE43" s="32"/>
      <c r="AF43" s="33"/>
    </row>
    <row r="44" spans="1:110" ht="15.75" customHeight="1" x14ac:dyDescent="0.25">
      <c r="A44" s="30"/>
      <c r="B44" s="34" t="str">
        <f>IF($A$2="","d)","")</f>
        <v>d)</v>
      </c>
      <c r="C44" s="60" t="str">
        <f>IF($A$2="","Which alternative will be selected?","")</f>
        <v>Which alternative will be selected?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5" t="s">
        <v>596</v>
      </c>
      <c r="Q44" s="65"/>
      <c r="R44" s="65"/>
      <c r="S44" s="103" t="str">
        <f>IF($A$2="","(4 pts)","")</f>
        <v>(4 pts)</v>
      </c>
      <c r="T44" s="103"/>
      <c r="U44" s="103"/>
      <c r="V44" s="103"/>
      <c r="W44" s="39"/>
      <c r="X44" s="32"/>
      <c r="Y44" s="32"/>
      <c r="Z44" s="32"/>
      <c r="AA44" s="32"/>
      <c r="AB44" s="32"/>
      <c r="AC44" s="32"/>
      <c r="AD44" s="32"/>
      <c r="AE44" s="32"/>
      <c r="AF44" s="33"/>
    </row>
    <row r="45" spans="1:110" x14ac:dyDescent="0.25">
      <c r="A45" s="30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3"/>
    </row>
    <row r="46" spans="1:110" ht="16.5" thickBot="1" x14ac:dyDescent="0.3">
      <c r="A46" s="45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7"/>
    </row>
    <row r="47" spans="1:110" hidden="1" x14ac:dyDescent="0.25"/>
    <row r="48" spans="1:110" ht="15.75" hidden="1" customHeight="1" x14ac:dyDescent="0.25"/>
  </sheetData>
  <sheetProtection algorithmName="SHA-512" hashValue="5wcYrCRwTgOeB1ubxjWgOQf+3Ug5bAAEqjt5eU9QLeCdkif13OfKeFMaYCj/LDPn7OmZWBYQj4zWR5cbpA/BcA==" saltValue="wcLZ4yK1Qcg9ep3vHzcTPA==" spinCount="100000" sheet="1" objects="1" scenarios="1" selectLockedCells="1"/>
  <mergeCells count="84">
    <mergeCell ref="C41:O41"/>
    <mergeCell ref="Q41:AC41"/>
    <mergeCell ref="Q42:V42"/>
    <mergeCell ref="W42:Z42"/>
    <mergeCell ref="B7:G7"/>
    <mergeCell ref="T32:AD32"/>
    <mergeCell ref="T33:AD33"/>
    <mergeCell ref="T34:AD34"/>
    <mergeCell ref="T35:AD35"/>
    <mergeCell ref="B35:H35"/>
    <mergeCell ref="I32:S32"/>
    <mergeCell ref="I33:S33"/>
    <mergeCell ref="I34:S34"/>
    <mergeCell ref="I35:S35"/>
    <mergeCell ref="I30:S31"/>
    <mergeCell ref="T30:AD31"/>
    <mergeCell ref="C44:O44"/>
    <mergeCell ref="P44:R44"/>
    <mergeCell ref="S44:V44"/>
    <mergeCell ref="I42:L42"/>
    <mergeCell ref="C42:H42"/>
    <mergeCell ref="B34:H34"/>
    <mergeCell ref="B29:H31"/>
    <mergeCell ref="Y37:AB37"/>
    <mergeCell ref="C37:W39"/>
    <mergeCell ref="B32:H32"/>
    <mergeCell ref="B33:H33"/>
    <mergeCell ref="AC37:AE37"/>
    <mergeCell ref="B27:AE28"/>
    <mergeCell ref="I29:S29"/>
    <mergeCell ref="T29:AD29"/>
    <mergeCell ref="B16:K16"/>
    <mergeCell ref="B17:K17"/>
    <mergeCell ref="B20:K20"/>
    <mergeCell ref="B19:K19"/>
    <mergeCell ref="Q21:U21"/>
    <mergeCell ref="V21:Z21"/>
    <mergeCell ref="L22:P22"/>
    <mergeCell ref="Q22:U22"/>
    <mergeCell ref="V22:Z22"/>
    <mergeCell ref="L20:P20"/>
    <mergeCell ref="Q20:U20"/>
    <mergeCell ref="V20:Z20"/>
    <mergeCell ref="V18:Z18"/>
    <mergeCell ref="Q19:U19"/>
    <mergeCell ref="V19:Z19"/>
    <mergeCell ref="U10:X10"/>
    <mergeCell ref="Q11:T11"/>
    <mergeCell ref="Q10:T10"/>
    <mergeCell ref="B13:AE14"/>
    <mergeCell ref="B11:H11"/>
    <mergeCell ref="L16:P16"/>
    <mergeCell ref="L17:P17"/>
    <mergeCell ref="Q17:U17"/>
    <mergeCell ref="V17:Z17"/>
    <mergeCell ref="V16:Z16"/>
    <mergeCell ref="Q16:U16"/>
    <mergeCell ref="B25:K25"/>
    <mergeCell ref="B24:K24"/>
    <mergeCell ref="L24:N24"/>
    <mergeCell ref="L25:N25"/>
    <mergeCell ref="L18:P18"/>
    <mergeCell ref="B18:K18"/>
    <mergeCell ref="L19:P19"/>
    <mergeCell ref="B22:K22"/>
    <mergeCell ref="B21:K21"/>
    <mergeCell ref="L21:P21"/>
    <mergeCell ref="Q18:U18"/>
    <mergeCell ref="M11:P11"/>
    <mergeCell ref="M10:P10"/>
    <mergeCell ref="M9:P9"/>
    <mergeCell ref="G1:AF1"/>
    <mergeCell ref="A2:AF2"/>
    <mergeCell ref="A3:AE3"/>
    <mergeCell ref="B4:AE6"/>
    <mergeCell ref="A1:F1"/>
    <mergeCell ref="Q9:T9"/>
    <mergeCell ref="U11:X11"/>
    <mergeCell ref="U9:X9"/>
    <mergeCell ref="B10:H10"/>
    <mergeCell ref="B9:H9"/>
    <mergeCell ref="I9:L9"/>
    <mergeCell ref="I11:L11"/>
    <mergeCell ref="I10:L10"/>
  </mergeCells>
  <conditionalFormatting sqref="B4:AE45">
    <cfRule type="expression" dxfId="0" priority="15">
      <formula>$A$2&lt;&gt;""</formula>
    </cfRule>
  </conditionalFormatting>
  <dataValidations count="7">
    <dataValidation type="list" allowBlank="1" showInputMessage="1" showErrorMessage="1" sqref="L22:Z22 DA26:DD26 CY26">
      <formula1>"Yes,No"</formula1>
    </dataValidation>
    <dataValidation type="decimal" allowBlank="1" showInputMessage="1" showErrorMessage="1" sqref="L21:Z21">
      <formula1>1</formula1>
      <formula2>100</formula2>
    </dataValidation>
    <dataValidation type="custom" allowBlank="1" showInputMessage="1" showErrorMessage="1" errorTitle="Incorrect Input" error="Enter a valid numeric value." sqref="L17:Z20">
      <formula1>ISNUMBER(L17)</formula1>
    </dataValidation>
    <dataValidation type="decimal" allowBlank="1" showInputMessage="1" showErrorMessage="1" errorTitle="Incorrect Input" error="Enter a valid numeric value." sqref="Y37:AB37">
      <formula1>0</formula1>
      <formula2>1</formula2>
    </dataValidation>
    <dataValidation type="list" allowBlank="1" showInputMessage="1" showErrorMessage="1" sqref="P44:R44">
      <formula1>"A,B"</formula1>
    </dataValidation>
    <dataValidation type="decimal" allowBlank="1" showInputMessage="1" showErrorMessage="1" errorTitle="Incorrect Input" error="Enter a valid numeric value." sqref="Q42:V42 C42:H42">
      <formula1>-1000000</formula1>
      <formula2>1000000</formula2>
    </dataValidation>
    <dataValidation type="list" allowBlank="1" showInputMessage="1" showErrorMessage="1" sqref="L16:Z16">
      <formula1>$AI$4:$AI$15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Data!$L$3:$O$3</xm:f>
          </x14:formula1>
          <xm:sqref>L24:N25</xm:sqref>
        </x14:dataValidation>
        <x14:dataValidation type="list" allowBlank="1" showInputMessage="1" showErrorMessage="1" errorTitle="Wrong Input" error="Please select your information from the list. DO NO WRITE YOUR NAME or ID MANUALLY!">
          <x14:formula1>
            <xm:f>INDIRECT("Data!$D$4:$D$"&amp;Data!$A$1)</xm:f>
          </x14:formula1>
          <xm:sqref>G1:AF1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322"/>
  <sheetViews>
    <sheetView topLeftCell="A3" zoomScaleNormal="100" workbookViewId="0">
      <selection activeCell="C3" sqref="C3"/>
    </sheetView>
  </sheetViews>
  <sheetFormatPr defaultRowHeight="15" x14ac:dyDescent="0.25"/>
  <cols>
    <col min="1" max="1" width="13.85546875" bestFit="1" customWidth="1"/>
    <col min="2" max="2" width="23.42578125" bestFit="1" customWidth="1"/>
    <col min="3" max="3" width="10" bestFit="1" customWidth="1"/>
    <col min="4" max="4" width="45.5703125" bestFit="1" customWidth="1"/>
    <col min="5" max="5" width="3.5703125" bestFit="1" customWidth="1"/>
    <col min="7" max="7" width="6" bestFit="1" customWidth="1"/>
    <col min="8" max="28" width="9.140625" customWidth="1"/>
    <col min="29" max="49" width="8.42578125" customWidth="1"/>
    <col min="50" max="51" width="2" customWidth="1"/>
    <col min="52" max="53" width="11.7109375" style="6" customWidth="1"/>
    <col min="54" max="54" width="13" style="6" customWidth="1"/>
    <col min="55" max="55" width="8.85546875" style="6" customWidth="1"/>
    <col min="56" max="56" width="10.5703125" style="6" customWidth="1"/>
    <col min="57" max="64" width="10.5703125" style="6" hidden="1" customWidth="1"/>
    <col min="65" max="65" width="7.28515625" style="6" customWidth="1"/>
    <col min="66" max="66" width="12.5703125" style="6" customWidth="1"/>
    <col min="67" max="68" width="2" style="6" hidden="1" customWidth="1"/>
    <col min="69" max="70" width="11.7109375" style="6" customWidth="1"/>
    <col min="71" max="71" width="13" style="6" customWidth="1"/>
    <col min="72" max="72" width="8.85546875" style="6" customWidth="1"/>
    <col min="73" max="73" width="10.5703125" style="6" customWidth="1"/>
    <col min="74" max="81" width="10.5703125" style="6" hidden="1" customWidth="1"/>
    <col min="82" max="82" width="7.28515625" style="6" customWidth="1"/>
    <col min="83" max="83" width="12.5703125" style="6" customWidth="1"/>
    <col min="84" max="85" width="2" style="6" hidden="1" customWidth="1"/>
    <col min="86" max="87" width="11.7109375" style="6" customWidth="1"/>
    <col min="88" max="88" width="13" style="6" customWidth="1"/>
    <col min="89" max="89" width="8.85546875" style="6" customWidth="1"/>
    <col min="90" max="90" width="10.5703125" style="6" customWidth="1"/>
    <col min="91" max="91" width="8.42578125" style="6" hidden="1" customWidth="1"/>
    <col min="92" max="92" width="11.7109375" style="6" hidden="1" customWidth="1"/>
    <col min="93" max="98" width="0" style="6" hidden="1" customWidth="1"/>
    <col min="99" max="99" width="7.28515625" style="6" customWidth="1"/>
    <col min="100" max="100" width="12.5703125" style="6" customWidth="1"/>
  </cols>
  <sheetData>
    <row r="1" spans="1:100" x14ac:dyDescent="0.25">
      <c r="A1">
        <f>COUNTA(C4:C504)+3</f>
        <v>322</v>
      </c>
      <c r="E1" s="108" t="s">
        <v>0</v>
      </c>
      <c r="F1" s="108"/>
      <c r="G1" s="108"/>
      <c r="H1" s="108" t="s">
        <v>565</v>
      </c>
      <c r="I1" s="108"/>
      <c r="J1" s="108"/>
      <c r="K1" s="108"/>
      <c r="L1" s="108" t="s">
        <v>566</v>
      </c>
      <c r="M1" s="108"/>
      <c r="N1" s="108"/>
      <c r="O1" s="108"/>
      <c r="P1" s="108" t="s">
        <v>567</v>
      </c>
      <c r="Q1" s="108"/>
      <c r="R1" s="108"/>
      <c r="S1" s="108"/>
      <c r="T1" s="108" t="s">
        <v>566</v>
      </c>
      <c r="U1" s="108"/>
      <c r="V1" s="108"/>
      <c r="W1" s="108"/>
      <c r="X1" s="108" t="s">
        <v>567</v>
      </c>
      <c r="Y1" s="108"/>
      <c r="Z1" s="108"/>
      <c r="AA1" s="108"/>
      <c r="AB1" t="s">
        <v>568</v>
      </c>
      <c r="AZ1" s="6" t="s">
        <v>24</v>
      </c>
      <c r="BQ1" s="6" t="s">
        <v>24</v>
      </c>
      <c r="CH1" s="6" t="s">
        <v>24</v>
      </c>
    </row>
    <row r="2" spans="1:100" x14ac:dyDescent="0.25">
      <c r="A2" s="21"/>
      <c r="B2" s="21"/>
      <c r="D2" s="21" t="s">
        <v>26</v>
      </c>
      <c r="E2" s="21">
        <f ca="1">RANDBETWEEN(4,7)</f>
        <v>6</v>
      </c>
      <c r="F2" s="21">
        <f ca="1">RANDBETWEEN(1,3)</f>
        <v>1</v>
      </c>
      <c r="G2" s="21">
        <f ca="1">IF(F2=1,8,IF(F2=2,10,15))</f>
        <v>8</v>
      </c>
      <c r="H2" s="21">
        <f ca="1">RANDBETWEEN(1,10000000)</f>
        <v>7431219</v>
      </c>
      <c r="I2" s="21">
        <f t="shared" ref="I2:K2" ca="1" si="0">RANDBETWEEN(1,10000000)</f>
        <v>9157579</v>
      </c>
      <c r="J2" s="21">
        <f t="shared" ca="1" si="0"/>
        <v>8352643</v>
      </c>
      <c r="K2" s="21">
        <f t="shared" ca="1" si="0"/>
        <v>680172</v>
      </c>
      <c r="L2" s="21">
        <f>100000</f>
        <v>100000</v>
      </c>
      <c r="M2" s="21">
        <f ca="1">RANDBETWEEN(80,100)*100+L2</f>
        <v>108600</v>
      </c>
      <c r="N2" s="21">
        <f t="shared" ref="N2:O2" ca="1" si="1">RANDBETWEEN(80,100)*100+M2</f>
        <v>117900</v>
      </c>
      <c r="O2" s="21">
        <f t="shared" ca="1" si="1"/>
        <v>127000</v>
      </c>
      <c r="P2" s="21">
        <f ca="1">OFFSET($K2,,MATCH(LARGE($H2:$K2,1),$H2:$K2,0))</f>
        <v>108600</v>
      </c>
      <c r="Q2" s="21">
        <f ca="1">OFFSET($K2,,MATCH(LARGE($H2:$K2,2),$H2:$K2,0))</f>
        <v>117900</v>
      </c>
      <c r="R2" s="21">
        <f ca="1">OFFSET($K2,,MATCH(LARGE($H2:$K2,3),$H2:$K2,0))</f>
        <v>100000</v>
      </c>
      <c r="S2" s="21">
        <f ca="1">OFFSET($K2,,MATCH(LARGE($H2:$K2,4),$H2:$K2,0))</f>
        <v>127000</v>
      </c>
      <c r="T2" s="21">
        <f ca="1">RANDBETWEEN(23,29)*1000</f>
        <v>23000</v>
      </c>
      <c r="U2" s="21">
        <f ca="1">T2-RANDBETWEEN(20,25)*100</f>
        <v>20600</v>
      </c>
      <c r="V2" s="21">
        <f t="shared" ref="V2:W2" ca="1" si="2">U2-RANDBETWEEN(20,25)*100</f>
        <v>18200</v>
      </c>
      <c r="W2" s="21">
        <f t="shared" ca="1" si="2"/>
        <v>16000</v>
      </c>
      <c r="X2" s="21">
        <f ca="1">OFFSET($S2,,MATCH(LARGE($H2:$K2,1),$H2:$K2,0))</f>
        <v>20600</v>
      </c>
      <c r="Y2" s="21">
        <f ca="1">OFFSET($S2,,MATCH(LARGE($H2:$K2,2),$H2:$K2,0))</f>
        <v>18200</v>
      </c>
      <c r="Z2" s="21">
        <f ca="1">OFFSET($S2,,MATCH(LARGE($H2:$K2,3),$H2:$K2,0))</f>
        <v>23000</v>
      </c>
      <c r="AA2" s="21">
        <f ca="1">OFFSET($S2,,MATCH(LARGE($H2:$K2,4),$H2:$K2,0))</f>
        <v>16000</v>
      </c>
      <c r="AB2" s="21">
        <f ca="1">RANDBETWEEN(90,120)*1000</f>
        <v>116000</v>
      </c>
      <c r="AC2" s="21">
        <f ca="1">RANDBETWEEN(-3,4)*1000+AB2</f>
        <v>120000</v>
      </c>
      <c r="AD2" s="21">
        <f t="shared" ref="AD2:AE2" ca="1" si="3">RANDBETWEEN(-3,4)*1000+AC2</f>
        <v>119000</v>
      </c>
      <c r="AE2" s="21">
        <f t="shared" ca="1" si="3"/>
        <v>123000</v>
      </c>
      <c r="AF2" s="21">
        <f ca="1">AB2-RANDBETWEEN(3,8)*500</f>
        <v>112500</v>
      </c>
      <c r="AG2" s="21">
        <f t="shared" ref="AG2:AI2" ca="1" si="4">AC2-RANDBETWEEN(3,8)*500</f>
        <v>117000</v>
      </c>
      <c r="AH2" s="21">
        <f t="shared" ca="1" si="4"/>
        <v>117000</v>
      </c>
      <c r="AI2" s="21">
        <f t="shared" ca="1" si="4"/>
        <v>120500</v>
      </c>
      <c r="AJ2" s="26">
        <f ca="1">RANDBETWEEN(25,50)/10</f>
        <v>3.2</v>
      </c>
      <c r="AK2" s="26">
        <f ca="1">RANDBETWEEN(65,98)/10</f>
        <v>7.7</v>
      </c>
      <c r="AZ2" s="115" t="s">
        <v>20</v>
      </c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7"/>
      <c r="BQ2" s="115" t="s">
        <v>21</v>
      </c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7"/>
      <c r="CH2" s="115" t="s">
        <v>22</v>
      </c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7"/>
    </row>
    <row r="3" spans="1:100" ht="15" customHeight="1" x14ac:dyDescent="0.25">
      <c r="A3" t="s">
        <v>27</v>
      </c>
      <c r="B3" t="s">
        <v>28</v>
      </c>
      <c r="C3" t="s">
        <v>29</v>
      </c>
      <c r="D3" t="s">
        <v>30</v>
      </c>
      <c r="E3" t="s">
        <v>562</v>
      </c>
      <c r="F3" t="s">
        <v>561</v>
      </c>
      <c r="G3" t="s">
        <v>1</v>
      </c>
      <c r="L3" t="s">
        <v>3</v>
      </c>
      <c r="M3" t="s">
        <v>4</v>
      </c>
      <c r="N3" t="s">
        <v>5</v>
      </c>
      <c r="O3" t="s">
        <v>6</v>
      </c>
      <c r="P3" t="s">
        <v>7</v>
      </c>
      <c r="Q3" t="s">
        <v>8</v>
      </c>
      <c r="R3" t="s">
        <v>9</v>
      </c>
      <c r="S3" t="s">
        <v>10</v>
      </c>
      <c r="X3" t="s">
        <v>11</v>
      </c>
      <c r="Y3" t="s">
        <v>12</v>
      </c>
      <c r="Z3" t="s">
        <v>13</v>
      </c>
      <c r="AA3" t="s">
        <v>14</v>
      </c>
      <c r="AB3" t="s">
        <v>569</v>
      </c>
      <c r="AC3" t="s">
        <v>570</v>
      </c>
      <c r="AD3" t="s">
        <v>571</v>
      </c>
      <c r="AE3" t="s">
        <v>572</v>
      </c>
      <c r="AF3" t="s">
        <v>573</v>
      </c>
      <c r="AG3" t="s">
        <v>574</v>
      </c>
      <c r="AH3" t="s">
        <v>575</v>
      </c>
      <c r="AI3" t="s">
        <v>576</v>
      </c>
      <c r="AJ3" t="s">
        <v>577</v>
      </c>
      <c r="AK3" t="s">
        <v>578</v>
      </c>
      <c r="AZ3" s="109" t="s">
        <v>15</v>
      </c>
      <c r="BA3" s="111" t="s">
        <v>17</v>
      </c>
      <c r="BB3" s="111" t="s">
        <v>23</v>
      </c>
      <c r="BC3" s="111" t="s">
        <v>16</v>
      </c>
      <c r="BD3" s="111" t="s">
        <v>2</v>
      </c>
      <c r="BE3" s="9"/>
      <c r="BF3" s="9"/>
      <c r="BG3" s="9"/>
      <c r="BH3" s="9"/>
      <c r="BI3" s="9"/>
      <c r="BJ3" s="9"/>
      <c r="BK3" s="9"/>
      <c r="BL3" s="9"/>
      <c r="BM3" s="111" t="s">
        <v>18</v>
      </c>
      <c r="BN3" s="113" t="s">
        <v>19</v>
      </c>
      <c r="BO3" s="9"/>
      <c r="BP3" s="9"/>
      <c r="BQ3" s="109" t="s">
        <v>15</v>
      </c>
      <c r="BR3" s="111" t="s">
        <v>17</v>
      </c>
      <c r="BS3" s="111" t="s">
        <v>23</v>
      </c>
      <c r="BT3" s="111" t="s">
        <v>16</v>
      </c>
      <c r="BU3" s="111" t="s">
        <v>2</v>
      </c>
      <c r="BV3" s="9"/>
      <c r="BW3" s="9"/>
      <c r="BX3" s="9"/>
      <c r="BY3" s="9"/>
      <c r="BZ3" s="9"/>
      <c r="CA3" s="9"/>
      <c r="CB3" s="9"/>
      <c r="CC3" s="9"/>
      <c r="CD3" s="111" t="s">
        <v>18</v>
      </c>
      <c r="CE3" s="113" t="s">
        <v>19</v>
      </c>
      <c r="CF3" s="9"/>
      <c r="CG3" s="9"/>
      <c r="CH3" s="109" t="s">
        <v>15</v>
      </c>
      <c r="CI3" s="111" t="s">
        <v>17</v>
      </c>
      <c r="CJ3" s="111" t="s">
        <v>23</v>
      </c>
      <c r="CK3" s="111" t="s">
        <v>16</v>
      </c>
      <c r="CL3" s="111" t="s">
        <v>2</v>
      </c>
      <c r="CM3" s="10"/>
      <c r="CN3" s="10"/>
      <c r="CO3" s="10"/>
      <c r="CP3" s="10"/>
      <c r="CQ3" s="10"/>
      <c r="CR3" s="10"/>
      <c r="CS3" s="10"/>
      <c r="CT3" s="10"/>
      <c r="CU3" s="111" t="s">
        <v>18</v>
      </c>
      <c r="CV3" s="113" t="s">
        <v>19</v>
      </c>
    </row>
    <row r="4" spans="1:100" x14ac:dyDescent="0.25">
      <c r="A4" t="s">
        <v>31</v>
      </c>
      <c r="B4" t="s">
        <v>32</v>
      </c>
      <c r="C4">
        <v>115206042</v>
      </c>
      <c r="D4" t="str">
        <f t="shared" ref="D4:D67" si="5">A4&amp;", "&amp;B4&amp;"-"&amp;C4</f>
        <v>Ablak, Nida Nur-115206042</v>
      </c>
      <c r="E4" s="22">
        <v>4</v>
      </c>
      <c r="F4" s="22">
        <v>1</v>
      </c>
      <c r="G4" s="22">
        <v>8</v>
      </c>
      <c r="H4" s="22">
        <v>2899191</v>
      </c>
      <c r="I4" s="22">
        <v>9988122</v>
      </c>
      <c r="J4" s="22">
        <v>4194245</v>
      </c>
      <c r="K4" s="22">
        <v>1662037</v>
      </c>
      <c r="L4" s="22">
        <v>100000</v>
      </c>
      <c r="M4" s="22">
        <v>109300</v>
      </c>
      <c r="N4" s="22">
        <v>117600</v>
      </c>
      <c r="O4" s="22">
        <v>126800</v>
      </c>
      <c r="P4" s="22">
        <v>109300</v>
      </c>
      <c r="Q4" s="22">
        <v>117600</v>
      </c>
      <c r="R4" s="22">
        <v>100000</v>
      </c>
      <c r="S4" s="22">
        <v>126800</v>
      </c>
      <c r="T4" s="24">
        <v>27000</v>
      </c>
      <c r="U4" s="22">
        <v>26500</v>
      </c>
      <c r="V4" s="22">
        <v>24300</v>
      </c>
      <c r="W4" s="22">
        <v>22300</v>
      </c>
      <c r="X4" s="22">
        <v>26500</v>
      </c>
      <c r="Y4" s="22">
        <v>24300</v>
      </c>
      <c r="Z4" s="22">
        <v>29000</v>
      </c>
      <c r="AA4" s="22">
        <v>22300</v>
      </c>
      <c r="AB4" s="24">
        <v>93000</v>
      </c>
      <c r="AC4" s="24">
        <v>97000</v>
      </c>
      <c r="AD4" s="24">
        <v>96000</v>
      </c>
      <c r="AE4" s="24">
        <v>99000</v>
      </c>
      <c r="AF4" s="24">
        <v>90000</v>
      </c>
      <c r="AG4" s="24">
        <v>93500</v>
      </c>
      <c r="AH4" s="24">
        <v>92000</v>
      </c>
      <c r="AI4" s="24">
        <v>95500</v>
      </c>
      <c r="AJ4" s="25">
        <v>3.2</v>
      </c>
      <c r="AK4" s="25">
        <v>7.2</v>
      </c>
      <c r="AZ4" s="110"/>
      <c r="BA4" s="112"/>
      <c r="BB4" s="112"/>
      <c r="BC4" s="112"/>
      <c r="BD4" s="112"/>
      <c r="BE4" s="11"/>
      <c r="BF4" s="11"/>
      <c r="BG4" s="11"/>
      <c r="BH4" s="11"/>
      <c r="BI4" s="11"/>
      <c r="BJ4" s="11"/>
      <c r="BK4" s="11"/>
      <c r="BL4" s="11"/>
      <c r="BM4" s="112"/>
      <c r="BN4" s="114"/>
      <c r="BO4" s="11"/>
      <c r="BP4" s="11"/>
      <c r="BQ4" s="110"/>
      <c r="BR4" s="112"/>
      <c r="BS4" s="112"/>
      <c r="BT4" s="112"/>
      <c r="BU4" s="112"/>
      <c r="BV4" s="11"/>
      <c r="BW4" s="11"/>
      <c r="BX4" s="11"/>
      <c r="BY4" s="11"/>
      <c r="BZ4" s="11"/>
      <c r="CA4" s="11"/>
      <c r="CB4" s="11"/>
      <c r="CC4" s="11"/>
      <c r="CD4" s="112"/>
      <c r="CE4" s="114"/>
      <c r="CF4" s="11"/>
      <c r="CG4" s="11"/>
      <c r="CH4" s="110"/>
      <c r="CI4" s="112"/>
      <c r="CJ4" s="112"/>
      <c r="CK4" s="112"/>
      <c r="CL4" s="112"/>
      <c r="CM4" s="12"/>
      <c r="CN4" s="12"/>
      <c r="CO4" s="12"/>
      <c r="CP4" s="12"/>
      <c r="CQ4" s="12"/>
      <c r="CR4" s="12"/>
      <c r="CS4" s="12"/>
      <c r="CT4" s="12"/>
      <c r="CU4" s="112"/>
      <c r="CV4" s="114"/>
    </row>
    <row r="5" spans="1:100" x14ac:dyDescent="0.25">
      <c r="A5" t="s">
        <v>33</v>
      </c>
      <c r="B5" t="s">
        <v>34</v>
      </c>
      <c r="C5">
        <v>113205054</v>
      </c>
      <c r="D5" t="str">
        <f t="shared" si="5"/>
        <v>Abo Sway, Hilal Mohammad-113205054</v>
      </c>
      <c r="E5" s="22">
        <v>6</v>
      </c>
      <c r="F5" s="22">
        <v>3</v>
      </c>
      <c r="G5" s="22">
        <v>15</v>
      </c>
      <c r="H5" s="22">
        <v>8434645</v>
      </c>
      <c r="I5" s="22">
        <v>3308800</v>
      </c>
      <c r="J5" s="22">
        <v>1107041</v>
      </c>
      <c r="K5" s="22">
        <v>8858805</v>
      </c>
      <c r="L5" s="22">
        <v>100000</v>
      </c>
      <c r="M5" s="22">
        <v>109200</v>
      </c>
      <c r="N5" s="22">
        <v>119200</v>
      </c>
      <c r="O5" s="22">
        <v>129200</v>
      </c>
      <c r="P5" s="22">
        <v>129200</v>
      </c>
      <c r="Q5" s="22">
        <v>100000</v>
      </c>
      <c r="R5" s="22">
        <v>109200</v>
      </c>
      <c r="S5" s="22">
        <v>119200</v>
      </c>
      <c r="T5" s="24">
        <v>27000</v>
      </c>
      <c r="U5" s="22">
        <v>26801</v>
      </c>
      <c r="V5" s="22">
        <v>24701</v>
      </c>
      <c r="W5" s="22">
        <v>22401</v>
      </c>
      <c r="X5" s="22">
        <v>22401</v>
      </c>
      <c r="Y5" s="22">
        <v>29001</v>
      </c>
      <c r="Z5" s="22">
        <v>26801</v>
      </c>
      <c r="AA5" s="22">
        <v>24701</v>
      </c>
      <c r="AB5" s="24">
        <v>116000</v>
      </c>
      <c r="AC5" s="24">
        <v>114000</v>
      </c>
      <c r="AD5" s="24">
        <v>111000</v>
      </c>
      <c r="AE5" s="24">
        <v>115000</v>
      </c>
      <c r="AF5" s="24">
        <v>112500</v>
      </c>
      <c r="AG5" s="24">
        <v>110000</v>
      </c>
      <c r="AH5" s="24">
        <v>108000</v>
      </c>
      <c r="AI5" s="24">
        <v>113500</v>
      </c>
      <c r="AJ5" s="25">
        <v>4.5</v>
      </c>
      <c r="AK5" s="25">
        <v>7.7</v>
      </c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8">
        <f t="shared" ref="AX5:AX36" si="6">MATCH(SMALL(P4:S4,2),P4:S4,0)</f>
        <v>1</v>
      </c>
      <c r="AY5" s="8">
        <f t="shared" ref="AY5:AY36" si="7">MATCH(SMALL(P4:S4,1),P4:S4,0)</f>
        <v>3</v>
      </c>
      <c r="AZ5" s="16" t="str">
        <f>"∆("&amp;AX5&amp;"-"&amp;AY5&amp;")"</f>
        <v>∆(1-3)</v>
      </c>
      <c r="BA5" s="17">
        <f t="shared" ref="BA5:BA36" ca="1" si="8">-OFFSET($O4,,AX5)+OFFSET($O4,,AY5)</f>
        <v>-9300</v>
      </c>
      <c r="BB5" s="17">
        <f t="shared" ref="BB5:BB36" ca="1" si="9">-OFFSET($W4,,AX5)+OFFSET($W4,,AY5)</f>
        <v>2500</v>
      </c>
      <c r="BC5" s="17">
        <f ca="1">-0.2*BA5</f>
        <v>1860</v>
      </c>
      <c r="BD5" s="17" t="e">
        <f>#REF!</f>
        <v>#REF!</v>
      </c>
      <c r="BE5" s="17">
        <f ca="1">BA5</f>
        <v>-9300</v>
      </c>
      <c r="BF5" s="17">
        <f ca="1">BB5</f>
        <v>2500</v>
      </c>
      <c r="BG5" s="17">
        <f ca="1">BB5</f>
        <v>2500</v>
      </c>
      <c r="BH5" s="17">
        <f ca="1">BB5</f>
        <v>2500</v>
      </c>
      <c r="BI5" s="17" t="e">
        <f>IF(BD5=4,BC5+BB5,BB5)</f>
        <v>#REF!</v>
      </c>
      <c r="BJ5" s="17" t="e">
        <f>IF(BD5&lt;5,"",IF(BD5=5,BB5+BC5,BB5))</f>
        <v>#REF!</v>
      </c>
      <c r="BK5" s="17" t="e">
        <f>IF(BD5&lt;6,"",IF(BD5=6,BB5+BC5,BB5))</f>
        <v>#REF!</v>
      </c>
      <c r="BL5" s="17" t="e">
        <f>IF(BD5&lt;7,"",BB5+BC5)</f>
        <v>#REF!</v>
      </c>
      <c r="BM5" s="18" t="e">
        <f ca="1">IRR(BE5:BL5)</f>
        <v>#VALUE!</v>
      </c>
      <c r="BN5" s="19" t="e">
        <f ca="1">IF(BM5&gt;=#REF!/100,"Yes","No")</f>
        <v>#VALUE!</v>
      </c>
      <c r="BO5" s="20">
        <f t="shared" ref="BO5:BO36" si="10">MATCH(SMALL(P4:S4,3),P4:S4,0)</f>
        <v>2</v>
      </c>
      <c r="BP5" s="20" t="e">
        <f ca="1">IF(BN5="Yes",AX5,AY5)</f>
        <v>#VALUE!</v>
      </c>
      <c r="BQ5" s="16" t="e">
        <f ca="1">"∆("&amp;BO5&amp;"-"&amp;BP5&amp;")"</f>
        <v>#VALUE!</v>
      </c>
      <c r="BR5" s="17" t="e">
        <f t="shared" ref="BR5:BR36" ca="1" si="11">-OFFSET($O4,,BO5)+OFFSET($O4,,BP5)</f>
        <v>#VALUE!</v>
      </c>
      <c r="BS5" s="17" t="e">
        <f t="shared" ref="BS5:BS36" ca="1" si="12">-OFFSET($W4,,BO5)+OFFSET($W4,,BP5)</f>
        <v>#VALUE!</v>
      </c>
      <c r="BT5" s="17" t="e">
        <f ca="1">-0.2*BR5</f>
        <v>#VALUE!</v>
      </c>
      <c r="BU5" s="17" t="e">
        <f>#REF!</f>
        <v>#REF!</v>
      </c>
      <c r="BV5" s="17" t="e">
        <f ca="1">BR5</f>
        <v>#VALUE!</v>
      </c>
      <c r="BW5" s="17" t="e">
        <f ca="1">BS5</f>
        <v>#VALUE!</v>
      </c>
      <c r="BX5" s="17" t="e">
        <f ca="1">BS5</f>
        <v>#VALUE!</v>
      </c>
      <c r="BY5" s="17" t="e">
        <f ca="1">BS5</f>
        <v>#VALUE!</v>
      </c>
      <c r="BZ5" s="17" t="e">
        <f>IF(BU5=4,BT5+BS5,BS5)</f>
        <v>#REF!</v>
      </c>
      <c r="CA5" s="17" t="e">
        <f>IF(BU5&lt;5,"",IF(BU5=5,BS5+BT5,BS5))</f>
        <v>#REF!</v>
      </c>
      <c r="CB5" s="17" t="e">
        <f>IF(BU5&lt;6,"",IF(BU5=6,BS5+BT5,BS5))</f>
        <v>#REF!</v>
      </c>
      <c r="CC5" s="17" t="e">
        <f>IF(BU5&lt;7,"",BS5+BT5)</f>
        <v>#REF!</v>
      </c>
      <c r="CD5" s="18" t="e">
        <f ca="1">IRR(BV5:CC5)</f>
        <v>#VALUE!</v>
      </c>
      <c r="CE5" s="19" t="e">
        <f ca="1">IF(CD5&gt;=#REF!/100,"Yes","No")</f>
        <v>#VALUE!</v>
      </c>
      <c r="CF5" s="20">
        <f t="shared" ref="CF5:CF36" si="13">MATCH(SMALL(P4:S4,4),P4:S4,0)</f>
        <v>4</v>
      </c>
      <c r="CG5" s="20" t="e">
        <f ca="1">IF(CE5="Yes",BO5,BP5)</f>
        <v>#VALUE!</v>
      </c>
      <c r="CH5" s="16" t="e">
        <f ca="1">"∆("&amp;CF5&amp;"-"&amp;CG5&amp;")"</f>
        <v>#VALUE!</v>
      </c>
      <c r="CI5" s="17" t="e">
        <f t="shared" ref="CI5:CI36" ca="1" si="14">-OFFSET($O4,,CF5)+OFFSET($O4,,CG5)</f>
        <v>#VALUE!</v>
      </c>
      <c r="CJ5" s="17" t="e">
        <f t="shared" ref="CJ5:CJ36" ca="1" si="15">-OFFSET($W4,,CF5)+OFFSET($W4,,CG5)</f>
        <v>#VALUE!</v>
      </c>
      <c r="CK5" s="17" t="e">
        <f ca="1">-0.2*CI5</f>
        <v>#VALUE!</v>
      </c>
      <c r="CL5" s="17" t="e">
        <f>#REF!</f>
        <v>#REF!</v>
      </c>
      <c r="CM5" s="17" t="e">
        <f ca="1">CI5</f>
        <v>#VALUE!</v>
      </c>
      <c r="CN5" s="17" t="e">
        <f ca="1">CJ5</f>
        <v>#VALUE!</v>
      </c>
      <c r="CO5" s="17" t="e">
        <f ca="1">CJ5</f>
        <v>#VALUE!</v>
      </c>
      <c r="CP5" s="17" t="e">
        <f ca="1">CJ5</f>
        <v>#VALUE!</v>
      </c>
      <c r="CQ5" s="17" t="e">
        <f>IF(CL5=4,CK5+CJ5,CJ5)</f>
        <v>#REF!</v>
      </c>
      <c r="CR5" s="17" t="e">
        <f>IF(CL5&lt;5,"",IF(CL5=5,CJ5+CK5,CJ5))</f>
        <v>#REF!</v>
      </c>
      <c r="CS5" s="17" t="e">
        <f>IF(CL5&lt;6,"",IF(CL5=6,CJ5+CK5,CJ5))</f>
        <v>#REF!</v>
      </c>
      <c r="CT5" s="17" t="e">
        <f>IF(CL5&lt;7,"",CJ5+CK5)</f>
        <v>#REF!</v>
      </c>
      <c r="CU5" s="18" t="e">
        <f ca="1">IRR(CM5:CT5)</f>
        <v>#VALUE!</v>
      </c>
      <c r="CV5" s="19" t="e">
        <f ca="1">IF(CU5&gt;=#REF!/100,"Yes","No")</f>
        <v>#VALUE!</v>
      </c>
    </row>
    <row r="6" spans="1:100" x14ac:dyDescent="0.25">
      <c r="A6" t="s">
        <v>35</v>
      </c>
      <c r="B6" t="s">
        <v>36</v>
      </c>
      <c r="C6">
        <v>114204023</v>
      </c>
      <c r="D6" t="str">
        <f t="shared" si="5"/>
        <v>Acar, Oğuzcan-114204023</v>
      </c>
      <c r="E6" s="22">
        <v>4</v>
      </c>
      <c r="F6" s="22">
        <v>3</v>
      </c>
      <c r="G6" s="22">
        <v>15</v>
      </c>
      <c r="H6" s="22">
        <v>2410497</v>
      </c>
      <c r="I6" s="22">
        <v>8369869</v>
      </c>
      <c r="J6" s="22">
        <v>9402225</v>
      </c>
      <c r="K6" s="22">
        <v>4734569</v>
      </c>
      <c r="L6" s="22">
        <v>100000</v>
      </c>
      <c r="M6" s="22">
        <v>108200</v>
      </c>
      <c r="N6" s="22">
        <v>116400</v>
      </c>
      <c r="O6" s="22">
        <v>125600</v>
      </c>
      <c r="P6" s="22">
        <v>116400</v>
      </c>
      <c r="Q6" s="22">
        <v>108200</v>
      </c>
      <c r="R6" s="22">
        <v>125600</v>
      </c>
      <c r="S6" s="22">
        <v>100000</v>
      </c>
      <c r="T6" s="24">
        <v>23000</v>
      </c>
      <c r="U6" s="22">
        <v>26602</v>
      </c>
      <c r="V6" s="22">
        <v>24302</v>
      </c>
      <c r="W6" s="22">
        <v>21802</v>
      </c>
      <c r="X6" s="22">
        <v>24302</v>
      </c>
      <c r="Y6" s="22">
        <v>26602</v>
      </c>
      <c r="Z6" s="22">
        <v>21802</v>
      </c>
      <c r="AA6" s="22">
        <v>29002</v>
      </c>
      <c r="AB6" s="24">
        <v>119000</v>
      </c>
      <c r="AC6" s="24">
        <v>118000</v>
      </c>
      <c r="AD6" s="24">
        <v>119000</v>
      </c>
      <c r="AE6" s="24">
        <v>120000</v>
      </c>
      <c r="AF6" s="24">
        <v>116500</v>
      </c>
      <c r="AG6" s="24">
        <v>114000</v>
      </c>
      <c r="AH6" s="24">
        <v>116500</v>
      </c>
      <c r="AI6" s="24">
        <v>116000</v>
      </c>
      <c r="AJ6" s="25">
        <v>3.8</v>
      </c>
      <c r="AK6" s="25">
        <v>8.1999999999999993</v>
      </c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8">
        <f t="shared" si="6"/>
        <v>3</v>
      </c>
      <c r="AY6" s="8">
        <f t="shared" si="7"/>
        <v>2</v>
      </c>
      <c r="AZ6" s="13" t="str">
        <f t="shared" ref="AZ6:AZ69" si="16">"∆("&amp;AX6&amp;"-"&amp;AY6&amp;")"</f>
        <v>∆(3-2)</v>
      </c>
      <c r="BA6" s="10">
        <f t="shared" ca="1" si="8"/>
        <v>-9200</v>
      </c>
      <c r="BB6" s="10">
        <f t="shared" ca="1" si="9"/>
        <v>2200</v>
      </c>
      <c r="BC6" s="10">
        <f t="shared" ref="BC6:BC69" ca="1" si="17">-0.2*BA6</f>
        <v>1840</v>
      </c>
      <c r="BD6" s="10" t="e">
        <f>#REF!</f>
        <v>#REF!</v>
      </c>
      <c r="BE6" s="10">
        <f t="shared" ref="BE6:BE69" ca="1" si="18">BA6</f>
        <v>-9200</v>
      </c>
      <c r="BF6" s="10">
        <f t="shared" ref="BF6:BF69" ca="1" si="19">BB6</f>
        <v>2200</v>
      </c>
      <c r="BG6" s="10">
        <f t="shared" ref="BG6:BG69" ca="1" si="20">BB6</f>
        <v>2200</v>
      </c>
      <c r="BH6" s="10">
        <f t="shared" ref="BH6:BH69" ca="1" si="21">BB6</f>
        <v>2200</v>
      </c>
      <c r="BI6" s="10" t="e">
        <f t="shared" ref="BI6:BI69" si="22">IF(BD6=4,BC6+BB6,BB6)</f>
        <v>#REF!</v>
      </c>
      <c r="BJ6" s="10" t="e">
        <f t="shared" ref="BJ6:BJ69" si="23">IF(BD6&lt;5,"",IF(BD6=5,BB6+BC6,BB6))</f>
        <v>#REF!</v>
      </c>
      <c r="BK6" s="10" t="e">
        <f t="shared" ref="BK6:BK69" si="24">IF(BD6&lt;6,"",IF(BD6=6,BB6+BC6,BB6))</f>
        <v>#REF!</v>
      </c>
      <c r="BL6" s="10" t="e">
        <f t="shared" ref="BL6:BL69" si="25">IF(BD6&lt;7,"",BB6+BC6)</f>
        <v>#REF!</v>
      </c>
      <c r="BM6" s="14" t="e">
        <f t="shared" ref="BM6:BM69" ca="1" si="26">IRR(BE6:BL6)</f>
        <v>#VALUE!</v>
      </c>
      <c r="BN6" s="15" t="e">
        <f ca="1">IF(BM6&gt;=#REF!/100,"Yes","No")</f>
        <v>#VALUE!</v>
      </c>
      <c r="BO6" s="6">
        <f t="shared" si="10"/>
        <v>4</v>
      </c>
      <c r="BP6" s="6" t="e">
        <f t="shared" ref="BP6:BP69" ca="1" si="27">IF(BN6="Yes",AX6,AY6)</f>
        <v>#VALUE!</v>
      </c>
      <c r="BQ6" s="13" t="e">
        <f t="shared" ref="BQ6:BQ69" ca="1" si="28">"∆("&amp;BO6&amp;"-"&amp;BP6&amp;")"</f>
        <v>#VALUE!</v>
      </c>
      <c r="BR6" s="10" t="e">
        <f t="shared" ca="1" si="11"/>
        <v>#VALUE!</v>
      </c>
      <c r="BS6" s="10" t="e">
        <f t="shared" ca="1" si="12"/>
        <v>#VALUE!</v>
      </c>
      <c r="BT6" s="10" t="e">
        <f t="shared" ref="BT6:BT69" ca="1" si="29">-0.2*BR6</f>
        <v>#VALUE!</v>
      </c>
      <c r="BU6" s="10" t="e">
        <f>#REF!</f>
        <v>#REF!</v>
      </c>
      <c r="BV6" s="10" t="e">
        <f t="shared" ref="BV6:BV69" ca="1" si="30">BR6</f>
        <v>#VALUE!</v>
      </c>
      <c r="BW6" s="10" t="e">
        <f t="shared" ref="BW6:BW69" ca="1" si="31">BS6</f>
        <v>#VALUE!</v>
      </c>
      <c r="BX6" s="10" t="e">
        <f t="shared" ref="BX6:BX69" ca="1" si="32">BS6</f>
        <v>#VALUE!</v>
      </c>
      <c r="BY6" s="10" t="e">
        <f t="shared" ref="BY6:BY69" ca="1" si="33">BS6</f>
        <v>#VALUE!</v>
      </c>
      <c r="BZ6" s="10" t="e">
        <f t="shared" ref="BZ6:BZ69" si="34">IF(BU6=4,BT6+BS6,BS6)</f>
        <v>#REF!</v>
      </c>
      <c r="CA6" s="10" t="e">
        <f t="shared" ref="CA6:CA69" si="35">IF(BU6&lt;5,"",IF(BU6=5,BS6+BT6,BS6))</f>
        <v>#REF!</v>
      </c>
      <c r="CB6" s="10" t="e">
        <f t="shared" ref="CB6:CB69" si="36">IF(BU6&lt;6,"",IF(BU6=6,BS6+BT6,BS6))</f>
        <v>#REF!</v>
      </c>
      <c r="CC6" s="10" t="e">
        <f t="shared" ref="CC6:CC69" si="37">IF(BU6&lt;7,"",BS6+BT6)</f>
        <v>#REF!</v>
      </c>
      <c r="CD6" s="14" t="e">
        <f t="shared" ref="CD6:CD69" ca="1" si="38">IRR(BV6:CC6)</f>
        <v>#VALUE!</v>
      </c>
      <c r="CE6" s="15" t="e">
        <f ca="1">IF(CD6&gt;=#REF!/100,"Yes","No")</f>
        <v>#VALUE!</v>
      </c>
      <c r="CF6" s="6">
        <f t="shared" si="13"/>
        <v>1</v>
      </c>
      <c r="CG6" s="6" t="e">
        <f t="shared" ref="CG6:CG69" ca="1" si="39">IF(CE6="Yes",BO6,BP6)</f>
        <v>#VALUE!</v>
      </c>
      <c r="CH6" s="13" t="e">
        <f t="shared" ref="CH6:CH69" ca="1" si="40">"∆("&amp;CF6&amp;"-"&amp;CG6&amp;")"</f>
        <v>#VALUE!</v>
      </c>
      <c r="CI6" s="10" t="e">
        <f t="shared" ca="1" si="14"/>
        <v>#VALUE!</v>
      </c>
      <c r="CJ6" s="10" t="e">
        <f t="shared" ca="1" si="15"/>
        <v>#VALUE!</v>
      </c>
      <c r="CK6" s="10" t="e">
        <f t="shared" ref="CK6:CK69" ca="1" si="41">-0.2*CI6</f>
        <v>#VALUE!</v>
      </c>
      <c r="CL6" s="10" t="e">
        <f>#REF!</f>
        <v>#REF!</v>
      </c>
      <c r="CM6" s="10" t="e">
        <f t="shared" ref="CM6:CM69" ca="1" si="42">CI6</f>
        <v>#VALUE!</v>
      </c>
      <c r="CN6" s="10" t="e">
        <f t="shared" ref="CN6:CN69" ca="1" si="43">CJ6</f>
        <v>#VALUE!</v>
      </c>
      <c r="CO6" s="10" t="e">
        <f t="shared" ref="CO6:CO69" ca="1" si="44">CJ6</f>
        <v>#VALUE!</v>
      </c>
      <c r="CP6" s="10" t="e">
        <f t="shared" ref="CP6:CP69" ca="1" si="45">CJ6</f>
        <v>#VALUE!</v>
      </c>
      <c r="CQ6" s="10" t="e">
        <f t="shared" ref="CQ6:CQ69" si="46">IF(CL6=4,CK6+CJ6,CJ6)</f>
        <v>#REF!</v>
      </c>
      <c r="CR6" s="10" t="e">
        <f t="shared" ref="CR6:CR69" si="47">IF(CL6&lt;5,"",IF(CL6=5,CJ6+CK6,CJ6))</f>
        <v>#REF!</v>
      </c>
      <c r="CS6" s="10" t="e">
        <f t="shared" ref="CS6:CS69" si="48">IF(CL6&lt;6,"",IF(CL6=6,CJ6+CK6,CJ6))</f>
        <v>#REF!</v>
      </c>
      <c r="CT6" s="10" t="e">
        <f t="shared" ref="CT6:CT69" si="49">IF(CL6&lt;7,"",CJ6+CK6)</f>
        <v>#REF!</v>
      </c>
      <c r="CU6" s="14" t="e">
        <f t="shared" ref="CU6:CU69" ca="1" si="50">IRR(CM6:CT6)</f>
        <v>#VALUE!</v>
      </c>
      <c r="CV6" s="15" t="e">
        <f ca="1">IF(CU6&gt;=#REF!/100,"Yes","No")</f>
        <v>#VALUE!</v>
      </c>
    </row>
    <row r="7" spans="1:100" x14ac:dyDescent="0.25">
      <c r="A7" t="s">
        <v>37</v>
      </c>
      <c r="B7" t="s">
        <v>38</v>
      </c>
      <c r="C7">
        <v>116201125</v>
      </c>
      <c r="D7" t="str">
        <f t="shared" si="5"/>
        <v>Açar, Yahya Berkay-116201125</v>
      </c>
      <c r="E7" s="22">
        <v>5</v>
      </c>
      <c r="F7" s="22">
        <v>2</v>
      </c>
      <c r="G7" s="22">
        <v>10</v>
      </c>
      <c r="H7" s="22">
        <v>1054628</v>
      </c>
      <c r="I7" s="22">
        <v>9209168</v>
      </c>
      <c r="J7" s="22">
        <v>1668174</v>
      </c>
      <c r="K7" s="22">
        <v>2362105</v>
      </c>
      <c r="L7" s="22">
        <v>100000</v>
      </c>
      <c r="M7" s="22">
        <v>108000</v>
      </c>
      <c r="N7" s="22">
        <v>117900</v>
      </c>
      <c r="O7" s="22">
        <v>127100</v>
      </c>
      <c r="P7" s="22">
        <v>108000</v>
      </c>
      <c r="Q7" s="22">
        <v>127100</v>
      </c>
      <c r="R7" s="22">
        <v>117900</v>
      </c>
      <c r="S7" s="22">
        <v>100000</v>
      </c>
      <c r="T7" s="24">
        <v>23000</v>
      </c>
      <c r="U7" s="22">
        <v>26503</v>
      </c>
      <c r="V7" s="22">
        <v>24203</v>
      </c>
      <c r="W7" s="22">
        <v>22003</v>
      </c>
      <c r="X7" s="22">
        <v>26503</v>
      </c>
      <c r="Y7" s="22">
        <v>22003</v>
      </c>
      <c r="Z7" s="22">
        <v>24203</v>
      </c>
      <c r="AA7" s="22">
        <v>29003</v>
      </c>
      <c r="AB7" s="24">
        <v>111000</v>
      </c>
      <c r="AC7" s="24">
        <v>114000</v>
      </c>
      <c r="AD7" s="24">
        <v>118000</v>
      </c>
      <c r="AE7" s="24">
        <v>115000</v>
      </c>
      <c r="AF7" s="24">
        <v>108500</v>
      </c>
      <c r="AG7" s="24">
        <v>110000</v>
      </c>
      <c r="AH7" s="24">
        <v>115500</v>
      </c>
      <c r="AI7" s="24">
        <v>113500</v>
      </c>
      <c r="AJ7" s="25">
        <v>4.5999999999999996</v>
      </c>
      <c r="AK7" s="25">
        <v>9.3000000000000007</v>
      </c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8">
        <f t="shared" si="6"/>
        <v>2</v>
      </c>
      <c r="AY7" s="8">
        <f t="shared" si="7"/>
        <v>4</v>
      </c>
      <c r="AZ7" s="16" t="str">
        <f t="shared" si="16"/>
        <v>∆(2-4)</v>
      </c>
      <c r="BA7" s="17">
        <f t="shared" ca="1" si="8"/>
        <v>-8200</v>
      </c>
      <c r="BB7" s="17">
        <f t="shared" ca="1" si="9"/>
        <v>2400</v>
      </c>
      <c r="BC7" s="17">
        <f t="shared" ca="1" si="17"/>
        <v>1640</v>
      </c>
      <c r="BD7" s="17" t="e">
        <f>#REF!</f>
        <v>#REF!</v>
      </c>
      <c r="BE7" s="17">
        <f t="shared" ca="1" si="18"/>
        <v>-8200</v>
      </c>
      <c r="BF7" s="17">
        <f t="shared" ca="1" si="19"/>
        <v>2400</v>
      </c>
      <c r="BG7" s="17">
        <f t="shared" ca="1" si="20"/>
        <v>2400</v>
      </c>
      <c r="BH7" s="17">
        <f t="shared" ca="1" si="21"/>
        <v>2400</v>
      </c>
      <c r="BI7" s="17" t="e">
        <f t="shared" si="22"/>
        <v>#REF!</v>
      </c>
      <c r="BJ7" s="17" t="e">
        <f t="shared" si="23"/>
        <v>#REF!</v>
      </c>
      <c r="BK7" s="17" t="e">
        <f t="shared" si="24"/>
        <v>#REF!</v>
      </c>
      <c r="BL7" s="17" t="e">
        <f t="shared" si="25"/>
        <v>#REF!</v>
      </c>
      <c r="BM7" s="18" t="e">
        <f t="shared" ca="1" si="26"/>
        <v>#VALUE!</v>
      </c>
      <c r="BN7" s="19" t="e">
        <f ca="1">IF(BM7&gt;=#REF!/100,"Yes","No")</f>
        <v>#VALUE!</v>
      </c>
      <c r="BO7" s="20">
        <f t="shared" si="10"/>
        <v>1</v>
      </c>
      <c r="BP7" s="20" t="e">
        <f t="shared" ca="1" si="27"/>
        <v>#VALUE!</v>
      </c>
      <c r="BQ7" s="16" t="e">
        <f t="shared" ca="1" si="28"/>
        <v>#VALUE!</v>
      </c>
      <c r="BR7" s="17" t="e">
        <f t="shared" ca="1" si="11"/>
        <v>#VALUE!</v>
      </c>
      <c r="BS7" s="17" t="e">
        <f t="shared" ca="1" si="12"/>
        <v>#VALUE!</v>
      </c>
      <c r="BT7" s="17" t="e">
        <f t="shared" ca="1" si="29"/>
        <v>#VALUE!</v>
      </c>
      <c r="BU7" s="17" t="e">
        <f>#REF!</f>
        <v>#REF!</v>
      </c>
      <c r="BV7" s="17" t="e">
        <f t="shared" ca="1" si="30"/>
        <v>#VALUE!</v>
      </c>
      <c r="BW7" s="17" t="e">
        <f t="shared" ca="1" si="31"/>
        <v>#VALUE!</v>
      </c>
      <c r="BX7" s="17" t="e">
        <f t="shared" ca="1" si="32"/>
        <v>#VALUE!</v>
      </c>
      <c r="BY7" s="17" t="e">
        <f t="shared" ca="1" si="33"/>
        <v>#VALUE!</v>
      </c>
      <c r="BZ7" s="17" t="e">
        <f t="shared" si="34"/>
        <v>#REF!</v>
      </c>
      <c r="CA7" s="17" t="e">
        <f t="shared" si="35"/>
        <v>#REF!</v>
      </c>
      <c r="CB7" s="17" t="e">
        <f t="shared" si="36"/>
        <v>#REF!</v>
      </c>
      <c r="CC7" s="17" t="e">
        <f t="shared" si="37"/>
        <v>#REF!</v>
      </c>
      <c r="CD7" s="18" t="e">
        <f t="shared" ca="1" si="38"/>
        <v>#VALUE!</v>
      </c>
      <c r="CE7" s="19" t="e">
        <f ca="1">IF(CD7&gt;=#REF!/100,"Yes","No")</f>
        <v>#VALUE!</v>
      </c>
      <c r="CF7" s="20">
        <f t="shared" si="13"/>
        <v>3</v>
      </c>
      <c r="CG7" s="20" t="e">
        <f t="shared" ca="1" si="39"/>
        <v>#VALUE!</v>
      </c>
      <c r="CH7" s="16" t="e">
        <f t="shared" ca="1" si="40"/>
        <v>#VALUE!</v>
      </c>
      <c r="CI7" s="17" t="e">
        <f t="shared" ca="1" si="14"/>
        <v>#VALUE!</v>
      </c>
      <c r="CJ7" s="17" t="e">
        <f t="shared" ca="1" si="15"/>
        <v>#VALUE!</v>
      </c>
      <c r="CK7" s="17" t="e">
        <f t="shared" ca="1" si="41"/>
        <v>#VALUE!</v>
      </c>
      <c r="CL7" s="17" t="e">
        <f>#REF!</f>
        <v>#REF!</v>
      </c>
      <c r="CM7" s="17" t="e">
        <f t="shared" ca="1" si="42"/>
        <v>#VALUE!</v>
      </c>
      <c r="CN7" s="17" t="e">
        <f t="shared" ca="1" si="43"/>
        <v>#VALUE!</v>
      </c>
      <c r="CO7" s="17" t="e">
        <f t="shared" ca="1" si="44"/>
        <v>#VALUE!</v>
      </c>
      <c r="CP7" s="17" t="e">
        <f t="shared" ca="1" si="45"/>
        <v>#VALUE!</v>
      </c>
      <c r="CQ7" s="17" t="e">
        <f t="shared" si="46"/>
        <v>#REF!</v>
      </c>
      <c r="CR7" s="17" t="e">
        <f t="shared" si="47"/>
        <v>#REF!</v>
      </c>
      <c r="CS7" s="17" t="e">
        <f t="shared" si="48"/>
        <v>#REF!</v>
      </c>
      <c r="CT7" s="17" t="e">
        <f t="shared" si="49"/>
        <v>#REF!</v>
      </c>
      <c r="CU7" s="18" t="e">
        <f t="shared" ca="1" si="50"/>
        <v>#VALUE!</v>
      </c>
      <c r="CV7" s="19" t="e">
        <f ca="1">IF(CU7&gt;=#REF!/100,"Yes","No")</f>
        <v>#VALUE!</v>
      </c>
    </row>
    <row r="8" spans="1:100" x14ac:dyDescent="0.25">
      <c r="A8" t="s">
        <v>39</v>
      </c>
      <c r="B8" t="s">
        <v>40</v>
      </c>
      <c r="C8">
        <v>114203035</v>
      </c>
      <c r="D8" t="str">
        <f t="shared" si="5"/>
        <v>Adıgüzel, Ali Şamil-114203035</v>
      </c>
      <c r="E8" s="22">
        <v>7</v>
      </c>
      <c r="F8" s="22">
        <v>2</v>
      </c>
      <c r="G8" s="22">
        <v>10</v>
      </c>
      <c r="H8" s="22">
        <v>2919059</v>
      </c>
      <c r="I8" s="22">
        <v>3351849</v>
      </c>
      <c r="J8" s="22">
        <v>2836455</v>
      </c>
      <c r="K8" s="22">
        <v>6054880</v>
      </c>
      <c r="L8" s="22">
        <v>100000</v>
      </c>
      <c r="M8" s="22">
        <v>108500</v>
      </c>
      <c r="N8" s="22">
        <v>116800</v>
      </c>
      <c r="O8" s="22">
        <v>125900</v>
      </c>
      <c r="P8" s="22">
        <v>125900</v>
      </c>
      <c r="Q8" s="22">
        <v>108500</v>
      </c>
      <c r="R8" s="22">
        <v>100000</v>
      </c>
      <c r="S8" s="22">
        <v>116800</v>
      </c>
      <c r="T8" s="24">
        <v>27000</v>
      </c>
      <c r="U8" s="22">
        <v>26704</v>
      </c>
      <c r="V8" s="22">
        <v>24704</v>
      </c>
      <c r="W8" s="22">
        <v>22504</v>
      </c>
      <c r="X8" s="22">
        <v>22504</v>
      </c>
      <c r="Y8" s="22">
        <v>26704</v>
      </c>
      <c r="Z8" s="22">
        <v>29004</v>
      </c>
      <c r="AA8" s="22">
        <v>24704</v>
      </c>
      <c r="AB8" s="24">
        <v>98000</v>
      </c>
      <c r="AC8" s="24">
        <v>99000</v>
      </c>
      <c r="AD8" s="24">
        <v>98000</v>
      </c>
      <c r="AE8" s="24">
        <v>100000</v>
      </c>
      <c r="AF8" s="24">
        <v>94000</v>
      </c>
      <c r="AG8" s="24">
        <v>97000</v>
      </c>
      <c r="AH8" s="24">
        <v>96500</v>
      </c>
      <c r="AI8" s="24">
        <v>98000</v>
      </c>
      <c r="AJ8" s="25">
        <v>3.5</v>
      </c>
      <c r="AK8" s="25">
        <v>7.9</v>
      </c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8">
        <f t="shared" si="6"/>
        <v>1</v>
      </c>
      <c r="AY8" s="8">
        <f t="shared" si="7"/>
        <v>4</v>
      </c>
      <c r="AZ8" s="13" t="str">
        <f t="shared" si="16"/>
        <v>∆(1-4)</v>
      </c>
      <c r="BA8" s="10">
        <f t="shared" ca="1" si="8"/>
        <v>-8000</v>
      </c>
      <c r="BB8" s="10">
        <f t="shared" ca="1" si="9"/>
        <v>2500</v>
      </c>
      <c r="BC8" s="10">
        <f t="shared" ca="1" si="17"/>
        <v>1600</v>
      </c>
      <c r="BD8" s="10" t="e">
        <f>#REF!</f>
        <v>#REF!</v>
      </c>
      <c r="BE8" s="10">
        <f t="shared" ca="1" si="18"/>
        <v>-8000</v>
      </c>
      <c r="BF8" s="10">
        <f t="shared" ca="1" si="19"/>
        <v>2500</v>
      </c>
      <c r="BG8" s="10">
        <f t="shared" ca="1" si="20"/>
        <v>2500</v>
      </c>
      <c r="BH8" s="10">
        <f t="shared" ca="1" si="21"/>
        <v>2500</v>
      </c>
      <c r="BI8" s="10" t="e">
        <f t="shared" si="22"/>
        <v>#REF!</v>
      </c>
      <c r="BJ8" s="10" t="e">
        <f t="shared" si="23"/>
        <v>#REF!</v>
      </c>
      <c r="BK8" s="10" t="e">
        <f t="shared" si="24"/>
        <v>#REF!</v>
      </c>
      <c r="BL8" s="10" t="e">
        <f t="shared" si="25"/>
        <v>#REF!</v>
      </c>
      <c r="BM8" s="14" t="e">
        <f t="shared" ca="1" si="26"/>
        <v>#VALUE!</v>
      </c>
      <c r="BN8" s="15" t="e">
        <f ca="1">IF(BM8&gt;=#REF!/100,"Yes","No")</f>
        <v>#VALUE!</v>
      </c>
      <c r="BO8" s="6">
        <f t="shared" si="10"/>
        <v>3</v>
      </c>
      <c r="BP8" s="6" t="e">
        <f t="shared" ca="1" si="27"/>
        <v>#VALUE!</v>
      </c>
      <c r="BQ8" s="13" t="e">
        <f t="shared" ca="1" si="28"/>
        <v>#VALUE!</v>
      </c>
      <c r="BR8" s="10" t="e">
        <f t="shared" ca="1" si="11"/>
        <v>#VALUE!</v>
      </c>
      <c r="BS8" s="10" t="e">
        <f t="shared" ca="1" si="12"/>
        <v>#VALUE!</v>
      </c>
      <c r="BT8" s="10" t="e">
        <f t="shared" ca="1" si="29"/>
        <v>#VALUE!</v>
      </c>
      <c r="BU8" s="10" t="e">
        <f>#REF!</f>
        <v>#REF!</v>
      </c>
      <c r="BV8" s="10" t="e">
        <f t="shared" ca="1" si="30"/>
        <v>#VALUE!</v>
      </c>
      <c r="BW8" s="10" t="e">
        <f t="shared" ca="1" si="31"/>
        <v>#VALUE!</v>
      </c>
      <c r="BX8" s="10" t="e">
        <f t="shared" ca="1" si="32"/>
        <v>#VALUE!</v>
      </c>
      <c r="BY8" s="10" t="e">
        <f t="shared" ca="1" si="33"/>
        <v>#VALUE!</v>
      </c>
      <c r="BZ8" s="10" t="e">
        <f t="shared" si="34"/>
        <v>#REF!</v>
      </c>
      <c r="CA8" s="10" t="e">
        <f t="shared" si="35"/>
        <v>#REF!</v>
      </c>
      <c r="CB8" s="10" t="e">
        <f t="shared" si="36"/>
        <v>#REF!</v>
      </c>
      <c r="CC8" s="10" t="e">
        <f t="shared" si="37"/>
        <v>#REF!</v>
      </c>
      <c r="CD8" s="14" t="e">
        <f t="shared" ca="1" si="38"/>
        <v>#VALUE!</v>
      </c>
      <c r="CE8" s="15" t="e">
        <f ca="1">IF(CD8&gt;=#REF!/100,"Yes","No")</f>
        <v>#VALUE!</v>
      </c>
      <c r="CF8" s="6">
        <f t="shared" si="13"/>
        <v>2</v>
      </c>
      <c r="CG8" s="6" t="e">
        <f t="shared" ca="1" si="39"/>
        <v>#VALUE!</v>
      </c>
      <c r="CH8" s="13" t="e">
        <f t="shared" ca="1" si="40"/>
        <v>#VALUE!</v>
      </c>
      <c r="CI8" s="10" t="e">
        <f t="shared" ca="1" si="14"/>
        <v>#VALUE!</v>
      </c>
      <c r="CJ8" s="10" t="e">
        <f t="shared" ca="1" si="15"/>
        <v>#VALUE!</v>
      </c>
      <c r="CK8" s="10" t="e">
        <f t="shared" ca="1" si="41"/>
        <v>#VALUE!</v>
      </c>
      <c r="CL8" s="10" t="e">
        <f>#REF!</f>
        <v>#REF!</v>
      </c>
      <c r="CM8" s="10" t="e">
        <f t="shared" ca="1" si="42"/>
        <v>#VALUE!</v>
      </c>
      <c r="CN8" s="10" t="e">
        <f t="shared" ca="1" si="43"/>
        <v>#VALUE!</v>
      </c>
      <c r="CO8" s="10" t="e">
        <f t="shared" ca="1" si="44"/>
        <v>#VALUE!</v>
      </c>
      <c r="CP8" s="10" t="e">
        <f t="shared" ca="1" si="45"/>
        <v>#VALUE!</v>
      </c>
      <c r="CQ8" s="10" t="e">
        <f t="shared" si="46"/>
        <v>#REF!</v>
      </c>
      <c r="CR8" s="10" t="e">
        <f t="shared" si="47"/>
        <v>#REF!</v>
      </c>
      <c r="CS8" s="10" t="e">
        <f t="shared" si="48"/>
        <v>#REF!</v>
      </c>
      <c r="CT8" s="10" t="e">
        <f t="shared" si="49"/>
        <v>#REF!</v>
      </c>
      <c r="CU8" s="14" t="e">
        <f t="shared" ca="1" si="50"/>
        <v>#VALUE!</v>
      </c>
      <c r="CV8" s="15" t="e">
        <f ca="1">IF(CU8&gt;=#REF!/100,"Yes","No")</f>
        <v>#VALUE!</v>
      </c>
    </row>
    <row r="9" spans="1:100" x14ac:dyDescent="0.25">
      <c r="A9" t="s">
        <v>41</v>
      </c>
      <c r="B9" t="s">
        <v>42</v>
      </c>
      <c r="C9">
        <v>113201042</v>
      </c>
      <c r="D9" t="str">
        <f t="shared" si="5"/>
        <v>Aka, Elifsu Yüksel-113201042</v>
      </c>
      <c r="E9" s="22">
        <v>5</v>
      </c>
      <c r="F9" s="22">
        <v>1</v>
      </c>
      <c r="G9" s="22">
        <v>8</v>
      </c>
      <c r="H9" s="22">
        <v>922683</v>
      </c>
      <c r="I9" s="22">
        <v>6211554</v>
      </c>
      <c r="J9" s="22">
        <v>818852</v>
      </c>
      <c r="K9" s="22">
        <v>3968611</v>
      </c>
      <c r="L9" s="22">
        <v>100000</v>
      </c>
      <c r="M9" s="22">
        <v>109300</v>
      </c>
      <c r="N9" s="22">
        <v>118800</v>
      </c>
      <c r="O9" s="22">
        <v>127200</v>
      </c>
      <c r="P9" s="22">
        <v>109300</v>
      </c>
      <c r="Q9" s="22">
        <v>127200</v>
      </c>
      <c r="R9" s="22">
        <v>100000</v>
      </c>
      <c r="S9" s="22">
        <v>118800</v>
      </c>
      <c r="T9" s="24">
        <v>29000</v>
      </c>
      <c r="U9" s="22">
        <v>26705</v>
      </c>
      <c r="V9" s="22">
        <v>24205</v>
      </c>
      <c r="W9" s="22">
        <v>22105</v>
      </c>
      <c r="X9" s="22">
        <v>26705</v>
      </c>
      <c r="Y9" s="22">
        <v>22105</v>
      </c>
      <c r="Z9" s="22">
        <v>29005</v>
      </c>
      <c r="AA9" s="22">
        <v>24205</v>
      </c>
      <c r="AB9" s="24">
        <v>113000</v>
      </c>
      <c r="AC9" s="24">
        <v>113000</v>
      </c>
      <c r="AD9" s="24">
        <v>115000</v>
      </c>
      <c r="AE9" s="24">
        <v>116000</v>
      </c>
      <c r="AF9" s="24">
        <v>110500</v>
      </c>
      <c r="AG9" s="24">
        <v>111000</v>
      </c>
      <c r="AH9" s="24">
        <v>111000</v>
      </c>
      <c r="AI9" s="24">
        <v>114500</v>
      </c>
      <c r="AJ9" s="25">
        <v>2.6</v>
      </c>
      <c r="AK9" s="25">
        <v>7.5</v>
      </c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8">
        <f t="shared" si="6"/>
        <v>2</v>
      </c>
      <c r="AY9" s="8">
        <f t="shared" si="7"/>
        <v>3</v>
      </c>
      <c r="AZ9" s="16" t="str">
        <f t="shared" si="16"/>
        <v>∆(2-3)</v>
      </c>
      <c r="BA9" s="17">
        <f t="shared" ca="1" si="8"/>
        <v>-8500</v>
      </c>
      <c r="BB9" s="17">
        <f t="shared" ca="1" si="9"/>
        <v>2300</v>
      </c>
      <c r="BC9" s="17">
        <f t="shared" ca="1" si="17"/>
        <v>1700</v>
      </c>
      <c r="BD9" s="17" t="e">
        <f>#REF!</f>
        <v>#REF!</v>
      </c>
      <c r="BE9" s="17">
        <f t="shared" ca="1" si="18"/>
        <v>-8500</v>
      </c>
      <c r="BF9" s="17">
        <f t="shared" ca="1" si="19"/>
        <v>2300</v>
      </c>
      <c r="BG9" s="17">
        <f t="shared" ca="1" si="20"/>
        <v>2300</v>
      </c>
      <c r="BH9" s="17">
        <f t="shared" ca="1" si="21"/>
        <v>2300</v>
      </c>
      <c r="BI9" s="17" t="e">
        <f t="shared" si="22"/>
        <v>#REF!</v>
      </c>
      <c r="BJ9" s="17" t="e">
        <f t="shared" si="23"/>
        <v>#REF!</v>
      </c>
      <c r="BK9" s="17" t="e">
        <f t="shared" si="24"/>
        <v>#REF!</v>
      </c>
      <c r="BL9" s="17" t="e">
        <f t="shared" si="25"/>
        <v>#REF!</v>
      </c>
      <c r="BM9" s="18" t="e">
        <f t="shared" ca="1" si="26"/>
        <v>#VALUE!</v>
      </c>
      <c r="BN9" s="19" t="e">
        <f ca="1">IF(BM9&gt;=#REF!/100,"Yes","No")</f>
        <v>#VALUE!</v>
      </c>
      <c r="BO9" s="20">
        <f t="shared" si="10"/>
        <v>4</v>
      </c>
      <c r="BP9" s="20" t="e">
        <f t="shared" ca="1" si="27"/>
        <v>#VALUE!</v>
      </c>
      <c r="BQ9" s="16" t="e">
        <f t="shared" ca="1" si="28"/>
        <v>#VALUE!</v>
      </c>
      <c r="BR9" s="17" t="e">
        <f t="shared" ca="1" si="11"/>
        <v>#VALUE!</v>
      </c>
      <c r="BS9" s="17" t="e">
        <f t="shared" ca="1" si="12"/>
        <v>#VALUE!</v>
      </c>
      <c r="BT9" s="17" t="e">
        <f t="shared" ca="1" si="29"/>
        <v>#VALUE!</v>
      </c>
      <c r="BU9" s="17" t="e">
        <f>#REF!</f>
        <v>#REF!</v>
      </c>
      <c r="BV9" s="17" t="e">
        <f t="shared" ca="1" si="30"/>
        <v>#VALUE!</v>
      </c>
      <c r="BW9" s="17" t="e">
        <f t="shared" ca="1" si="31"/>
        <v>#VALUE!</v>
      </c>
      <c r="BX9" s="17" t="e">
        <f t="shared" ca="1" si="32"/>
        <v>#VALUE!</v>
      </c>
      <c r="BY9" s="17" t="e">
        <f t="shared" ca="1" si="33"/>
        <v>#VALUE!</v>
      </c>
      <c r="BZ9" s="17" t="e">
        <f t="shared" si="34"/>
        <v>#REF!</v>
      </c>
      <c r="CA9" s="17" t="e">
        <f t="shared" si="35"/>
        <v>#REF!</v>
      </c>
      <c r="CB9" s="17" t="e">
        <f t="shared" si="36"/>
        <v>#REF!</v>
      </c>
      <c r="CC9" s="17" t="e">
        <f t="shared" si="37"/>
        <v>#REF!</v>
      </c>
      <c r="CD9" s="18" t="e">
        <f t="shared" ca="1" si="38"/>
        <v>#VALUE!</v>
      </c>
      <c r="CE9" s="19" t="e">
        <f ca="1">IF(CD9&gt;=#REF!/100,"Yes","No")</f>
        <v>#VALUE!</v>
      </c>
      <c r="CF9" s="20">
        <f t="shared" si="13"/>
        <v>1</v>
      </c>
      <c r="CG9" s="20" t="e">
        <f t="shared" ca="1" si="39"/>
        <v>#VALUE!</v>
      </c>
      <c r="CH9" s="16" t="e">
        <f t="shared" ca="1" si="40"/>
        <v>#VALUE!</v>
      </c>
      <c r="CI9" s="17" t="e">
        <f t="shared" ca="1" si="14"/>
        <v>#VALUE!</v>
      </c>
      <c r="CJ9" s="17" t="e">
        <f t="shared" ca="1" si="15"/>
        <v>#VALUE!</v>
      </c>
      <c r="CK9" s="17" t="e">
        <f t="shared" ca="1" si="41"/>
        <v>#VALUE!</v>
      </c>
      <c r="CL9" s="17" t="e">
        <f>#REF!</f>
        <v>#REF!</v>
      </c>
      <c r="CM9" s="17" t="e">
        <f t="shared" ca="1" si="42"/>
        <v>#VALUE!</v>
      </c>
      <c r="CN9" s="17" t="e">
        <f t="shared" ca="1" si="43"/>
        <v>#VALUE!</v>
      </c>
      <c r="CO9" s="17" t="e">
        <f t="shared" ca="1" si="44"/>
        <v>#VALUE!</v>
      </c>
      <c r="CP9" s="17" t="e">
        <f t="shared" ca="1" si="45"/>
        <v>#VALUE!</v>
      </c>
      <c r="CQ9" s="17" t="e">
        <f t="shared" si="46"/>
        <v>#REF!</v>
      </c>
      <c r="CR9" s="17" t="e">
        <f t="shared" si="47"/>
        <v>#REF!</v>
      </c>
      <c r="CS9" s="17" t="e">
        <f t="shared" si="48"/>
        <v>#REF!</v>
      </c>
      <c r="CT9" s="17" t="e">
        <f t="shared" si="49"/>
        <v>#REF!</v>
      </c>
      <c r="CU9" s="18" t="e">
        <f t="shared" ca="1" si="50"/>
        <v>#VALUE!</v>
      </c>
      <c r="CV9" s="19" t="e">
        <f ca="1">IF(CU9&gt;=#REF!/100,"Yes","No")</f>
        <v>#VALUE!</v>
      </c>
    </row>
    <row r="10" spans="1:100" x14ac:dyDescent="0.25">
      <c r="A10" t="s">
        <v>41</v>
      </c>
      <c r="B10" t="s">
        <v>43</v>
      </c>
      <c r="C10">
        <v>114204022</v>
      </c>
      <c r="D10" t="str">
        <f t="shared" si="5"/>
        <v>Aka, Kerem-114204022</v>
      </c>
      <c r="E10" s="22">
        <v>4</v>
      </c>
      <c r="F10" s="22">
        <v>3</v>
      </c>
      <c r="G10" s="22">
        <v>15</v>
      </c>
      <c r="H10" s="22">
        <v>1422257</v>
      </c>
      <c r="I10" s="22">
        <v>7510061</v>
      </c>
      <c r="J10" s="22">
        <v>1161782</v>
      </c>
      <c r="K10" s="22">
        <v>9513875</v>
      </c>
      <c r="L10" s="22">
        <v>100000</v>
      </c>
      <c r="M10" s="22">
        <v>109900</v>
      </c>
      <c r="N10" s="22">
        <v>118500</v>
      </c>
      <c r="O10" s="22">
        <v>127000</v>
      </c>
      <c r="P10" s="22">
        <v>127000</v>
      </c>
      <c r="Q10" s="22">
        <v>109900</v>
      </c>
      <c r="R10" s="22">
        <v>100000</v>
      </c>
      <c r="S10" s="22">
        <v>118500</v>
      </c>
      <c r="T10" s="24">
        <v>25000</v>
      </c>
      <c r="U10" s="22">
        <v>26706</v>
      </c>
      <c r="V10" s="22">
        <v>24306</v>
      </c>
      <c r="W10" s="22">
        <v>22106</v>
      </c>
      <c r="X10" s="22">
        <v>22106</v>
      </c>
      <c r="Y10" s="22">
        <v>26706</v>
      </c>
      <c r="Z10" s="22">
        <v>29006</v>
      </c>
      <c r="AA10" s="22">
        <v>24306</v>
      </c>
      <c r="AB10" s="24">
        <v>118000</v>
      </c>
      <c r="AC10" s="24">
        <v>120000</v>
      </c>
      <c r="AD10" s="24">
        <v>118000</v>
      </c>
      <c r="AE10" s="24">
        <v>117000</v>
      </c>
      <c r="AF10" s="24">
        <v>115000</v>
      </c>
      <c r="AG10" s="24">
        <v>116500</v>
      </c>
      <c r="AH10" s="24">
        <v>114500</v>
      </c>
      <c r="AI10" s="24">
        <v>115000</v>
      </c>
      <c r="AJ10" s="25">
        <v>3.7</v>
      </c>
      <c r="AK10" s="25">
        <v>7.8</v>
      </c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8">
        <f t="shared" si="6"/>
        <v>1</v>
      </c>
      <c r="AY10" s="8">
        <f t="shared" si="7"/>
        <v>3</v>
      </c>
      <c r="AZ10" s="13" t="str">
        <f t="shared" si="16"/>
        <v>∆(1-3)</v>
      </c>
      <c r="BA10" s="10">
        <f t="shared" ca="1" si="8"/>
        <v>-9300</v>
      </c>
      <c r="BB10" s="10">
        <f t="shared" ca="1" si="9"/>
        <v>2300</v>
      </c>
      <c r="BC10" s="10">
        <f t="shared" ca="1" si="17"/>
        <v>1860</v>
      </c>
      <c r="BD10" s="10" t="e">
        <f>#REF!</f>
        <v>#REF!</v>
      </c>
      <c r="BE10" s="10">
        <f t="shared" ca="1" si="18"/>
        <v>-9300</v>
      </c>
      <c r="BF10" s="10">
        <f t="shared" ca="1" si="19"/>
        <v>2300</v>
      </c>
      <c r="BG10" s="10">
        <f t="shared" ca="1" si="20"/>
        <v>2300</v>
      </c>
      <c r="BH10" s="10">
        <f t="shared" ca="1" si="21"/>
        <v>2300</v>
      </c>
      <c r="BI10" s="10" t="e">
        <f t="shared" si="22"/>
        <v>#REF!</v>
      </c>
      <c r="BJ10" s="10" t="e">
        <f t="shared" si="23"/>
        <v>#REF!</v>
      </c>
      <c r="BK10" s="10" t="e">
        <f t="shared" si="24"/>
        <v>#REF!</v>
      </c>
      <c r="BL10" s="10" t="e">
        <f t="shared" si="25"/>
        <v>#REF!</v>
      </c>
      <c r="BM10" s="14" t="e">
        <f t="shared" ca="1" si="26"/>
        <v>#VALUE!</v>
      </c>
      <c r="BN10" s="15" t="e">
        <f ca="1">IF(BM10&gt;=#REF!/100,"Yes","No")</f>
        <v>#VALUE!</v>
      </c>
      <c r="BO10" s="6">
        <f t="shared" si="10"/>
        <v>4</v>
      </c>
      <c r="BP10" s="6" t="e">
        <f t="shared" ca="1" si="27"/>
        <v>#VALUE!</v>
      </c>
      <c r="BQ10" s="13" t="e">
        <f t="shared" ca="1" si="28"/>
        <v>#VALUE!</v>
      </c>
      <c r="BR10" s="10" t="e">
        <f t="shared" ca="1" si="11"/>
        <v>#VALUE!</v>
      </c>
      <c r="BS10" s="10" t="e">
        <f t="shared" ca="1" si="12"/>
        <v>#VALUE!</v>
      </c>
      <c r="BT10" s="10" t="e">
        <f t="shared" ca="1" si="29"/>
        <v>#VALUE!</v>
      </c>
      <c r="BU10" s="10" t="e">
        <f>#REF!</f>
        <v>#REF!</v>
      </c>
      <c r="BV10" s="10" t="e">
        <f t="shared" ca="1" si="30"/>
        <v>#VALUE!</v>
      </c>
      <c r="BW10" s="10" t="e">
        <f t="shared" ca="1" si="31"/>
        <v>#VALUE!</v>
      </c>
      <c r="BX10" s="10" t="e">
        <f t="shared" ca="1" si="32"/>
        <v>#VALUE!</v>
      </c>
      <c r="BY10" s="10" t="e">
        <f t="shared" ca="1" si="33"/>
        <v>#VALUE!</v>
      </c>
      <c r="BZ10" s="10" t="e">
        <f t="shared" si="34"/>
        <v>#REF!</v>
      </c>
      <c r="CA10" s="10" t="e">
        <f t="shared" si="35"/>
        <v>#REF!</v>
      </c>
      <c r="CB10" s="10" t="e">
        <f t="shared" si="36"/>
        <v>#REF!</v>
      </c>
      <c r="CC10" s="10" t="e">
        <f t="shared" si="37"/>
        <v>#REF!</v>
      </c>
      <c r="CD10" s="14" t="e">
        <f t="shared" ca="1" si="38"/>
        <v>#VALUE!</v>
      </c>
      <c r="CE10" s="15" t="e">
        <f ca="1">IF(CD10&gt;=#REF!/100,"Yes","No")</f>
        <v>#VALUE!</v>
      </c>
      <c r="CF10" s="6">
        <f t="shared" si="13"/>
        <v>2</v>
      </c>
      <c r="CG10" s="6" t="e">
        <f t="shared" ca="1" si="39"/>
        <v>#VALUE!</v>
      </c>
      <c r="CH10" s="13" t="e">
        <f t="shared" ca="1" si="40"/>
        <v>#VALUE!</v>
      </c>
      <c r="CI10" s="10" t="e">
        <f t="shared" ca="1" si="14"/>
        <v>#VALUE!</v>
      </c>
      <c r="CJ10" s="10" t="e">
        <f t="shared" ca="1" si="15"/>
        <v>#VALUE!</v>
      </c>
      <c r="CK10" s="10" t="e">
        <f t="shared" ca="1" si="41"/>
        <v>#VALUE!</v>
      </c>
      <c r="CL10" s="10" t="e">
        <f>#REF!</f>
        <v>#REF!</v>
      </c>
      <c r="CM10" s="10" t="e">
        <f t="shared" ca="1" si="42"/>
        <v>#VALUE!</v>
      </c>
      <c r="CN10" s="10" t="e">
        <f t="shared" ca="1" si="43"/>
        <v>#VALUE!</v>
      </c>
      <c r="CO10" s="10" t="e">
        <f t="shared" ca="1" si="44"/>
        <v>#VALUE!</v>
      </c>
      <c r="CP10" s="10" t="e">
        <f t="shared" ca="1" si="45"/>
        <v>#VALUE!</v>
      </c>
      <c r="CQ10" s="10" t="e">
        <f t="shared" si="46"/>
        <v>#REF!</v>
      </c>
      <c r="CR10" s="10" t="e">
        <f t="shared" si="47"/>
        <v>#REF!</v>
      </c>
      <c r="CS10" s="10" t="e">
        <f t="shared" si="48"/>
        <v>#REF!</v>
      </c>
      <c r="CT10" s="10" t="e">
        <f t="shared" si="49"/>
        <v>#REF!</v>
      </c>
      <c r="CU10" s="14" t="e">
        <f t="shared" ca="1" si="50"/>
        <v>#VALUE!</v>
      </c>
      <c r="CV10" s="15" t="e">
        <f ca="1">IF(CU10&gt;=#REF!/100,"Yes","No")</f>
        <v>#VALUE!</v>
      </c>
    </row>
    <row r="11" spans="1:100" x14ac:dyDescent="0.25">
      <c r="A11" t="s">
        <v>44</v>
      </c>
      <c r="B11" t="s">
        <v>45</v>
      </c>
      <c r="C11">
        <v>114202033</v>
      </c>
      <c r="D11" t="str">
        <f t="shared" si="5"/>
        <v>Akcan, Ömer Gökalp-114202033</v>
      </c>
      <c r="E11" s="22">
        <v>4</v>
      </c>
      <c r="F11" s="22">
        <v>2</v>
      </c>
      <c r="G11" s="22">
        <v>10</v>
      </c>
      <c r="H11" s="22">
        <v>8710620</v>
      </c>
      <c r="I11" s="22">
        <v>5171120</v>
      </c>
      <c r="J11" s="22">
        <v>5574085</v>
      </c>
      <c r="K11" s="22">
        <v>9849160</v>
      </c>
      <c r="L11" s="22">
        <v>100000</v>
      </c>
      <c r="M11" s="22">
        <v>108100</v>
      </c>
      <c r="N11" s="22">
        <v>117900</v>
      </c>
      <c r="O11" s="22">
        <v>127200</v>
      </c>
      <c r="P11" s="22">
        <v>127200</v>
      </c>
      <c r="Q11" s="22">
        <v>100000</v>
      </c>
      <c r="R11" s="22">
        <v>117900</v>
      </c>
      <c r="S11" s="22">
        <v>108100</v>
      </c>
      <c r="T11" s="24">
        <v>24000</v>
      </c>
      <c r="U11" s="22">
        <v>27007</v>
      </c>
      <c r="V11" s="22">
        <v>24907</v>
      </c>
      <c r="W11" s="22">
        <v>22507</v>
      </c>
      <c r="X11" s="22">
        <v>22507</v>
      </c>
      <c r="Y11" s="22">
        <v>29007</v>
      </c>
      <c r="Z11" s="22">
        <v>24907</v>
      </c>
      <c r="AA11" s="22">
        <v>27007</v>
      </c>
      <c r="AB11" s="24">
        <v>109000</v>
      </c>
      <c r="AC11" s="24">
        <v>109000</v>
      </c>
      <c r="AD11" s="24">
        <v>109000</v>
      </c>
      <c r="AE11" s="24">
        <v>111000</v>
      </c>
      <c r="AF11" s="24">
        <v>106500</v>
      </c>
      <c r="AG11" s="24">
        <v>105000</v>
      </c>
      <c r="AH11" s="24">
        <v>107000</v>
      </c>
      <c r="AI11" s="24">
        <v>109000</v>
      </c>
      <c r="AJ11" s="25">
        <v>3.9</v>
      </c>
      <c r="AK11" s="25">
        <v>9.4</v>
      </c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8">
        <f t="shared" si="6"/>
        <v>2</v>
      </c>
      <c r="AY11" s="8">
        <f t="shared" si="7"/>
        <v>3</v>
      </c>
      <c r="AZ11" s="16" t="str">
        <f t="shared" si="16"/>
        <v>∆(2-3)</v>
      </c>
      <c r="BA11" s="17">
        <f t="shared" ca="1" si="8"/>
        <v>-9900</v>
      </c>
      <c r="BB11" s="17">
        <f t="shared" ca="1" si="9"/>
        <v>2300</v>
      </c>
      <c r="BC11" s="17">
        <f t="shared" ca="1" si="17"/>
        <v>1980</v>
      </c>
      <c r="BD11" s="17" t="e">
        <f>#REF!</f>
        <v>#REF!</v>
      </c>
      <c r="BE11" s="17">
        <f t="shared" ca="1" si="18"/>
        <v>-9900</v>
      </c>
      <c r="BF11" s="17">
        <f t="shared" ca="1" si="19"/>
        <v>2300</v>
      </c>
      <c r="BG11" s="17">
        <f t="shared" ca="1" si="20"/>
        <v>2300</v>
      </c>
      <c r="BH11" s="17">
        <f t="shared" ca="1" si="21"/>
        <v>2300</v>
      </c>
      <c r="BI11" s="17" t="e">
        <f t="shared" si="22"/>
        <v>#REF!</v>
      </c>
      <c r="BJ11" s="17" t="e">
        <f t="shared" si="23"/>
        <v>#REF!</v>
      </c>
      <c r="BK11" s="17" t="e">
        <f t="shared" si="24"/>
        <v>#REF!</v>
      </c>
      <c r="BL11" s="17" t="e">
        <f t="shared" si="25"/>
        <v>#REF!</v>
      </c>
      <c r="BM11" s="18" t="e">
        <f t="shared" ca="1" si="26"/>
        <v>#VALUE!</v>
      </c>
      <c r="BN11" s="19" t="e">
        <f ca="1">IF(BM11&gt;=#REF!/100,"Yes","No")</f>
        <v>#VALUE!</v>
      </c>
      <c r="BO11" s="20">
        <f t="shared" si="10"/>
        <v>4</v>
      </c>
      <c r="BP11" s="20" t="e">
        <f t="shared" ca="1" si="27"/>
        <v>#VALUE!</v>
      </c>
      <c r="BQ11" s="16" t="e">
        <f t="shared" ca="1" si="28"/>
        <v>#VALUE!</v>
      </c>
      <c r="BR11" s="17" t="e">
        <f t="shared" ca="1" si="11"/>
        <v>#VALUE!</v>
      </c>
      <c r="BS11" s="17" t="e">
        <f t="shared" ca="1" si="12"/>
        <v>#VALUE!</v>
      </c>
      <c r="BT11" s="17" t="e">
        <f t="shared" ca="1" si="29"/>
        <v>#VALUE!</v>
      </c>
      <c r="BU11" s="17" t="e">
        <f>#REF!</f>
        <v>#REF!</v>
      </c>
      <c r="BV11" s="17" t="e">
        <f t="shared" ca="1" si="30"/>
        <v>#VALUE!</v>
      </c>
      <c r="BW11" s="17" t="e">
        <f t="shared" ca="1" si="31"/>
        <v>#VALUE!</v>
      </c>
      <c r="BX11" s="17" t="e">
        <f t="shared" ca="1" si="32"/>
        <v>#VALUE!</v>
      </c>
      <c r="BY11" s="17" t="e">
        <f t="shared" ca="1" si="33"/>
        <v>#VALUE!</v>
      </c>
      <c r="BZ11" s="17" t="e">
        <f t="shared" si="34"/>
        <v>#REF!</v>
      </c>
      <c r="CA11" s="17" t="e">
        <f t="shared" si="35"/>
        <v>#REF!</v>
      </c>
      <c r="CB11" s="17" t="e">
        <f t="shared" si="36"/>
        <v>#REF!</v>
      </c>
      <c r="CC11" s="17" t="e">
        <f t="shared" si="37"/>
        <v>#REF!</v>
      </c>
      <c r="CD11" s="18" t="e">
        <f t="shared" ca="1" si="38"/>
        <v>#VALUE!</v>
      </c>
      <c r="CE11" s="19" t="e">
        <f ca="1">IF(CD11&gt;=#REF!/100,"Yes","No")</f>
        <v>#VALUE!</v>
      </c>
      <c r="CF11" s="20">
        <f t="shared" si="13"/>
        <v>1</v>
      </c>
      <c r="CG11" s="20" t="e">
        <f t="shared" ca="1" si="39"/>
        <v>#VALUE!</v>
      </c>
      <c r="CH11" s="16" t="e">
        <f t="shared" ca="1" si="40"/>
        <v>#VALUE!</v>
      </c>
      <c r="CI11" s="17" t="e">
        <f t="shared" ca="1" si="14"/>
        <v>#VALUE!</v>
      </c>
      <c r="CJ11" s="17" t="e">
        <f t="shared" ca="1" si="15"/>
        <v>#VALUE!</v>
      </c>
      <c r="CK11" s="17" t="e">
        <f t="shared" ca="1" si="41"/>
        <v>#VALUE!</v>
      </c>
      <c r="CL11" s="17" t="e">
        <f>#REF!</f>
        <v>#REF!</v>
      </c>
      <c r="CM11" s="17" t="e">
        <f t="shared" ca="1" si="42"/>
        <v>#VALUE!</v>
      </c>
      <c r="CN11" s="17" t="e">
        <f t="shared" ca="1" si="43"/>
        <v>#VALUE!</v>
      </c>
      <c r="CO11" s="17" t="e">
        <f t="shared" ca="1" si="44"/>
        <v>#VALUE!</v>
      </c>
      <c r="CP11" s="17" t="e">
        <f t="shared" ca="1" si="45"/>
        <v>#VALUE!</v>
      </c>
      <c r="CQ11" s="17" t="e">
        <f t="shared" si="46"/>
        <v>#REF!</v>
      </c>
      <c r="CR11" s="17" t="e">
        <f t="shared" si="47"/>
        <v>#REF!</v>
      </c>
      <c r="CS11" s="17" t="e">
        <f t="shared" si="48"/>
        <v>#REF!</v>
      </c>
      <c r="CT11" s="17" t="e">
        <f t="shared" si="49"/>
        <v>#REF!</v>
      </c>
      <c r="CU11" s="18" t="e">
        <f t="shared" ca="1" si="50"/>
        <v>#VALUE!</v>
      </c>
      <c r="CV11" s="19" t="e">
        <f ca="1">IF(CU11&gt;=#REF!/100,"Yes","No")</f>
        <v>#VALUE!</v>
      </c>
    </row>
    <row r="12" spans="1:100" x14ac:dyDescent="0.25">
      <c r="A12" t="s">
        <v>46</v>
      </c>
      <c r="B12" t="s">
        <v>47</v>
      </c>
      <c r="C12">
        <v>116203034</v>
      </c>
      <c r="D12" t="str">
        <f t="shared" si="5"/>
        <v>Akçöl, Emre-116203034</v>
      </c>
      <c r="E12" s="22">
        <v>7</v>
      </c>
      <c r="F12" s="22">
        <v>1</v>
      </c>
      <c r="G12" s="22">
        <v>8</v>
      </c>
      <c r="H12" s="22">
        <v>8845193</v>
      </c>
      <c r="I12" s="22">
        <v>1738251</v>
      </c>
      <c r="J12" s="22">
        <v>992319</v>
      </c>
      <c r="K12" s="22">
        <v>2680438</v>
      </c>
      <c r="L12" s="22">
        <v>100000</v>
      </c>
      <c r="M12" s="22">
        <v>108100</v>
      </c>
      <c r="N12" s="22">
        <v>117400</v>
      </c>
      <c r="O12" s="22">
        <v>126800</v>
      </c>
      <c r="P12" s="22">
        <v>100000</v>
      </c>
      <c r="Q12" s="22">
        <v>126800</v>
      </c>
      <c r="R12" s="22">
        <v>108100</v>
      </c>
      <c r="S12" s="22">
        <v>117400</v>
      </c>
      <c r="T12" s="24">
        <v>29000</v>
      </c>
      <c r="U12" s="22">
        <v>26508</v>
      </c>
      <c r="V12" s="22">
        <v>24408</v>
      </c>
      <c r="W12" s="22">
        <v>21908</v>
      </c>
      <c r="X12" s="22">
        <v>29008</v>
      </c>
      <c r="Y12" s="22">
        <v>21908</v>
      </c>
      <c r="Z12" s="22">
        <v>26508</v>
      </c>
      <c r="AA12" s="22">
        <v>24408</v>
      </c>
      <c r="AB12" s="24">
        <v>98000</v>
      </c>
      <c r="AC12" s="24">
        <v>102000</v>
      </c>
      <c r="AD12" s="24">
        <v>106000</v>
      </c>
      <c r="AE12" s="24">
        <v>106000</v>
      </c>
      <c r="AF12" s="24">
        <v>96000</v>
      </c>
      <c r="AG12" s="24">
        <v>100500</v>
      </c>
      <c r="AH12" s="24">
        <v>103000</v>
      </c>
      <c r="AI12" s="24">
        <v>102500</v>
      </c>
      <c r="AJ12" s="25">
        <v>4.4000000000000004</v>
      </c>
      <c r="AK12" s="25">
        <v>8.6999999999999993</v>
      </c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8">
        <f t="shared" si="6"/>
        <v>4</v>
      </c>
      <c r="AY12" s="8">
        <f t="shared" si="7"/>
        <v>2</v>
      </c>
      <c r="AZ12" s="13" t="str">
        <f t="shared" si="16"/>
        <v>∆(4-2)</v>
      </c>
      <c r="BA12" s="10">
        <f t="shared" ca="1" si="8"/>
        <v>-8100</v>
      </c>
      <c r="BB12" s="10">
        <f t="shared" ca="1" si="9"/>
        <v>2000</v>
      </c>
      <c r="BC12" s="10">
        <f t="shared" ca="1" si="17"/>
        <v>1620</v>
      </c>
      <c r="BD12" s="10" t="e">
        <f>#REF!</f>
        <v>#REF!</v>
      </c>
      <c r="BE12" s="10">
        <f t="shared" ca="1" si="18"/>
        <v>-8100</v>
      </c>
      <c r="BF12" s="10">
        <f t="shared" ca="1" si="19"/>
        <v>2000</v>
      </c>
      <c r="BG12" s="10">
        <f t="shared" ca="1" si="20"/>
        <v>2000</v>
      </c>
      <c r="BH12" s="10">
        <f t="shared" ca="1" si="21"/>
        <v>2000</v>
      </c>
      <c r="BI12" s="10" t="e">
        <f t="shared" si="22"/>
        <v>#REF!</v>
      </c>
      <c r="BJ12" s="10" t="e">
        <f t="shared" si="23"/>
        <v>#REF!</v>
      </c>
      <c r="BK12" s="10" t="e">
        <f t="shared" si="24"/>
        <v>#REF!</v>
      </c>
      <c r="BL12" s="10" t="e">
        <f t="shared" si="25"/>
        <v>#REF!</v>
      </c>
      <c r="BM12" s="14" t="e">
        <f t="shared" ca="1" si="26"/>
        <v>#VALUE!</v>
      </c>
      <c r="BN12" s="15" t="e">
        <f ca="1">IF(BM12&gt;=#REF!/100,"Yes","No")</f>
        <v>#VALUE!</v>
      </c>
      <c r="BO12" s="6">
        <f t="shared" si="10"/>
        <v>3</v>
      </c>
      <c r="BP12" s="6" t="e">
        <f t="shared" ca="1" si="27"/>
        <v>#VALUE!</v>
      </c>
      <c r="BQ12" s="13" t="e">
        <f t="shared" ca="1" si="28"/>
        <v>#VALUE!</v>
      </c>
      <c r="BR12" s="10" t="e">
        <f t="shared" ca="1" si="11"/>
        <v>#VALUE!</v>
      </c>
      <c r="BS12" s="10" t="e">
        <f t="shared" ca="1" si="12"/>
        <v>#VALUE!</v>
      </c>
      <c r="BT12" s="10" t="e">
        <f t="shared" ca="1" si="29"/>
        <v>#VALUE!</v>
      </c>
      <c r="BU12" s="10" t="e">
        <f>#REF!</f>
        <v>#REF!</v>
      </c>
      <c r="BV12" s="10" t="e">
        <f t="shared" ca="1" si="30"/>
        <v>#VALUE!</v>
      </c>
      <c r="BW12" s="10" t="e">
        <f t="shared" ca="1" si="31"/>
        <v>#VALUE!</v>
      </c>
      <c r="BX12" s="10" t="e">
        <f t="shared" ca="1" si="32"/>
        <v>#VALUE!</v>
      </c>
      <c r="BY12" s="10" t="e">
        <f t="shared" ca="1" si="33"/>
        <v>#VALUE!</v>
      </c>
      <c r="BZ12" s="10" t="e">
        <f t="shared" si="34"/>
        <v>#REF!</v>
      </c>
      <c r="CA12" s="10" t="e">
        <f t="shared" si="35"/>
        <v>#REF!</v>
      </c>
      <c r="CB12" s="10" t="e">
        <f t="shared" si="36"/>
        <v>#REF!</v>
      </c>
      <c r="CC12" s="10" t="e">
        <f t="shared" si="37"/>
        <v>#REF!</v>
      </c>
      <c r="CD12" s="14" t="e">
        <f t="shared" ca="1" si="38"/>
        <v>#VALUE!</v>
      </c>
      <c r="CE12" s="15" t="e">
        <f ca="1">IF(CD12&gt;=#REF!/100,"Yes","No")</f>
        <v>#VALUE!</v>
      </c>
      <c r="CF12" s="6">
        <f t="shared" si="13"/>
        <v>1</v>
      </c>
      <c r="CG12" s="6" t="e">
        <f t="shared" ca="1" si="39"/>
        <v>#VALUE!</v>
      </c>
      <c r="CH12" s="13" t="e">
        <f t="shared" ca="1" si="40"/>
        <v>#VALUE!</v>
      </c>
      <c r="CI12" s="10" t="e">
        <f t="shared" ca="1" si="14"/>
        <v>#VALUE!</v>
      </c>
      <c r="CJ12" s="10" t="e">
        <f t="shared" ca="1" si="15"/>
        <v>#VALUE!</v>
      </c>
      <c r="CK12" s="10" t="e">
        <f t="shared" ca="1" si="41"/>
        <v>#VALUE!</v>
      </c>
      <c r="CL12" s="10" t="e">
        <f>#REF!</f>
        <v>#REF!</v>
      </c>
      <c r="CM12" s="10" t="e">
        <f t="shared" ca="1" si="42"/>
        <v>#VALUE!</v>
      </c>
      <c r="CN12" s="10" t="e">
        <f t="shared" ca="1" si="43"/>
        <v>#VALUE!</v>
      </c>
      <c r="CO12" s="10" t="e">
        <f t="shared" ca="1" si="44"/>
        <v>#VALUE!</v>
      </c>
      <c r="CP12" s="10" t="e">
        <f t="shared" ca="1" si="45"/>
        <v>#VALUE!</v>
      </c>
      <c r="CQ12" s="10" t="e">
        <f t="shared" si="46"/>
        <v>#REF!</v>
      </c>
      <c r="CR12" s="10" t="e">
        <f t="shared" si="47"/>
        <v>#REF!</v>
      </c>
      <c r="CS12" s="10" t="e">
        <f t="shared" si="48"/>
        <v>#REF!</v>
      </c>
      <c r="CT12" s="10" t="e">
        <f t="shared" si="49"/>
        <v>#REF!</v>
      </c>
      <c r="CU12" s="14" t="e">
        <f t="shared" ca="1" si="50"/>
        <v>#VALUE!</v>
      </c>
      <c r="CV12" s="15" t="e">
        <f ca="1">IF(CU12&gt;=#REF!/100,"Yes","No")</f>
        <v>#VALUE!</v>
      </c>
    </row>
    <row r="13" spans="1:100" x14ac:dyDescent="0.25">
      <c r="A13" t="s">
        <v>48</v>
      </c>
      <c r="B13" t="s">
        <v>49</v>
      </c>
      <c r="C13">
        <v>114207019</v>
      </c>
      <c r="D13" t="str">
        <f t="shared" si="5"/>
        <v>Akdemir, Bora-114207019</v>
      </c>
      <c r="E13" s="22">
        <v>7</v>
      </c>
      <c r="F13" s="22">
        <v>3</v>
      </c>
      <c r="G13" s="22">
        <v>15</v>
      </c>
      <c r="H13" s="22">
        <v>3469763</v>
      </c>
      <c r="I13" s="22">
        <v>6973779</v>
      </c>
      <c r="J13" s="22">
        <v>2723814</v>
      </c>
      <c r="K13" s="22">
        <v>7915914</v>
      </c>
      <c r="L13" s="22">
        <v>100000</v>
      </c>
      <c r="M13" s="22">
        <v>109300</v>
      </c>
      <c r="N13" s="22">
        <v>117300</v>
      </c>
      <c r="O13" s="22">
        <v>125400</v>
      </c>
      <c r="P13" s="22">
        <v>125400</v>
      </c>
      <c r="Q13" s="22">
        <v>109300</v>
      </c>
      <c r="R13" s="22">
        <v>100000</v>
      </c>
      <c r="S13" s="22">
        <v>117300</v>
      </c>
      <c r="T13" s="24">
        <v>29000</v>
      </c>
      <c r="U13" s="22">
        <v>26709</v>
      </c>
      <c r="V13" s="22">
        <v>24209</v>
      </c>
      <c r="W13" s="22">
        <v>22109</v>
      </c>
      <c r="X13" s="22">
        <v>22109</v>
      </c>
      <c r="Y13" s="22">
        <v>26709</v>
      </c>
      <c r="Z13" s="22">
        <v>29009</v>
      </c>
      <c r="AA13" s="22">
        <v>24209</v>
      </c>
      <c r="AB13" s="24">
        <v>104000</v>
      </c>
      <c r="AC13" s="24">
        <v>108000</v>
      </c>
      <c r="AD13" s="24">
        <v>111000</v>
      </c>
      <c r="AE13" s="24">
        <v>112000</v>
      </c>
      <c r="AF13" s="24">
        <v>102500</v>
      </c>
      <c r="AG13" s="24">
        <v>104000</v>
      </c>
      <c r="AH13" s="24">
        <v>107000</v>
      </c>
      <c r="AI13" s="24">
        <v>110500</v>
      </c>
      <c r="AJ13" s="25">
        <v>4.7</v>
      </c>
      <c r="AK13" s="25">
        <v>7.9</v>
      </c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8">
        <f t="shared" si="6"/>
        <v>3</v>
      </c>
      <c r="AY13" s="8">
        <f t="shared" si="7"/>
        <v>1</v>
      </c>
      <c r="AZ13" s="16" t="str">
        <f t="shared" si="16"/>
        <v>∆(3-1)</v>
      </c>
      <c r="BA13" s="17">
        <f t="shared" ca="1" si="8"/>
        <v>-8100</v>
      </c>
      <c r="BB13" s="17">
        <f t="shared" ca="1" si="9"/>
        <v>2500</v>
      </c>
      <c r="BC13" s="17">
        <f t="shared" ca="1" si="17"/>
        <v>1620</v>
      </c>
      <c r="BD13" s="17" t="e">
        <f>#REF!</f>
        <v>#REF!</v>
      </c>
      <c r="BE13" s="17">
        <f t="shared" ca="1" si="18"/>
        <v>-8100</v>
      </c>
      <c r="BF13" s="17">
        <f t="shared" ca="1" si="19"/>
        <v>2500</v>
      </c>
      <c r="BG13" s="17">
        <f t="shared" ca="1" si="20"/>
        <v>2500</v>
      </c>
      <c r="BH13" s="17">
        <f t="shared" ca="1" si="21"/>
        <v>2500</v>
      </c>
      <c r="BI13" s="17" t="e">
        <f t="shared" si="22"/>
        <v>#REF!</v>
      </c>
      <c r="BJ13" s="17" t="e">
        <f t="shared" si="23"/>
        <v>#REF!</v>
      </c>
      <c r="BK13" s="17" t="e">
        <f t="shared" si="24"/>
        <v>#REF!</v>
      </c>
      <c r="BL13" s="17" t="e">
        <f t="shared" si="25"/>
        <v>#REF!</v>
      </c>
      <c r="BM13" s="18" t="e">
        <f t="shared" ca="1" si="26"/>
        <v>#VALUE!</v>
      </c>
      <c r="BN13" s="19" t="e">
        <f ca="1">IF(BM13&gt;=#REF!/100,"Yes","No")</f>
        <v>#VALUE!</v>
      </c>
      <c r="BO13" s="20">
        <f t="shared" si="10"/>
        <v>4</v>
      </c>
      <c r="BP13" s="20" t="e">
        <f t="shared" ca="1" si="27"/>
        <v>#VALUE!</v>
      </c>
      <c r="BQ13" s="16" t="e">
        <f t="shared" ca="1" si="28"/>
        <v>#VALUE!</v>
      </c>
      <c r="BR13" s="17" t="e">
        <f t="shared" ca="1" si="11"/>
        <v>#VALUE!</v>
      </c>
      <c r="BS13" s="17" t="e">
        <f t="shared" ca="1" si="12"/>
        <v>#VALUE!</v>
      </c>
      <c r="BT13" s="17" t="e">
        <f t="shared" ca="1" si="29"/>
        <v>#VALUE!</v>
      </c>
      <c r="BU13" s="17" t="e">
        <f>#REF!</f>
        <v>#REF!</v>
      </c>
      <c r="BV13" s="17" t="e">
        <f t="shared" ca="1" si="30"/>
        <v>#VALUE!</v>
      </c>
      <c r="BW13" s="17" t="e">
        <f t="shared" ca="1" si="31"/>
        <v>#VALUE!</v>
      </c>
      <c r="BX13" s="17" t="e">
        <f t="shared" ca="1" si="32"/>
        <v>#VALUE!</v>
      </c>
      <c r="BY13" s="17" t="e">
        <f t="shared" ca="1" si="33"/>
        <v>#VALUE!</v>
      </c>
      <c r="BZ13" s="17" t="e">
        <f t="shared" si="34"/>
        <v>#REF!</v>
      </c>
      <c r="CA13" s="17" t="e">
        <f t="shared" si="35"/>
        <v>#REF!</v>
      </c>
      <c r="CB13" s="17" t="e">
        <f t="shared" si="36"/>
        <v>#REF!</v>
      </c>
      <c r="CC13" s="17" t="e">
        <f t="shared" si="37"/>
        <v>#REF!</v>
      </c>
      <c r="CD13" s="18" t="e">
        <f t="shared" ca="1" si="38"/>
        <v>#VALUE!</v>
      </c>
      <c r="CE13" s="19" t="e">
        <f ca="1">IF(CD13&gt;=#REF!/100,"Yes","No")</f>
        <v>#VALUE!</v>
      </c>
      <c r="CF13" s="20">
        <f t="shared" si="13"/>
        <v>2</v>
      </c>
      <c r="CG13" s="20" t="e">
        <f t="shared" ca="1" si="39"/>
        <v>#VALUE!</v>
      </c>
      <c r="CH13" s="16" t="e">
        <f t="shared" ca="1" si="40"/>
        <v>#VALUE!</v>
      </c>
      <c r="CI13" s="17" t="e">
        <f t="shared" ca="1" si="14"/>
        <v>#VALUE!</v>
      </c>
      <c r="CJ13" s="17" t="e">
        <f t="shared" ca="1" si="15"/>
        <v>#VALUE!</v>
      </c>
      <c r="CK13" s="17" t="e">
        <f t="shared" ca="1" si="41"/>
        <v>#VALUE!</v>
      </c>
      <c r="CL13" s="17" t="e">
        <f>#REF!</f>
        <v>#REF!</v>
      </c>
      <c r="CM13" s="17" t="e">
        <f t="shared" ca="1" si="42"/>
        <v>#VALUE!</v>
      </c>
      <c r="CN13" s="17" t="e">
        <f t="shared" ca="1" si="43"/>
        <v>#VALUE!</v>
      </c>
      <c r="CO13" s="17" t="e">
        <f t="shared" ca="1" si="44"/>
        <v>#VALUE!</v>
      </c>
      <c r="CP13" s="17" t="e">
        <f t="shared" ca="1" si="45"/>
        <v>#VALUE!</v>
      </c>
      <c r="CQ13" s="17" t="e">
        <f t="shared" si="46"/>
        <v>#REF!</v>
      </c>
      <c r="CR13" s="17" t="e">
        <f t="shared" si="47"/>
        <v>#REF!</v>
      </c>
      <c r="CS13" s="17" t="e">
        <f t="shared" si="48"/>
        <v>#REF!</v>
      </c>
      <c r="CT13" s="17" t="e">
        <f t="shared" si="49"/>
        <v>#REF!</v>
      </c>
      <c r="CU13" s="18" t="e">
        <f t="shared" ca="1" si="50"/>
        <v>#VALUE!</v>
      </c>
      <c r="CV13" s="19" t="e">
        <f ca="1">IF(CU13&gt;=#REF!/100,"Yes","No")</f>
        <v>#VALUE!</v>
      </c>
    </row>
    <row r="14" spans="1:100" x14ac:dyDescent="0.25">
      <c r="A14" t="s">
        <v>50</v>
      </c>
      <c r="B14" t="s">
        <v>51</v>
      </c>
      <c r="C14">
        <v>113204013</v>
      </c>
      <c r="D14" t="str">
        <f t="shared" si="5"/>
        <v>Akgül, Berk-113204013</v>
      </c>
      <c r="E14" s="22">
        <v>4</v>
      </c>
      <c r="F14" s="22">
        <v>1</v>
      </c>
      <c r="G14" s="22">
        <v>8</v>
      </c>
      <c r="H14" s="22">
        <v>705168</v>
      </c>
      <c r="I14" s="22">
        <v>7757862</v>
      </c>
      <c r="J14" s="22">
        <v>8407614</v>
      </c>
      <c r="K14" s="22">
        <v>4399147</v>
      </c>
      <c r="L14" s="22">
        <v>100000</v>
      </c>
      <c r="M14" s="22">
        <v>108000</v>
      </c>
      <c r="N14" s="22">
        <v>117400</v>
      </c>
      <c r="O14" s="22">
        <v>127400</v>
      </c>
      <c r="P14" s="22">
        <v>117400</v>
      </c>
      <c r="Q14" s="22">
        <v>108000</v>
      </c>
      <c r="R14" s="22">
        <v>127400</v>
      </c>
      <c r="S14" s="22">
        <v>100000</v>
      </c>
      <c r="T14" s="24">
        <v>27000</v>
      </c>
      <c r="U14" s="22">
        <v>26710</v>
      </c>
      <c r="V14" s="22">
        <v>24510</v>
      </c>
      <c r="W14" s="22">
        <v>22510</v>
      </c>
      <c r="X14" s="22">
        <v>24510</v>
      </c>
      <c r="Y14" s="22">
        <v>26710</v>
      </c>
      <c r="Z14" s="22">
        <v>22510</v>
      </c>
      <c r="AA14" s="22">
        <v>29010</v>
      </c>
      <c r="AB14" s="24">
        <v>101000</v>
      </c>
      <c r="AC14" s="24">
        <v>102000</v>
      </c>
      <c r="AD14" s="24">
        <v>104000</v>
      </c>
      <c r="AE14" s="24">
        <v>101000</v>
      </c>
      <c r="AF14" s="24">
        <v>99000</v>
      </c>
      <c r="AG14" s="24">
        <v>100000</v>
      </c>
      <c r="AH14" s="24">
        <v>101500</v>
      </c>
      <c r="AI14" s="24">
        <v>97000</v>
      </c>
      <c r="AJ14" s="25">
        <v>3.5</v>
      </c>
      <c r="AK14" s="25">
        <v>7.6</v>
      </c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8">
        <f t="shared" si="6"/>
        <v>2</v>
      </c>
      <c r="AY14" s="8">
        <f t="shared" si="7"/>
        <v>3</v>
      </c>
      <c r="AZ14" s="13" t="str">
        <f t="shared" si="16"/>
        <v>∆(2-3)</v>
      </c>
      <c r="BA14" s="10">
        <f t="shared" ca="1" si="8"/>
        <v>-9300</v>
      </c>
      <c r="BB14" s="10">
        <f t="shared" ca="1" si="9"/>
        <v>2300</v>
      </c>
      <c r="BC14" s="10">
        <f t="shared" ca="1" si="17"/>
        <v>1860</v>
      </c>
      <c r="BD14" s="10" t="e">
        <f>#REF!</f>
        <v>#REF!</v>
      </c>
      <c r="BE14" s="10">
        <f t="shared" ca="1" si="18"/>
        <v>-9300</v>
      </c>
      <c r="BF14" s="10">
        <f t="shared" ca="1" si="19"/>
        <v>2300</v>
      </c>
      <c r="BG14" s="10">
        <f t="shared" ca="1" si="20"/>
        <v>2300</v>
      </c>
      <c r="BH14" s="10">
        <f t="shared" ca="1" si="21"/>
        <v>2300</v>
      </c>
      <c r="BI14" s="10" t="e">
        <f t="shared" si="22"/>
        <v>#REF!</v>
      </c>
      <c r="BJ14" s="10" t="e">
        <f t="shared" si="23"/>
        <v>#REF!</v>
      </c>
      <c r="BK14" s="10" t="e">
        <f t="shared" si="24"/>
        <v>#REF!</v>
      </c>
      <c r="BL14" s="10" t="e">
        <f t="shared" si="25"/>
        <v>#REF!</v>
      </c>
      <c r="BM14" s="14" t="e">
        <f t="shared" ca="1" si="26"/>
        <v>#VALUE!</v>
      </c>
      <c r="BN14" s="15" t="e">
        <f ca="1">IF(BM14&gt;=#REF!/100,"Yes","No")</f>
        <v>#VALUE!</v>
      </c>
      <c r="BO14" s="6">
        <f t="shared" si="10"/>
        <v>4</v>
      </c>
      <c r="BP14" s="6" t="e">
        <f t="shared" ca="1" si="27"/>
        <v>#VALUE!</v>
      </c>
      <c r="BQ14" s="13" t="e">
        <f t="shared" ca="1" si="28"/>
        <v>#VALUE!</v>
      </c>
      <c r="BR14" s="10" t="e">
        <f t="shared" ca="1" si="11"/>
        <v>#VALUE!</v>
      </c>
      <c r="BS14" s="10" t="e">
        <f t="shared" ca="1" si="12"/>
        <v>#VALUE!</v>
      </c>
      <c r="BT14" s="10" t="e">
        <f t="shared" ca="1" si="29"/>
        <v>#VALUE!</v>
      </c>
      <c r="BU14" s="10" t="e">
        <f>#REF!</f>
        <v>#REF!</v>
      </c>
      <c r="BV14" s="10" t="e">
        <f t="shared" ca="1" si="30"/>
        <v>#VALUE!</v>
      </c>
      <c r="BW14" s="10" t="e">
        <f t="shared" ca="1" si="31"/>
        <v>#VALUE!</v>
      </c>
      <c r="BX14" s="10" t="e">
        <f t="shared" ca="1" si="32"/>
        <v>#VALUE!</v>
      </c>
      <c r="BY14" s="10" t="e">
        <f t="shared" ca="1" si="33"/>
        <v>#VALUE!</v>
      </c>
      <c r="BZ14" s="10" t="e">
        <f t="shared" si="34"/>
        <v>#REF!</v>
      </c>
      <c r="CA14" s="10" t="e">
        <f t="shared" si="35"/>
        <v>#REF!</v>
      </c>
      <c r="CB14" s="10" t="e">
        <f t="shared" si="36"/>
        <v>#REF!</v>
      </c>
      <c r="CC14" s="10" t="e">
        <f t="shared" si="37"/>
        <v>#REF!</v>
      </c>
      <c r="CD14" s="14" t="e">
        <f t="shared" ca="1" si="38"/>
        <v>#VALUE!</v>
      </c>
      <c r="CE14" s="15" t="e">
        <f ca="1">IF(CD14&gt;=#REF!/100,"Yes","No")</f>
        <v>#VALUE!</v>
      </c>
      <c r="CF14" s="6">
        <f t="shared" si="13"/>
        <v>1</v>
      </c>
      <c r="CG14" s="6" t="e">
        <f t="shared" ca="1" si="39"/>
        <v>#VALUE!</v>
      </c>
      <c r="CH14" s="13" t="e">
        <f t="shared" ca="1" si="40"/>
        <v>#VALUE!</v>
      </c>
      <c r="CI14" s="10" t="e">
        <f t="shared" ca="1" si="14"/>
        <v>#VALUE!</v>
      </c>
      <c r="CJ14" s="10" t="e">
        <f t="shared" ca="1" si="15"/>
        <v>#VALUE!</v>
      </c>
      <c r="CK14" s="10" t="e">
        <f t="shared" ca="1" si="41"/>
        <v>#VALUE!</v>
      </c>
      <c r="CL14" s="10" t="e">
        <f>#REF!</f>
        <v>#REF!</v>
      </c>
      <c r="CM14" s="10" t="e">
        <f t="shared" ca="1" si="42"/>
        <v>#VALUE!</v>
      </c>
      <c r="CN14" s="10" t="e">
        <f t="shared" ca="1" si="43"/>
        <v>#VALUE!</v>
      </c>
      <c r="CO14" s="10" t="e">
        <f t="shared" ca="1" si="44"/>
        <v>#VALUE!</v>
      </c>
      <c r="CP14" s="10" t="e">
        <f t="shared" ca="1" si="45"/>
        <v>#VALUE!</v>
      </c>
      <c r="CQ14" s="10" t="e">
        <f t="shared" si="46"/>
        <v>#REF!</v>
      </c>
      <c r="CR14" s="10" t="e">
        <f t="shared" si="47"/>
        <v>#REF!</v>
      </c>
      <c r="CS14" s="10" t="e">
        <f t="shared" si="48"/>
        <v>#REF!</v>
      </c>
      <c r="CT14" s="10" t="e">
        <f t="shared" si="49"/>
        <v>#REF!</v>
      </c>
      <c r="CU14" s="14" t="e">
        <f t="shared" ca="1" si="50"/>
        <v>#VALUE!</v>
      </c>
      <c r="CV14" s="15" t="e">
        <f ca="1">IF(CU14&gt;=#REF!/100,"Yes","No")</f>
        <v>#VALUE!</v>
      </c>
    </row>
    <row r="15" spans="1:100" x14ac:dyDescent="0.25">
      <c r="A15" t="s">
        <v>52</v>
      </c>
      <c r="B15" t="s">
        <v>53</v>
      </c>
      <c r="C15">
        <v>116201146</v>
      </c>
      <c r="D15" t="str">
        <f t="shared" si="5"/>
        <v>Akın, Hayriye-116201146</v>
      </c>
      <c r="E15" s="22">
        <v>5</v>
      </c>
      <c r="F15" s="22">
        <v>1</v>
      </c>
      <c r="G15" s="22">
        <v>8</v>
      </c>
      <c r="H15" s="22">
        <v>1008791</v>
      </c>
      <c r="I15" s="22">
        <v>217562</v>
      </c>
      <c r="J15" s="22">
        <v>9316173</v>
      </c>
      <c r="K15" s="22">
        <v>1791872</v>
      </c>
      <c r="L15" s="22">
        <v>100000</v>
      </c>
      <c r="M15" s="22">
        <v>108200</v>
      </c>
      <c r="N15" s="22">
        <v>117400</v>
      </c>
      <c r="O15" s="22">
        <v>127000</v>
      </c>
      <c r="P15" s="22">
        <v>117400</v>
      </c>
      <c r="Q15" s="22">
        <v>127000</v>
      </c>
      <c r="R15" s="22">
        <v>100000</v>
      </c>
      <c r="S15" s="22">
        <v>108200</v>
      </c>
      <c r="T15" s="24">
        <v>27000</v>
      </c>
      <c r="U15" s="22">
        <v>26911</v>
      </c>
      <c r="V15" s="22">
        <v>24711</v>
      </c>
      <c r="W15" s="22">
        <v>22311</v>
      </c>
      <c r="X15" s="22">
        <v>24711</v>
      </c>
      <c r="Y15" s="22">
        <v>22311</v>
      </c>
      <c r="Z15" s="22">
        <v>29011</v>
      </c>
      <c r="AA15" s="22">
        <v>26911</v>
      </c>
      <c r="AB15" s="24">
        <v>109000</v>
      </c>
      <c r="AC15" s="24">
        <v>113000</v>
      </c>
      <c r="AD15" s="24">
        <v>113000</v>
      </c>
      <c r="AE15" s="24">
        <v>116000</v>
      </c>
      <c r="AF15" s="24">
        <v>107000</v>
      </c>
      <c r="AG15" s="24">
        <v>109500</v>
      </c>
      <c r="AH15" s="24">
        <v>109000</v>
      </c>
      <c r="AI15" s="24">
        <v>113000</v>
      </c>
      <c r="AJ15" s="25">
        <v>3.1</v>
      </c>
      <c r="AK15" s="25">
        <v>7.3</v>
      </c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8">
        <f t="shared" si="6"/>
        <v>2</v>
      </c>
      <c r="AY15" s="8">
        <f t="shared" si="7"/>
        <v>4</v>
      </c>
      <c r="AZ15" s="16" t="str">
        <f t="shared" si="16"/>
        <v>∆(2-4)</v>
      </c>
      <c r="BA15" s="17">
        <f t="shared" ca="1" si="8"/>
        <v>-8000</v>
      </c>
      <c r="BB15" s="17">
        <f t="shared" ca="1" si="9"/>
        <v>2300</v>
      </c>
      <c r="BC15" s="17">
        <f t="shared" ca="1" si="17"/>
        <v>1600</v>
      </c>
      <c r="BD15" s="17" t="e">
        <f>#REF!</f>
        <v>#REF!</v>
      </c>
      <c r="BE15" s="17">
        <f t="shared" ca="1" si="18"/>
        <v>-8000</v>
      </c>
      <c r="BF15" s="17">
        <f t="shared" ca="1" si="19"/>
        <v>2300</v>
      </c>
      <c r="BG15" s="17">
        <f t="shared" ca="1" si="20"/>
        <v>2300</v>
      </c>
      <c r="BH15" s="17">
        <f t="shared" ca="1" si="21"/>
        <v>2300</v>
      </c>
      <c r="BI15" s="17" t="e">
        <f t="shared" si="22"/>
        <v>#REF!</v>
      </c>
      <c r="BJ15" s="17" t="e">
        <f t="shared" si="23"/>
        <v>#REF!</v>
      </c>
      <c r="BK15" s="17" t="e">
        <f t="shared" si="24"/>
        <v>#REF!</v>
      </c>
      <c r="BL15" s="17" t="e">
        <f t="shared" si="25"/>
        <v>#REF!</v>
      </c>
      <c r="BM15" s="18" t="e">
        <f t="shared" ca="1" si="26"/>
        <v>#VALUE!</v>
      </c>
      <c r="BN15" s="19" t="e">
        <f ca="1">IF(BM15&gt;=#REF!/100,"Yes","No")</f>
        <v>#VALUE!</v>
      </c>
      <c r="BO15" s="20">
        <f t="shared" si="10"/>
        <v>1</v>
      </c>
      <c r="BP15" s="20" t="e">
        <f t="shared" ca="1" si="27"/>
        <v>#VALUE!</v>
      </c>
      <c r="BQ15" s="16" t="e">
        <f t="shared" ca="1" si="28"/>
        <v>#VALUE!</v>
      </c>
      <c r="BR15" s="17" t="e">
        <f t="shared" ca="1" si="11"/>
        <v>#VALUE!</v>
      </c>
      <c r="BS15" s="17" t="e">
        <f t="shared" ca="1" si="12"/>
        <v>#VALUE!</v>
      </c>
      <c r="BT15" s="17" t="e">
        <f t="shared" ca="1" si="29"/>
        <v>#VALUE!</v>
      </c>
      <c r="BU15" s="17" t="e">
        <f>#REF!</f>
        <v>#REF!</v>
      </c>
      <c r="BV15" s="17" t="e">
        <f t="shared" ca="1" si="30"/>
        <v>#VALUE!</v>
      </c>
      <c r="BW15" s="17" t="e">
        <f t="shared" ca="1" si="31"/>
        <v>#VALUE!</v>
      </c>
      <c r="BX15" s="17" t="e">
        <f t="shared" ca="1" si="32"/>
        <v>#VALUE!</v>
      </c>
      <c r="BY15" s="17" t="e">
        <f t="shared" ca="1" si="33"/>
        <v>#VALUE!</v>
      </c>
      <c r="BZ15" s="17" t="e">
        <f t="shared" si="34"/>
        <v>#REF!</v>
      </c>
      <c r="CA15" s="17" t="e">
        <f t="shared" si="35"/>
        <v>#REF!</v>
      </c>
      <c r="CB15" s="17" t="e">
        <f t="shared" si="36"/>
        <v>#REF!</v>
      </c>
      <c r="CC15" s="17" t="e">
        <f t="shared" si="37"/>
        <v>#REF!</v>
      </c>
      <c r="CD15" s="18" t="e">
        <f t="shared" ca="1" si="38"/>
        <v>#VALUE!</v>
      </c>
      <c r="CE15" s="19" t="e">
        <f ca="1">IF(CD15&gt;=#REF!/100,"Yes","No")</f>
        <v>#VALUE!</v>
      </c>
      <c r="CF15" s="20">
        <f t="shared" si="13"/>
        <v>3</v>
      </c>
      <c r="CG15" s="20" t="e">
        <f t="shared" ca="1" si="39"/>
        <v>#VALUE!</v>
      </c>
      <c r="CH15" s="16" t="e">
        <f t="shared" ca="1" si="40"/>
        <v>#VALUE!</v>
      </c>
      <c r="CI15" s="17" t="e">
        <f t="shared" ca="1" si="14"/>
        <v>#VALUE!</v>
      </c>
      <c r="CJ15" s="17" t="e">
        <f t="shared" ca="1" si="15"/>
        <v>#VALUE!</v>
      </c>
      <c r="CK15" s="17" t="e">
        <f t="shared" ca="1" si="41"/>
        <v>#VALUE!</v>
      </c>
      <c r="CL15" s="17" t="e">
        <f>#REF!</f>
        <v>#REF!</v>
      </c>
      <c r="CM15" s="17" t="e">
        <f t="shared" ca="1" si="42"/>
        <v>#VALUE!</v>
      </c>
      <c r="CN15" s="17" t="e">
        <f t="shared" ca="1" si="43"/>
        <v>#VALUE!</v>
      </c>
      <c r="CO15" s="17" t="e">
        <f t="shared" ca="1" si="44"/>
        <v>#VALUE!</v>
      </c>
      <c r="CP15" s="17" t="e">
        <f t="shared" ca="1" si="45"/>
        <v>#VALUE!</v>
      </c>
      <c r="CQ15" s="17" t="e">
        <f t="shared" si="46"/>
        <v>#REF!</v>
      </c>
      <c r="CR15" s="17" t="e">
        <f t="shared" si="47"/>
        <v>#REF!</v>
      </c>
      <c r="CS15" s="17" t="e">
        <f t="shared" si="48"/>
        <v>#REF!</v>
      </c>
      <c r="CT15" s="17" t="e">
        <f t="shared" si="49"/>
        <v>#REF!</v>
      </c>
      <c r="CU15" s="18" t="e">
        <f t="shared" ca="1" si="50"/>
        <v>#VALUE!</v>
      </c>
      <c r="CV15" s="19" t="e">
        <f ca="1">IF(CU15&gt;=#REF!/100,"Yes","No")</f>
        <v>#VALUE!</v>
      </c>
    </row>
    <row r="16" spans="1:100" x14ac:dyDescent="0.25">
      <c r="A16" t="s">
        <v>54</v>
      </c>
      <c r="B16" t="s">
        <v>55</v>
      </c>
      <c r="C16">
        <v>115203016</v>
      </c>
      <c r="D16" t="str">
        <f t="shared" si="5"/>
        <v>Akol, Zeynep-115203016</v>
      </c>
      <c r="E16" s="22">
        <v>6</v>
      </c>
      <c r="F16" s="22">
        <v>1</v>
      </c>
      <c r="G16" s="22">
        <v>8</v>
      </c>
      <c r="H16" s="22">
        <v>5263463</v>
      </c>
      <c r="I16" s="22">
        <v>1623554</v>
      </c>
      <c r="J16" s="22">
        <v>9820135</v>
      </c>
      <c r="K16" s="22">
        <v>4512027</v>
      </c>
      <c r="L16" s="22">
        <v>100000</v>
      </c>
      <c r="M16" s="22">
        <v>108000</v>
      </c>
      <c r="N16" s="22">
        <v>117800</v>
      </c>
      <c r="O16" s="22">
        <v>126900</v>
      </c>
      <c r="P16" s="22">
        <v>117800</v>
      </c>
      <c r="Q16" s="22">
        <v>100000</v>
      </c>
      <c r="R16" s="22">
        <v>126900</v>
      </c>
      <c r="S16" s="22">
        <v>108000</v>
      </c>
      <c r="T16" s="24">
        <v>29000</v>
      </c>
      <c r="U16" s="22">
        <v>26612</v>
      </c>
      <c r="V16" s="22">
        <v>24612</v>
      </c>
      <c r="W16" s="22">
        <v>22312</v>
      </c>
      <c r="X16" s="22">
        <v>24612</v>
      </c>
      <c r="Y16" s="22">
        <v>29012</v>
      </c>
      <c r="Z16" s="22">
        <v>22312</v>
      </c>
      <c r="AA16" s="22">
        <v>26612</v>
      </c>
      <c r="AB16" s="24">
        <v>116000</v>
      </c>
      <c r="AC16" s="24">
        <v>115000</v>
      </c>
      <c r="AD16" s="24">
        <v>117000</v>
      </c>
      <c r="AE16" s="24">
        <v>114000</v>
      </c>
      <c r="AF16" s="24">
        <v>114500</v>
      </c>
      <c r="AG16" s="24">
        <v>111500</v>
      </c>
      <c r="AH16" s="24">
        <v>115000</v>
      </c>
      <c r="AI16" s="24">
        <v>111000</v>
      </c>
      <c r="AJ16" s="25">
        <v>4.0999999999999996</v>
      </c>
      <c r="AK16" s="25">
        <v>9.1999999999999993</v>
      </c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8">
        <f t="shared" si="6"/>
        <v>4</v>
      </c>
      <c r="AY16" s="8">
        <f t="shared" si="7"/>
        <v>3</v>
      </c>
      <c r="AZ16" s="13" t="str">
        <f t="shared" si="16"/>
        <v>∆(4-3)</v>
      </c>
      <c r="BA16" s="10">
        <f t="shared" ca="1" si="8"/>
        <v>-8200</v>
      </c>
      <c r="BB16" s="10">
        <f t="shared" ca="1" si="9"/>
        <v>2100</v>
      </c>
      <c r="BC16" s="10">
        <f t="shared" ca="1" si="17"/>
        <v>1640</v>
      </c>
      <c r="BD16" s="10" t="e">
        <f>#REF!</f>
        <v>#REF!</v>
      </c>
      <c r="BE16" s="10">
        <f t="shared" ca="1" si="18"/>
        <v>-8200</v>
      </c>
      <c r="BF16" s="10">
        <f t="shared" ca="1" si="19"/>
        <v>2100</v>
      </c>
      <c r="BG16" s="10">
        <f t="shared" ca="1" si="20"/>
        <v>2100</v>
      </c>
      <c r="BH16" s="10">
        <f t="shared" ca="1" si="21"/>
        <v>2100</v>
      </c>
      <c r="BI16" s="10" t="e">
        <f t="shared" si="22"/>
        <v>#REF!</v>
      </c>
      <c r="BJ16" s="10" t="e">
        <f t="shared" si="23"/>
        <v>#REF!</v>
      </c>
      <c r="BK16" s="10" t="e">
        <f t="shared" si="24"/>
        <v>#REF!</v>
      </c>
      <c r="BL16" s="10" t="e">
        <f t="shared" si="25"/>
        <v>#REF!</v>
      </c>
      <c r="BM16" s="14" t="e">
        <f t="shared" ca="1" si="26"/>
        <v>#VALUE!</v>
      </c>
      <c r="BN16" s="15" t="e">
        <f ca="1">IF(BM16&gt;=#REF!/100,"Yes","No")</f>
        <v>#VALUE!</v>
      </c>
      <c r="BO16" s="6">
        <f t="shared" si="10"/>
        <v>1</v>
      </c>
      <c r="BP16" s="6" t="e">
        <f t="shared" ca="1" si="27"/>
        <v>#VALUE!</v>
      </c>
      <c r="BQ16" s="13" t="e">
        <f t="shared" ca="1" si="28"/>
        <v>#VALUE!</v>
      </c>
      <c r="BR16" s="10" t="e">
        <f t="shared" ca="1" si="11"/>
        <v>#VALUE!</v>
      </c>
      <c r="BS16" s="10" t="e">
        <f t="shared" ca="1" si="12"/>
        <v>#VALUE!</v>
      </c>
      <c r="BT16" s="10" t="e">
        <f t="shared" ca="1" si="29"/>
        <v>#VALUE!</v>
      </c>
      <c r="BU16" s="10" t="e">
        <f>#REF!</f>
        <v>#REF!</v>
      </c>
      <c r="BV16" s="10" t="e">
        <f t="shared" ca="1" si="30"/>
        <v>#VALUE!</v>
      </c>
      <c r="BW16" s="10" t="e">
        <f t="shared" ca="1" si="31"/>
        <v>#VALUE!</v>
      </c>
      <c r="BX16" s="10" t="e">
        <f t="shared" ca="1" si="32"/>
        <v>#VALUE!</v>
      </c>
      <c r="BY16" s="10" t="e">
        <f t="shared" ca="1" si="33"/>
        <v>#VALUE!</v>
      </c>
      <c r="BZ16" s="10" t="e">
        <f t="shared" si="34"/>
        <v>#REF!</v>
      </c>
      <c r="CA16" s="10" t="e">
        <f t="shared" si="35"/>
        <v>#REF!</v>
      </c>
      <c r="CB16" s="10" t="e">
        <f t="shared" si="36"/>
        <v>#REF!</v>
      </c>
      <c r="CC16" s="10" t="e">
        <f t="shared" si="37"/>
        <v>#REF!</v>
      </c>
      <c r="CD16" s="14" t="e">
        <f t="shared" ca="1" si="38"/>
        <v>#VALUE!</v>
      </c>
      <c r="CE16" s="15" t="e">
        <f ca="1">IF(CD16&gt;=#REF!/100,"Yes","No")</f>
        <v>#VALUE!</v>
      </c>
      <c r="CF16" s="6">
        <f t="shared" si="13"/>
        <v>2</v>
      </c>
      <c r="CG16" s="6" t="e">
        <f t="shared" ca="1" si="39"/>
        <v>#VALUE!</v>
      </c>
      <c r="CH16" s="13" t="e">
        <f t="shared" ca="1" si="40"/>
        <v>#VALUE!</v>
      </c>
      <c r="CI16" s="10" t="e">
        <f t="shared" ca="1" si="14"/>
        <v>#VALUE!</v>
      </c>
      <c r="CJ16" s="10" t="e">
        <f t="shared" ca="1" si="15"/>
        <v>#VALUE!</v>
      </c>
      <c r="CK16" s="10" t="e">
        <f t="shared" ca="1" si="41"/>
        <v>#VALUE!</v>
      </c>
      <c r="CL16" s="10" t="e">
        <f>#REF!</f>
        <v>#REF!</v>
      </c>
      <c r="CM16" s="10" t="e">
        <f t="shared" ca="1" si="42"/>
        <v>#VALUE!</v>
      </c>
      <c r="CN16" s="10" t="e">
        <f t="shared" ca="1" si="43"/>
        <v>#VALUE!</v>
      </c>
      <c r="CO16" s="10" t="e">
        <f t="shared" ca="1" si="44"/>
        <v>#VALUE!</v>
      </c>
      <c r="CP16" s="10" t="e">
        <f t="shared" ca="1" si="45"/>
        <v>#VALUE!</v>
      </c>
      <c r="CQ16" s="10" t="e">
        <f t="shared" si="46"/>
        <v>#REF!</v>
      </c>
      <c r="CR16" s="10" t="e">
        <f t="shared" si="47"/>
        <v>#REF!</v>
      </c>
      <c r="CS16" s="10" t="e">
        <f t="shared" si="48"/>
        <v>#REF!</v>
      </c>
      <c r="CT16" s="10" t="e">
        <f t="shared" si="49"/>
        <v>#REF!</v>
      </c>
      <c r="CU16" s="14" t="e">
        <f t="shared" ca="1" si="50"/>
        <v>#VALUE!</v>
      </c>
      <c r="CV16" s="15" t="e">
        <f ca="1">IF(CU16&gt;=#REF!/100,"Yes","No")</f>
        <v>#VALUE!</v>
      </c>
    </row>
    <row r="17" spans="1:100" x14ac:dyDescent="0.25">
      <c r="A17" t="s">
        <v>56</v>
      </c>
      <c r="B17" t="s">
        <v>57</v>
      </c>
      <c r="C17">
        <v>114204017</v>
      </c>
      <c r="D17" t="str">
        <f t="shared" si="5"/>
        <v>Aksüt, Şevket Mert-114204017</v>
      </c>
      <c r="E17" s="22">
        <v>5</v>
      </c>
      <c r="F17" s="22">
        <v>1</v>
      </c>
      <c r="G17" s="22">
        <v>8</v>
      </c>
      <c r="H17" s="22">
        <v>6393261</v>
      </c>
      <c r="I17" s="22">
        <v>2893</v>
      </c>
      <c r="J17" s="22">
        <v>8327984</v>
      </c>
      <c r="K17" s="22">
        <v>7707321</v>
      </c>
      <c r="L17" s="22">
        <v>100000</v>
      </c>
      <c r="M17" s="22">
        <v>110000</v>
      </c>
      <c r="N17" s="22">
        <v>118500</v>
      </c>
      <c r="O17" s="22">
        <v>127800</v>
      </c>
      <c r="P17" s="22">
        <v>118500</v>
      </c>
      <c r="Q17" s="22">
        <v>127800</v>
      </c>
      <c r="R17" s="22">
        <v>100000</v>
      </c>
      <c r="S17" s="22">
        <v>110000</v>
      </c>
      <c r="T17" s="24">
        <v>29000</v>
      </c>
      <c r="U17" s="22">
        <v>26913</v>
      </c>
      <c r="V17" s="22">
        <v>24813</v>
      </c>
      <c r="W17" s="22">
        <v>22613</v>
      </c>
      <c r="X17" s="22">
        <v>24813</v>
      </c>
      <c r="Y17" s="22">
        <v>22613</v>
      </c>
      <c r="Z17" s="22">
        <v>29013</v>
      </c>
      <c r="AA17" s="22">
        <v>26913</v>
      </c>
      <c r="AB17" s="24">
        <v>107000</v>
      </c>
      <c r="AC17" s="24">
        <v>104000</v>
      </c>
      <c r="AD17" s="24">
        <v>101000</v>
      </c>
      <c r="AE17" s="24">
        <v>101000</v>
      </c>
      <c r="AF17" s="24">
        <v>104500</v>
      </c>
      <c r="AG17" s="24">
        <v>101000</v>
      </c>
      <c r="AH17" s="24">
        <v>99500</v>
      </c>
      <c r="AI17" s="24">
        <v>98000</v>
      </c>
      <c r="AJ17" s="25">
        <v>3.3</v>
      </c>
      <c r="AK17" s="25">
        <v>7.4</v>
      </c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8">
        <f t="shared" si="6"/>
        <v>4</v>
      </c>
      <c r="AY17" s="8">
        <f t="shared" si="7"/>
        <v>2</v>
      </c>
      <c r="AZ17" s="16" t="str">
        <f t="shared" si="16"/>
        <v>∆(4-2)</v>
      </c>
      <c r="BA17" s="17">
        <f t="shared" ca="1" si="8"/>
        <v>-8000</v>
      </c>
      <c r="BB17" s="17">
        <f t="shared" ca="1" si="9"/>
        <v>2400</v>
      </c>
      <c r="BC17" s="17">
        <f t="shared" ca="1" si="17"/>
        <v>1600</v>
      </c>
      <c r="BD17" s="17" t="e">
        <f>#REF!</f>
        <v>#REF!</v>
      </c>
      <c r="BE17" s="17">
        <f t="shared" ca="1" si="18"/>
        <v>-8000</v>
      </c>
      <c r="BF17" s="17">
        <f t="shared" ca="1" si="19"/>
        <v>2400</v>
      </c>
      <c r="BG17" s="17">
        <f t="shared" ca="1" si="20"/>
        <v>2400</v>
      </c>
      <c r="BH17" s="17">
        <f t="shared" ca="1" si="21"/>
        <v>2400</v>
      </c>
      <c r="BI17" s="17" t="e">
        <f t="shared" si="22"/>
        <v>#REF!</v>
      </c>
      <c r="BJ17" s="17" t="e">
        <f t="shared" si="23"/>
        <v>#REF!</v>
      </c>
      <c r="BK17" s="17" t="e">
        <f t="shared" si="24"/>
        <v>#REF!</v>
      </c>
      <c r="BL17" s="17" t="e">
        <f t="shared" si="25"/>
        <v>#REF!</v>
      </c>
      <c r="BM17" s="18" t="e">
        <f t="shared" ca="1" si="26"/>
        <v>#VALUE!</v>
      </c>
      <c r="BN17" s="19" t="e">
        <f ca="1">IF(BM17&gt;=#REF!/100,"Yes","No")</f>
        <v>#VALUE!</v>
      </c>
      <c r="BO17" s="20">
        <f t="shared" si="10"/>
        <v>1</v>
      </c>
      <c r="BP17" s="20" t="e">
        <f t="shared" ca="1" si="27"/>
        <v>#VALUE!</v>
      </c>
      <c r="BQ17" s="16" t="e">
        <f t="shared" ca="1" si="28"/>
        <v>#VALUE!</v>
      </c>
      <c r="BR17" s="17" t="e">
        <f t="shared" ca="1" si="11"/>
        <v>#VALUE!</v>
      </c>
      <c r="BS17" s="17" t="e">
        <f t="shared" ca="1" si="12"/>
        <v>#VALUE!</v>
      </c>
      <c r="BT17" s="17" t="e">
        <f t="shared" ca="1" si="29"/>
        <v>#VALUE!</v>
      </c>
      <c r="BU17" s="17" t="e">
        <f>#REF!</f>
        <v>#REF!</v>
      </c>
      <c r="BV17" s="17" t="e">
        <f t="shared" ca="1" si="30"/>
        <v>#VALUE!</v>
      </c>
      <c r="BW17" s="17" t="e">
        <f t="shared" ca="1" si="31"/>
        <v>#VALUE!</v>
      </c>
      <c r="BX17" s="17" t="e">
        <f t="shared" ca="1" si="32"/>
        <v>#VALUE!</v>
      </c>
      <c r="BY17" s="17" t="e">
        <f t="shared" ca="1" si="33"/>
        <v>#VALUE!</v>
      </c>
      <c r="BZ17" s="17" t="e">
        <f t="shared" si="34"/>
        <v>#REF!</v>
      </c>
      <c r="CA17" s="17" t="e">
        <f t="shared" si="35"/>
        <v>#REF!</v>
      </c>
      <c r="CB17" s="17" t="e">
        <f t="shared" si="36"/>
        <v>#REF!</v>
      </c>
      <c r="CC17" s="17" t="e">
        <f t="shared" si="37"/>
        <v>#REF!</v>
      </c>
      <c r="CD17" s="18" t="e">
        <f t="shared" ca="1" si="38"/>
        <v>#VALUE!</v>
      </c>
      <c r="CE17" s="19" t="e">
        <f ca="1">IF(CD17&gt;=#REF!/100,"Yes","No")</f>
        <v>#VALUE!</v>
      </c>
      <c r="CF17" s="20">
        <f t="shared" si="13"/>
        <v>3</v>
      </c>
      <c r="CG17" s="20" t="e">
        <f t="shared" ca="1" si="39"/>
        <v>#VALUE!</v>
      </c>
      <c r="CH17" s="16" t="e">
        <f t="shared" ca="1" si="40"/>
        <v>#VALUE!</v>
      </c>
      <c r="CI17" s="17" t="e">
        <f t="shared" ca="1" si="14"/>
        <v>#VALUE!</v>
      </c>
      <c r="CJ17" s="17" t="e">
        <f t="shared" ca="1" si="15"/>
        <v>#VALUE!</v>
      </c>
      <c r="CK17" s="17" t="e">
        <f t="shared" ca="1" si="41"/>
        <v>#VALUE!</v>
      </c>
      <c r="CL17" s="17" t="e">
        <f>#REF!</f>
        <v>#REF!</v>
      </c>
      <c r="CM17" s="17" t="e">
        <f t="shared" ca="1" si="42"/>
        <v>#VALUE!</v>
      </c>
      <c r="CN17" s="17" t="e">
        <f t="shared" ca="1" si="43"/>
        <v>#VALUE!</v>
      </c>
      <c r="CO17" s="17" t="e">
        <f t="shared" ca="1" si="44"/>
        <v>#VALUE!</v>
      </c>
      <c r="CP17" s="17" t="e">
        <f t="shared" ca="1" si="45"/>
        <v>#VALUE!</v>
      </c>
      <c r="CQ17" s="17" t="e">
        <f t="shared" si="46"/>
        <v>#REF!</v>
      </c>
      <c r="CR17" s="17" t="e">
        <f t="shared" si="47"/>
        <v>#REF!</v>
      </c>
      <c r="CS17" s="17" t="e">
        <f t="shared" si="48"/>
        <v>#REF!</v>
      </c>
      <c r="CT17" s="17" t="e">
        <f t="shared" si="49"/>
        <v>#REF!</v>
      </c>
      <c r="CU17" s="18" t="e">
        <f t="shared" ca="1" si="50"/>
        <v>#VALUE!</v>
      </c>
      <c r="CV17" s="19" t="e">
        <f ca="1">IF(CU17&gt;=#REF!/100,"Yes","No")</f>
        <v>#VALUE!</v>
      </c>
    </row>
    <row r="18" spans="1:100" x14ac:dyDescent="0.25">
      <c r="A18" t="s">
        <v>58</v>
      </c>
      <c r="B18" t="s">
        <v>59</v>
      </c>
      <c r="C18">
        <v>116204064</v>
      </c>
      <c r="D18" t="str">
        <f t="shared" si="5"/>
        <v>Aktaş, Yılmaz Can-116204064</v>
      </c>
      <c r="E18" s="22">
        <v>6</v>
      </c>
      <c r="F18" s="22">
        <v>2</v>
      </c>
      <c r="G18" s="22">
        <v>10</v>
      </c>
      <c r="H18" s="22">
        <v>4740447</v>
      </c>
      <c r="I18" s="22">
        <v>9818169</v>
      </c>
      <c r="J18" s="22">
        <v>8142022</v>
      </c>
      <c r="K18" s="22">
        <v>3646745</v>
      </c>
      <c r="L18" s="22">
        <v>100000</v>
      </c>
      <c r="M18" s="22">
        <v>109400</v>
      </c>
      <c r="N18" s="22">
        <v>118700</v>
      </c>
      <c r="O18" s="22">
        <v>127500</v>
      </c>
      <c r="P18" s="22">
        <v>109400</v>
      </c>
      <c r="Q18" s="22">
        <v>118700</v>
      </c>
      <c r="R18" s="22">
        <v>100000</v>
      </c>
      <c r="S18" s="22">
        <v>127500</v>
      </c>
      <c r="T18" s="24">
        <v>28000</v>
      </c>
      <c r="U18" s="22">
        <v>26614</v>
      </c>
      <c r="V18" s="22">
        <v>24514</v>
      </c>
      <c r="W18" s="22">
        <v>22214</v>
      </c>
      <c r="X18" s="22">
        <v>26614</v>
      </c>
      <c r="Y18" s="22">
        <v>24514</v>
      </c>
      <c r="Z18" s="22">
        <v>29014</v>
      </c>
      <c r="AA18" s="22">
        <v>22214</v>
      </c>
      <c r="AB18" s="24">
        <v>106000</v>
      </c>
      <c r="AC18" s="24">
        <v>107000</v>
      </c>
      <c r="AD18" s="24">
        <v>109000</v>
      </c>
      <c r="AE18" s="24">
        <v>107000</v>
      </c>
      <c r="AF18" s="24">
        <v>103000</v>
      </c>
      <c r="AG18" s="24">
        <v>105500</v>
      </c>
      <c r="AH18" s="24">
        <v>107000</v>
      </c>
      <c r="AI18" s="24">
        <v>104000</v>
      </c>
      <c r="AJ18" s="25">
        <v>4.0999999999999996</v>
      </c>
      <c r="AK18" s="25">
        <v>6.9</v>
      </c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8">
        <f t="shared" si="6"/>
        <v>4</v>
      </c>
      <c r="AY18" s="8">
        <f t="shared" si="7"/>
        <v>3</v>
      </c>
      <c r="AZ18" s="13" t="str">
        <f t="shared" si="16"/>
        <v>∆(4-3)</v>
      </c>
      <c r="BA18" s="10">
        <f t="shared" ca="1" si="8"/>
        <v>-10000</v>
      </c>
      <c r="BB18" s="10">
        <f t="shared" ca="1" si="9"/>
        <v>2100</v>
      </c>
      <c r="BC18" s="10">
        <f t="shared" ca="1" si="17"/>
        <v>2000</v>
      </c>
      <c r="BD18" s="10" t="e">
        <f>#REF!</f>
        <v>#REF!</v>
      </c>
      <c r="BE18" s="10">
        <f t="shared" ca="1" si="18"/>
        <v>-10000</v>
      </c>
      <c r="BF18" s="10">
        <f t="shared" ca="1" si="19"/>
        <v>2100</v>
      </c>
      <c r="BG18" s="10">
        <f t="shared" ca="1" si="20"/>
        <v>2100</v>
      </c>
      <c r="BH18" s="10">
        <f t="shared" ca="1" si="21"/>
        <v>2100</v>
      </c>
      <c r="BI18" s="10" t="e">
        <f t="shared" si="22"/>
        <v>#REF!</v>
      </c>
      <c r="BJ18" s="10" t="e">
        <f t="shared" si="23"/>
        <v>#REF!</v>
      </c>
      <c r="BK18" s="10" t="e">
        <f t="shared" si="24"/>
        <v>#REF!</v>
      </c>
      <c r="BL18" s="10" t="e">
        <f t="shared" si="25"/>
        <v>#REF!</v>
      </c>
      <c r="BM18" s="14" t="e">
        <f t="shared" ca="1" si="26"/>
        <v>#VALUE!</v>
      </c>
      <c r="BN18" s="15" t="e">
        <f ca="1">IF(BM18&gt;=#REF!/100,"Yes","No")</f>
        <v>#VALUE!</v>
      </c>
      <c r="BO18" s="6">
        <f t="shared" si="10"/>
        <v>1</v>
      </c>
      <c r="BP18" s="6" t="e">
        <f t="shared" ca="1" si="27"/>
        <v>#VALUE!</v>
      </c>
      <c r="BQ18" s="13" t="e">
        <f t="shared" ca="1" si="28"/>
        <v>#VALUE!</v>
      </c>
      <c r="BR18" s="10" t="e">
        <f t="shared" ca="1" si="11"/>
        <v>#VALUE!</v>
      </c>
      <c r="BS18" s="10" t="e">
        <f t="shared" ca="1" si="12"/>
        <v>#VALUE!</v>
      </c>
      <c r="BT18" s="10" t="e">
        <f t="shared" ca="1" si="29"/>
        <v>#VALUE!</v>
      </c>
      <c r="BU18" s="10" t="e">
        <f>#REF!</f>
        <v>#REF!</v>
      </c>
      <c r="BV18" s="10" t="e">
        <f t="shared" ca="1" si="30"/>
        <v>#VALUE!</v>
      </c>
      <c r="BW18" s="10" t="e">
        <f t="shared" ca="1" si="31"/>
        <v>#VALUE!</v>
      </c>
      <c r="BX18" s="10" t="e">
        <f t="shared" ca="1" si="32"/>
        <v>#VALUE!</v>
      </c>
      <c r="BY18" s="10" t="e">
        <f t="shared" ca="1" si="33"/>
        <v>#VALUE!</v>
      </c>
      <c r="BZ18" s="10" t="e">
        <f t="shared" si="34"/>
        <v>#REF!</v>
      </c>
      <c r="CA18" s="10" t="e">
        <f t="shared" si="35"/>
        <v>#REF!</v>
      </c>
      <c r="CB18" s="10" t="e">
        <f t="shared" si="36"/>
        <v>#REF!</v>
      </c>
      <c r="CC18" s="10" t="e">
        <f t="shared" si="37"/>
        <v>#REF!</v>
      </c>
      <c r="CD18" s="14" t="e">
        <f t="shared" ca="1" si="38"/>
        <v>#VALUE!</v>
      </c>
      <c r="CE18" s="15" t="e">
        <f ca="1">IF(CD18&gt;=#REF!/100,"Yes","No")</f>
        <v>#VALUE!</v>
      </c>
      <c r="CF18" s="6">
        <f t="shared" si="13"/>
        <v>2</v>
      </c>
      <c r="CG18" s="6" t="e">
        <f t="shared" ca="1" si="39"/>
        <v>#VALUE!</v>
      </c>
      <c r="CH18" s="13" t="e">
        <f t="shared" ca="1" si="40"/>
        <v>#VALUE!</v>
      </c>
      <c r="CI18" s="10" t="e">
        <f t="shared" ca="1" si="14"/>
        <v>#VALUE!</v>
      </c>
      <c r="CJ18" s="10" t="e">
        <f t="shared" ca="1" si="15"/>
        <v>#VALUE!</v>
      </c>
      <c r="CK18" s="10" t="e">
        <f t="shared" ca="1" si="41"/>
        <v>#VALUE!</v>
      </c>
      <c r="CL18" s="10" t="e">
        <f>#REF!</f>
        <v>#REF!</v>
      </c>
      <c r="CM18" s="10" t="e">
        <f t="shared" ca="1" si="42"/>
        <v>#VALUE!</v>
      </c>
      <c r="CN18" s="10" t="e">
        <f t="shared" ca="1" si="43"/>
        <v>#VALUE!</v>
      </c>
      <c r="CO18" s="10" t="e">
        <f t="shared" ca="1" si="44"/>
        <v>#VALUE!</v>
      </c>
      <c r="CP18" s="10" t="e">
        <f t="shared" ca="1" si="45"/>
        <v>#VALUE!</v>
      </c>
      <c r="CQ18" s="10" t="e">
        <f t="shared" si="46"/>
        <v>#REF!</v>
      </c>
      <c r="CR18" s="10" t="e">
        <f t="shared" si="47"/>
        <v>#REF!</v>
      </c>
      <c r="CS18" s="10" t="e">
        <f t="shared" si="48"/>
        <v>#REF!</v>
      </c>
      <c r="CT18" s="10" t="e">
        <f t="shared" si="49"/>
        <v>#REF!</v>
      </c>
      <c r="CU18" s="14" t="e">
        <f t="shared" ca="1" si="50"/>
        <v>#VALUE!</v>
      </c>
      <c r="CV18" s="15" t="e">
        <f ca="1">IF(CU18&gt;=#REF!/100,"Yes","No")</f>
        <v>#VALUE!</v>
      </c>
    </row>
    <row r="19" spans="1:100" x14ac:dyDescent="0.25">
      <c r="A19" t="s">
        <v>60</v>
      </c>
      <c r="B19" t="s">
        <v>61</v>
      </c>
      <c r="C19">
        <v>115204006</v>
      </c>
      <c r="D19" t="str">
        <f t="shared" si="5"/>
        <v>Aktürk, Furkan-115204006</v>
      </c>
      <c r="E19" s="22">
        <v>5</v>
      </c>
      <c r="F19" s="22">
        <v>1</v>
      </c>
      <c r="G19" s="22">
        <v>8</v>
      </c>
      <c r="H19" s="22">
        <v>7678487</v>
      </c>
      <c r="I19" s="22">
        <v>3610417</v>
      </c>
      <c r="J19" s="22">
        <v>2781633</v>
      </c>
      <c r="K19" s="22">
        <v>8264375</v>
      </c>
      <c r="L19" s="22">
        <v>100000</v>
      </c>
      <c r="M19" s="22">
        <v>108900</v>
      </c>
      <c r="N19" s="22">
        <v>118600</v>
      </c>
      <c r="O19" s="22">
        <v>127100</v>
      </c>
      <c r="P19" s="22">
        <v>127100</v>
      </c>
      <c r="Q19" s="22">
        <v>100000</v>
      </c>
      <c r="R19" s="22">
        <v>108900</v>
      </c>
      <c r="S19" s="22">
        <v>118600</v>
      </c>
      <c r="T19" s="24">
        <v>27000</v>
      </c>
      <c r="U19" s="22">
        <v>27015</v>
      </c>
      <c r="V19" s="22">
        <v>24515</v>
      </c>
      <c r="W19" s="22">
        <v>22515</v>
      </c>
      <c r="X19" s="22">
        <v>22515</v>
      </c>
      <c r="Y19" s="22">
        <v>29015</v>
      </c>
      <c r="Z19" s="22">
        <v>27015</v>
      </c>
      <c r="AA19" s="22">
        <v>24515</v>
      </c>
      <c r="AB19" s="24">
        <v>113000</v>
      </c>
      <c r="AC19" s="24">
        <v>113000</v>
      </c>
      <c r="AD19" s="24">
        <v>116000</v>
      </c>
      <c r="AE19" s="24">
        <v>113000</v>
      </c>
      <c r="AF19" s="24">
        <v>110500</v>
      </c>
      <c r="AG19" s="24">
        <v>111000</v>
      </c>
      <c r="AH19" s="24">
        <v>113000</v>
      </c>
      <c r="AI19" s="24">
        <v>109500</v>
      </c>
      <c r="AJ19" s="25">
        <v>3.3</v>
      </c>
      <c r="AK19" s="25">
        <v>7.9</v>
      </c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8">
        <f t="shared" si="6"/>
        <v>1</v>
      </c>
      <c r="AY19" s="8">
        <f t="shared" si="7"/>
        <v>3</v>
      </c>
      <c r="AZ19" s="16" t="str">
        <f t="shared" si="16"/>
        <v>∆(1-3)</v>
      </c>
      <c r="BA19" s="17">
        <f t="shared" ca="1" si="8"/>
        <v>-9400</v>
      </c>
      <c r="BB19" s="17">
        <f t="shared" ca="1" si="9"/>
        <v>2400</v>
      </c>
      <c r="BC19" s="17">
        <f t="shared" ca="1" si="17"/>
        <v>1880</v>
      </c>
      <c r="BD19" s="17" t="e">
        <f>#REF!</f>
        <v>#REF!</v>
      </c>
      <c r="BE19" s="17">
        <f t="shared" ca="1" si="18"/>
        <v>-9400</v>
      </c>
      <c r="BF19" s="17">
        <f t="shared" ca="1" si="19"/>
        <v>2400</v>
      </c>
      <c r="BG19" s="17">
        <f t="shared" ca="1" si="20"/>
        <v>2400</v>
      </c>
      <c r="BH19" s="17">
        <f t="shared" ca="1" si="21"/>
        <v>2400</v>
      </c>
      <c r="BI19" s="17" t="e">
        <f t="shared" si="22"/>
        <v>#REF!</v>
      </c>
      <c r="BJ19" s="17" t="e">
        <f t="shared" si="23"/>
        <v>#REF!</v>
      </c>
      <c r="BK19" s="17" t="e">
        <f t="shared" si="24"/>
        <v>#REF!</v>
      </c>
      <c r="BL19" s="17" t="e">
        <f t="shared" si="25"/>
        <v>#REF!</v>
      </c>
      <c r="BM19" s="18" t="e">
        <f t="shared" ca="1" si="26"/>
        <v>#VALUE!</v>
      </c>
      <c r="BN19" s="19" t="e">
        <f ca="1">IF(BM19&gt;=#REF!/100,"Yes","No")</f>
        <v>#VALUE!</v>
      </c>
      <c r="BO19" s="20">
        <f t="shared" si="10"/>
        <v>2</v>
      </c>
      <c r="BP19" s="20" t="e">
        <f t="shared" ca="1" si="27"/>
        <v>#VALUE!</v>
      </c>
      <c r="BQ19" s="16" t="e">
        <f t="shared" ca="1" si="28"/>
        <v>#VALUE!</v>
      </c>
      <c r="BR19" s="17" t="e">
        <f t="shared" ca="1" si="11"/>
        <v>#VALUE!</v>
      </c>
      <c r="BS19" s="17" t="e">
        <f t="shared" ca="1" si="12"/>
        <v>#VALUE!</v>
      </c>
      <c r="BT19" s="17" t="e">
        <f t="shared" ca="1" si="29"/>
        <v>#VALUE!</v>
      </c>
      <c r="BU19" s="17" t="e">
        <f>#REF!</f>
        <v>#REF!</v>
      </c>
      <c r="BV19" s="17" t="e">
        <f t="shared" ca="1" si="30"/>
        <v>#VALUE!</v>
      </c>
      <c r="BW19" s="17" t="e">
        <f t="shared" ca="1" si="31"/>
        <v>#VALUE!</v>
      </c>
      <c r="BX19" s="17" t="e">
        <f t="shared" ca="1" si="32"/>
        <v>#VALUE!</v>
      </c>
      <c r="BY19" s="17" t="e">
        <f t="shared" ca="1" si="33"/>
        <v>#VALUE!</v>
      </c>
      <c r="BZ19" s="17" t="e">
        <f t="shared" si="34"/>
        <v>#REF!</v>
      </c>
      <c r="CA19" s="17" t="e">
        <f t="shared" si="35"/>
        <v>#REF!</v>
      </c>
      <c r="CB19" s="17" t="e">
        <f t="shared" si="36"/>
        <v>#REF!</v>
      </c>
      <c r="CC19" s="17" t="e">
        <f t="shared" si="37"/>
        <v>#REF!</v>
      </c>
      <c r="CD19" s="18" t="e">
        <f t="shared" ca="1" si="38"/>
        <v>#VALUE!</v>
      </c>
      <c r="CE19" s="19" t="e">
        <f ca="1">IF(CD19&gt;=#REF!/100,"Yes","No")</f>
        <v>#VALUE!</v>
      </c>
      <c r="CF19" s="20">
        <f t="shared" si="13"/>
        <v>4</v>
      </c>
      <c r="CG19" s="20" t="e">
        <f t="shared" ca="1" si="39"/>
        <v>#VALUE!</v>
      </c>
      <c r="CH19" s="16" t="e">
        <f t="shared" ca="1" si="40"/>
        <v>#VALUE!</v>
      </c>
      <c r="CI19" s="17" t="e">
        <f t="shared" ca="1" si="14"/>
        <v>#VALUE!</v>
      </c>
      <c r="CJ19" s="17" t="e">
        <f t="shared" ca="1" si="15"/>
        <v>#VALUE!</v>
      </c>
      <c r="CK19" s="17" t="e">
        <f t="shared" ca="1" si="41"/>
        <v>#VALUE!</v>
      </c>
      <c r="CL19" s="17" t="e">
        <f>#REF!</f>
        <v>#REF!</v>
      </c>
      <c r="CM19" s="17" t="e">
        <f t="shared" ca="1" si="42"/>
        <v>#VALUE!</v>
      </c>
      <c r="CN19" s="17" t="e">
        <f t="shared" ca="1" si="43"/>
        <v>#VALUE!</v>
      </c>
      <c r="CO19" s="17" t="e">
        <f t="shared" ca="1" si="44"/>
        <v>#VALUE!</v>
      </c>
      <c r="CP19" s="17" t="e">
        <f t="shared" ca="1" si="45"/>
        <v>#VALUE!</v>
      </c>
      <c r="CQ19" s="17" t="e">
        <f t="shared" si="46"/>
        <v>#REF!</v>
      </c>
      <c r="CR19" s="17" t="e">
        <f t="shared" si="47"/>
        <v>#REF!</v>
      </c>
      <c r="CS19" s="17" t="e">
        <f t="shared" si="48"/>
        <v>#REF!</v>
      </c>
      <c r="CT19" s="17" t="e">
        <f t="shared" si="49"/>
        <v>#REF!</v>
      </c>
      <c r="CU19" s="18" t="e">
        <f t="shared" ca="1" si="50"/>
        <v>#VALUE!</v>
      </c>
      <c r="CV19" s="19" t="e">
        <f ca="1">IF(CU19&gt;=#REF!/100,"Yes","No")</f>
        <v>#VALUE!</v>
      </c>
    </row>
    <row r="20" spans="1:100" x14ac:dyDescent="0.25">
      <c r="A20" t="s">
        <v>62</v>
      </c>
      <c r="B20" t="s">
        <v>63</v>
      </c>
      <c r="C20">
        <v>114201049</v>
      </c>
      <c r="D20" t="str">
        <f t="shared" si="5"/>
        <v>Akülkü, İrem-114201049</v>
      </c>
      <c r="E20" s="22">
        <v>5</v>
      </c>
      <c r="F20" s="22">
        <v>2</v>
      </c>
      <c r="G20" s="22">
        <v>10</v>
      </c>
      <c r="H20" s="22">
        <v>3923875</v>
      </c>
      <c r="I20" s="22">
        <v>4421713</v>
      </c>
      <c r="J20" s="22">
        <v>6904894</v>
      </c>
      <c r="K20" s="22">
        <v>2006527</v>
      </c>
      <c r="L20" s="22">
        <v>100000</v>
      </c>
      <c r="M20" s="22">
        <v>108900</v>
      </c>
      <c r="N20" s="22">
        <v>117000</v>
      </c>
      <c r="O20" s="22">
        <v>126000</v>
      </c>
      <c r="P20" s="22">
        <v>117000</v>
      </c>
      <c r="Q20" s="22">
        <v>108900</v>
      </c>
      <c r="R20" s="22">
        <v>100000</v>
      </c>
      <c r="S20" s="22">
        <v>126000</v>
      </c>
      <c r="T20" s="24">
        <v>26000</v>
      </c>
      <c r="U20" s="22">
        <v>26716</v>
      </c>
      <c r="V20" s="22">
        <v>24416</v>
      </c>
      <c r="W20" s="22">
        <v>22416</v>
      </c>
      <c r="X20" s="22">
        <v>24416</v>
      </c>
      <c r="Y20" s="22">
        <v>26716</v>
      </c>
      <c r="Z20" s="22">
        <v>29016</v>
      </c>
      <c r="AA20" s="22">
        <v>22416</v>
      </c>
      <c r="AB20" s="24">
        <v>118000</v>
      </c>
      <c r="AC20" s="24">
        <v>116000</v>
      </c>
      <c r="AD20" s="24">
        <v>116000</v>
      </c>
      <c r="AE20" s="24">
        <v>118000</v>
      </c>
      <c r="AF20" s="24">
        <v>116000</v>
      </c>
      <c r="AG20" s="24">
        <v>114000</v>
      </c>
      <c r="AH20" s="24">
        <v>112500</v>
      </c>
      <c r="AI20" s="24">
        <v>115500</v>
      </c>
      <c r="AJ20" s="25">
        <v>4.2</v>
      </c>
      <c r="AK20" s="25">
        <v>7.2</v>
      </c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8">
        <f t="shared" si="6"/>
        <v>3</v>
      </c>
      <c r="AY20" s="8">
        <f t="shared" si="7"/>
        <v>2</v>
      </c>
      <c r="AZ20" s="13" t="str">
        <f t="shared" si="16"/>
        <v>∆(3-2)</v>
      </c>
      <c r="BA20" s="10">
        <f t="shared" ca="1" si="8"/>
        <v>-8900</v>
      </c>
      <c r="BB20" s="10">
        <f t="shared" ca="1" si="9"/>
        <v>2000</v>
      </c>
      <c r="BC20" s="10">
        <f t="shared" ca="1" si="17"/>
        <v>1780</v>
      </c>
      <c r="BD20" s="10" t="e">
        <f>#REF!</f>
        <v>#REF!</v>
      </c>
      <c r="BE20" s="10">
        <f t="shared" ca="1" si="18"/>
        <v>-8900</v>
      </c>
      <c r="BF20" s="10">
        <f t="shared" ca="1" si="19"/>
        <v>2000</v>
      </c>
      <c r="BG20" s="10">
        <f t="shared" ca="1" si="20"/>
        <v>2000</v>
      </c>
      <c r="BH20" s="10">
        <f t="shared" ca="1" si="21"/>
        <v>2000</v>
      </c>
      <c r="BI20" s="10" t="e">
        <f t="shared" si="22"/>
        <v>#REF!</v>
      </c>
      <c r="BJ20" s="10" t="e">
        <f t="shared" si="23"/>
        <v>#REF!</v>
      </c>
      <c r="BK20" s="10" t="e">
        <f t="shared" si="24"/>
        <v>#REF!</v>
      </c>
      <c r="BL20" s="10" t="e">
        <f t="shared" si="25"/>
        <v>#REF!</v>
      </c>
      <c r="BM20" s="14" t="e">
        <f t="shared" ca="1" si="26"/>
        <v>#VALUE!</v>
      </c>
      <c r="BN20" s="15" t="e">
        <f ca="1">IF(BM20&gt;=#REF!/100,"Yes","No")</f>
        <v>#VALUE!</v>
      </c>
      <c r="BO20" s="6">
        <f t="shared" si="10"/>
        <v>4</v>
      </c>
      <c r="BP20" s="6" t="e">
        <f t="shared" ca="1" si="27"/>
        <v>#VALUE!</v>
      </c>
      <c r="BQ20" s="13" t="e">
        <f t="shared" ca="1" si="28"/>
        <v>#VALUE!</v>
      </c>
      <c r="BR20" s="10" t="e">
        <f t="shared" ca="1" si="11"/>
        <v>#VALUE!</v>
      </c>
      <c r="BS20" s="10" t="e">
        <f t="shared" ca="1" si="12"/>
        <v>#VALUE!</v>
      </c>
      <c r="BT20" s="10" t="e">
        <f t="shared" ca="1" si="29"/>
        <v>#VALUE!</v>
      </c>
      <c r="BU20" s="10" t="e">
        <f>#REF!</f>
        <v>#REF!</v>
      </c>
      <c r="BV20" s="10" t="e">
        <f t="shared" ca="1" si="30"/>
        <v>#VALUE!</v>
      </c>
      <c r="BW20" s="10" t="e">
        <f t="shared" ca="1" si="31"/>
        <v>#VALUE!</v>
      </c>
      <c r="BX20" s="10" t="e">
        <f t="shared" ca="1" si="32"/>
        <v>#VALUE!</v>
      </c>
      <c r="BY20" s="10" t="e">
        <f t="shared" ca="1" si="33"/>
        <v>#VALUE!</v>
      </c>
      <c r="BZ20" s="10" t="e">
        <f t="shared" si="34"/>
        <v>#REF!</v>
      </c>
      <c r="CA20" s="10" t="e">
        <f t="shared" si="35"/>
        <v>#REF!</v>
      </c>
      <c r="CB20" s="10" t="e">
        <f t="shared" si="36"/>
        <v>#REF!</v>
      </c>
      <c r="CC20" s="10" t="e">
        <f t="shared" si="37"/>
        <v>#REF!</v>
      </c>
      <c r="CD20" s="14" t="e">
        <f t="shared" ca="1" si="38"/>
        <v>#VALUE!</v>
      </c>
      <c r="CE20" s="15" t="e">
        <f ca="1">IF(CD20&gt;=#REF!/100,"Yes","No")</f>
        <v>#VALUE!</v>
      </c>
      <c r="CF20" s="6">
        <f t="shared" si="13"/>
        <v>1</v>
      </c>
      <c r="CG20" s="6" t="e">
        <f t="shared" ca="1" si="39"/>
        <v>#VALUE!</v>
      </c>
      <c r="CH20" s="13" t="e">
        <f t="shared" ca="1" si="40"/>
        <v>#VALUE!</v>
      </c>
      <c r="CI20" s="10" t="e">
        <f t="shared" ca="1" si="14"/>
        <v>#VALUE!</v>
      </c>
      <c r="CJ20" s="10" t="e">
        <f t="shared" ca="1" si="15"/>
        <v>#VALUE!</v>
      </c>
      <c r="CK20" s="10" t="e">
        <f t="shared" ca="1" si="41"/>
        <v>#VALUE!</v>
      </c>
      <c r="CL20" s="10" t="e">
        <f>#REF!</f>
        <v>#REF!</v>
      </c>
      <c r="CM20" s="10" t="e">
        <f t="shared" ca="1" si="42"/>
        <v>#VALUE!</v>
      </c>
      <c r="CN20" s="10" t="e">
        <f t="shared" ca="1" si="43"/>
        <v>#VALUE!</v>
      </c>
      <c r="CO20" s="10" t="e">
        <f t="shared" ca="1" si="44"/>
        <v>#VALUE!</v>
      </c>
      <c r="CP20" s="10" t="e">
        <f t="shared" ca="1" si="45"/>
        <v>#VALUE!</v>
      </c>
      <c r="CQ20" s="10" t="e">
        <f t="shared" si="46"/>
        <v>#REF!</v>
      </c>
      <c r="CR20" s="10" t="e">
        <f t="shared" si="47"/>
        <v>#REF!</v>
      </c>
      <c r="CS20" s="10" t="e">
        <f t="shared" si="48"/>
        <v>#REF!</v>
      </c>
      <c r="CT20" s="10" t="e">
        <f t="shared" si="49"/>
        <v>#REF!</v>
      </c>
      <c r="CU20" s="14" t="e">
        <f t="shared" ca="1" si="50"/>
        <v>#VALUE!</v>
      </c>
      <c r="CV20" s="15" t="e">
        <f ca="1">IF(CU20&gt;=#REF!/100,"Yes","No")</f>
        <v>#VALUE!</v>
      </c>
    </row>
    <row r="21" spans="1:100" x14ac:dyDescent="0.25">
      <c r="A21" t="s">
        <v>64</v>
      </c>
      <c r="B21" t="s">
        <v>65</v>
      </c>
      <c r="C21">
        <v>115203102</v>
      </c>
      <c r="D21" t="str">
        <f t="shared" si="5"/>
        <v>Akyüz, Uğur Barış-115203102</v>
      </c>
      <c r="E21" s="22">
        <v>6</v>
      </c>
      <c r="F21" s="22">
        <v>3</v>
      </c>
      <c r="G21" s="22">
        <v>15</v>
      </c>
      <c r="H21" s="22">
        <v>3026331</v>
      </c>
      <c r="I21" s="22">
        <v>9650406</v>
      </c>
      <c r="J21" s="22">
        <v>614547</v>
      </c>
      <c r="K21" s="22">
        <v>5048012</v>
      </c>
      <c r="L21" s="22">
        <v>100000</v>
      </c>
      <c r="M21" s="22">
        <v>108000</v>
      </c>
      <c r="N21" s="22">
        <v>116100</v>
      </c>
      <c r="O21" s="22">
        <v>125700</v>
      </c>
      <c r="P21" s="22">
        <v>108000</v>
      </c>
      <c r="Q21" s="22">
        <v>125700</v>
      </c>
      <c r="R21" s="22">
        <v>100000</v>
      </c>
      <c r="S21" s="22">
        <v>116100</v>
      </c>
      <c r="T21" s="24">
        <v>25000</v>
      </c>
      <c r="U21" s="22">
        <v>26817</v>
      </c>
      <c r="V21" s="22">
        <v>24517</v>
      </c>
      <c r="W21" s="22">
        <v>22317</v>
      </c>
      <c r="X21" s="22">
        <v>26817</v>
      </c>
      <c r="Y21" s="22">
        <v>22317</v>
      </c>
      <c r="Z21" s="22">
        <v>29017</v>
      </c>
      <c r="AA21" s="22">
        <v>24517</v>
      </c>
      <c r="AB21" s="24">
        <v>103000</v>
      </c>
      <c r="AC21" s="24">
        <v>107000</v>
      </c>
      <c r="AD21" s="24">
        <v>104000</v>
      </c>
      <c r="AE21" s="24">
        <v>108000</v>
      </c>
      <c r="AF21" s="24">
        <v>100500</v>
      </c>
      <c r="AG21" s="24">
        <v>103000</v>
      </c>
      <c r="AH21" s="24">
        <v>101500</v>
      </c>
      <c r="AI21" s="24">
        <v>104500</v>
      </c>
      <c r="AJ21" s="25">
        <v>3.4</v>
      </c>
      <c r="AK21" s="25">
        <v>8.6999999999999993</v>
      </c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8">
        <f t="shared" si="6"/>
        <v>2</v>
      </c>
      <c r="AY21" s="8">
        <f t="shared" si="7"/>
        <v>3</v>
      </c>
      <c r="AZ21" s="16" t="str">
        <f t="shared" si="16"/>
        <v>∆(2-3)</v>
      </c>
      <c r="BA21" s="17">
        <f t="shared" ca="1" si="8"/>
        <v>-8900</v>
      </c>
      <c r="BB21" s="17">
        <f t="shared" ca="1" si="9"/>
        <v>2300</v>
      </c>
      <c r="BC21" s="17">
        <f t="shared" ca="1" si="17"/>
        <v>1780</v>
      </c>
      <c r="BD21" s="17" t="e">
        <f>#REF!</f>
        <v>#REF!</v>
      </c>
      <c r="BE21" s="17">
        <f t="shared" ca="1" si="18"/>
        <v>-8900</v>
      </c>
      <c r="BF21" s="17">
        <f t="shared" ca="1" si="19"/>
        <v>2300</v>
      </c>
      <c r="BG21" s="17">
        <f t="shared" ca="1" si="20"/>
        <v>2300</v>
      </c>
      <c r="BH21" s="17">
        <f t="shared" ca="1" si="21"/>
        <v>2300</v>
      </c>
      <c r="BI21" s="17" t="e">
        <f t="shared" si="22"/>
        <v>#REF!</v>
      </c>
      <c r="BJ21" s="17" t="e">
        <f t="shared" si="23"/>
        <v>#REF!</v>
      </c>
      <c r="BK21" s="17" t="e">
        <f t="shared" si="24"/>
        <v>#REF!</v>
      </c>
      <c r="BL21" s="17" t="e">
        <f t="shared" si="25"/>
        <v>#REF!</v>
      </c>
      <c r="BM21" s="18" t="e">
        <f t="shared" ca="1" si="26"/>
        <v>#VALUE!</v>
      </c>
      <c r="BN21" s="19" t="e">
        <f ca="1">IF(BM21&gt;=#REF!/100,"Yes","No")</f>
        <v>#VALUE!</v>
      </c>
      <c r="BO21" s="20">
        <f t="shared" si="10"/>
        <v>1</v>
      </c>
      <c r="BP21" s="20" t="e">
        <f t="shared" ca="1" si="27"/>
        <v>#VALUE!</v>
      </c>
      <c r="BQ21" s="16" t="e">
        <f t="shared" ca="1" si="28"/>
        <v>#VALUE!</v>
      </c>
      <c r="BR21" s="17" t="e">
        <f t="shared" ca="1" si="11"/>
        <v>#VALUE!</v>
      </c>
      <c r="BS21" s="17" t="e">
        <f t="shared" ca="1" si="12"/>
        <v>#VALUE!</v>
      </c>
      <c r="BT21" s="17" t="e">
        <f t="shared" ca="1" si="29"/>
        <v>#VALUE!</v>
      </c>
      <c r="BU21" s="17" t="e">
        <f>#REF!</f>
        <v>#REF!</v>
      </c>
      <c r="BV21" s="17" t="e">
        <f t="shared" ca="1" si="30"/>
        <v>#VALUE!</v>
      </c>
      <c r="BW21" s="17" t="e">
        <f t="shared" ca="1" si="31"/>
        <v>#VALUE!</v>
      </c>
      <c r="BX21" s="17" t="e">
        <f t="shared" ca="1" si="32"/>
        <v>#VALUE!</v>
      </c>
      <c r="BY21" s="17" t="e">
        <f t="shared" ca="1" si="33"/>
        <v>#VALUE!</v>
      </c>
      <c r="BZ21" s="17" t="e">
        <f t="shared" si="34"/>
        <v>#REF!</v>
      </c>
      <c r="CA21" s="17" t="e">
        <f t="shared" si="35"/>
        <v>#REF!</v>
      </c>
      <c r="CB21" s="17" t="e">
        <f t="shared" si="36"/>
        <v>#REF!</v>
      </c>
      <c r="CC21" s="17" t="e">
        <f t="shared" si="37"/>
        <v>#REF!</v>
      </c>
      <c r="CD21" s="18" t="e">
        <f t="shared" ca="1" si="38"/>
        <v>#VALUE!</v>
      </c>
      <c r="CE21" s="19" t="e">
        <f ca="1">IF(CD21&gt;=#REF!/100,"Yes","No")</f>
        <v>#VALUE!</v>
      </c>
      <c r="CF21" s="20">
        <f t="shared" si="13"/>
        <v>4</v>
      </c>
      <c r="CG21" s="20" t="e">
        <f t="shared" ca="1" si="39"/>
        <v>#VALUE!</v>
      </c>
      <c r="CH21" s="16" t="e">
        <f t="shared" ca="1" si="40"/>
        <v>#VALUE!</v>
      </c>
      <c r="CI21" s="17" t="e">
        <f t="shared" ca="1" si="14"/>
        <v>#VALUE!</v>
      </c>
      <c r="CJ21" s="17" t="e">
        <f t="shared" ca="1" si="15"/>
        <v>#VALUE!</v>
      </c>
      <c r="CK21" s="17" t="e">
        <f t="shared" ca="1" si="41"/>
        <v>#VALUE!</v>
      </c>
      <c r="CL21" s="17" t="e">
        <f>#REF!</f>
        <v>#REF!</v>
      </c>
      <c r="CM21" s="17" t="e">
        <f t="shared" ca="1" si="42"/>
        <v>#VALUE!</v>
      </c>
      <c r="CN21" s="17" t="e">
        <f t="shared" ca="1" si="43"/>
        <v>#VALUE!</v>
      </c>
      <c r="CO21" s="17" t="e">
        <f t="shared" ca="1" si="44"/>
        <v>#VALUE!</v>
      </c>
      <c r="CP21" s="17" t="e">
        <f t="shared" ca="1" si="45"/>
        <v>#VALUE!</v>
      </c>
      <c r="CQ21" s="17" t="e">
        <f t="shared" si="46"/>
        <v>#REF!</v>
      </c>
      <c r="CR21" s="17" t="e">
        <f t="shared" si="47"/>
        <v>#REF!</v>
      </c>
      <c r="CS21" s="17" t="e">
        <f t="shared" si="48"/>
        <v>#REF!</v>
      </c>
      <c r="CT21" s="17" t="e">
        <f t="shared" si="49"/>
        <v>#REF!</v>
      </c>
      <c r="CU21" s="18" t="e">
        <f t="shared" ca="1" si="50"/>
        <v>#VALUE!</v>
      </c>
      <c r="CV21" s="19" t="e">
        <f ca="1">IF(CU21&gt;=#REF!/100,"Yes","No")</f>
        <v>#VALUE!</v>
      </c>
    </row>
    <row r="22" spans="1:100" x14ac:dyDescent="0.25">
      <c r="A22" t="s">
        <v>66</v>
      </c>
      <c r="B22" t="s">
        <v>67</v>
      </c>
      <c r="C22">
        <v>116203011</v>
      </c>
      <c r="D22" t="str">
        <f t="shared" si="5"/>
        <v>Alazem, Sulaiman-116203011</v>
      </c>
      <c r="E22" s="22">
        <v>7</v>
      </c>
      <c r="F22" s="22">
        <v>1</v>
      </c>
      <c r="G22" s="22">
        <v>8</v>
      </c>
      <c r="H22" s="22">
        <v>4693830</v>
      </c>
      <c r="I22" s="22">
        <v>9334624</v>
      </c>
      <c r="J22" s="22">
        <v>7282804</v>
      </c>
      <c r="K22" s="22">
        <v>9265972</v>
      </c>
      <c r="L22" s="22">
        <v>100000</v>
      </c>
      <c r="M22" s="22">
        <v>108400</v>
      </c>
      <c r="N22" s="22">
        <v>117800</v>
      </c>
      <c r="O22" s="22">
        <v>127000</v>
      </c>
      <c r="P22" s="22">
        <v>108400</v>
      </c>
      <c r="Q22" s="22">
        <v>127000</v>
      </c>
      <c r="R22" s="22">
        <v>117800</v>
      </c>
      <c r="S22" s="22">
        <v>100000</v>
      </c>
      <c r="T22" s="24">
        <v>28000</v>
      </c>
      <c r="U22" s="22">
        <v>26918</v>
      </c>
      <c r="V22" s="22">
        <v>24618</v>
      </c>
      <c r="W22" s="22">
        <v>22618</v>
      </c>
      <c r="X22" s="22">
        <v>26918</v>
      </c>
      <c r="Y22" s="22">
        <v>22618</v>
      </c>
      <c r="Z22" s="22">
        <v>24618</v>
      </c>
      <c r="AA22" s="22">
        <v>29018</v>
      </c>
      <c r="AB22" s="24">
        <v>92000</v>
      </c>
      <c r="AC22" s="24">
        <v>93000</v>
      </c>
      <c r="AD22" s="24">
        <v>93000</v>
      </c>
      <c r="AE22" s="24">
        <v>90000</v>
      </c>
      <c r="AF22" s="24">
        <v>88000</v>
      </c>
      <c r="AG22" s="24">
        <v>91500</v>
      </c>
      <c r="AH22" s="24">
        <v>89000</v>
      </c>
      <c r="AI22" s="24">
        <v>87500</v>
      </c>
      <c r="AJ22" s="25">
        <v>4.3</v>
      </c>
      <c r="AK22" s="25">
        <v>9.3000000000000007</v>
      </c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8">
        <f t="shared" si="6"/>
        <v>1</v>
      </c>
      <c r="AY22" s="8">
        <f t="shared" si="7"/>
        <v>3</v>
      </c>
      <c r="AZ22" s="13" t="str">
        <f t="shared" si="16"/>
        <v>∆(1-3)</v>
      </c>
      <c r="BA22" s="10">
        <f t="shared" ca="1" si="8"/>
        <v>-8000</v>
      </c>
      <c r="BB22" s="10">
        <f t="shared" ca="1" si="9"/>
        <v>2200</v>
      </c>
      <c r="BC22" s="10">
        <f t="shared" ca="1" si="17"/>
        <v>1600</v>
      </c>
      <c r="BD22" s="10" t="e">
        <f>#REF!</f>
        <v>#REF!</v>
      </c>
      <c r="BE22" s="10">
        <f t="shared" ca="1" si="18"/>
        <v>-8000</v>
      </c>
      <c r="BF22" s="10">
        <f t="shared" ca="1" si="19"/>
        <v>2200</v>
      </c>
      <c r="BG22" s="10">
        <f t="shared" ca="1" si="20"/>
        <v>2200</v>
      </c>
      <c r="BH22" s="10">
        <f t="shared" ca="1" si="21"/>
        <v>2200</v>
      </c>
      <c r="BI22" s="10" t="e">
        <f t="shared" si="22"/>
        <v>#REF!</v>
      </c>
      <c r="BJ22" s="10" t="e">
        <f t="shared" si="23"/>
        <v>#REF!</v>
      </c>
      <c r="BK22" s="10" t="e">
        <f t="shared" si="24"/>
        <v>#REF!</v>
      </c>
      <c r="BL22" s="10" t="e">
        <f t="shared" si="25"/>
        <v>#REF!</v>
      </c>
      <c r="BM22" s="14" t="e">
        <f t="shared" ca="1" si="26"/>
        <v>#VALUE!</v>
      </c>
      <c r="BN22" s="15" t="e">
        <f ca="1">IF(BM22&gt;=#REF!/100,"Yes","No")</f>
        <v>#VALUE!</v>
      </c>
      <c r="BO22" s="6">
        <f t="shared" si="10"/>
        <v>4</v>
      </c>
      <c r="BP22" s="6" t="e">
        <f t="shared" ca="1" si="27"/>
        <v>#VALUE!</v>
      </c>
      <c r="BQ22" s="13" t="e">
        <f t="shared" ca="1" si="28"/>
        <v>#VALUE!</v>
      </c>
      <c r="BR22" s="10" t="e">
        <f t="shared" ca="1" si="11"/>
        <v>#VALUE!</v>
      </c>
      <c r="BS22" s="10" t="e">
        <f t="shared" ca="1" si="12"/>
        <v>#VALUE!</v>
      </c>
      <c r="BT22" s="10" t="e">
        <f t="shared" ca="1" si="29"/>
        <v>#VALUE!</v>
      </c>
      <c r="BU22" s="10" t="e">
        <f>#REF!</f>
        <v>#REF!</v>
      </c>
      <c r="BV22" s="10" t="e">
        <f t="shared" ca="1" si="30"/>
        <v>#VALUE!</v>
      </c>
      <c r="BW22" s="10" t="e">
        <f t="shared" ca="1" si="31"/>
        <v>#VALUE!</v>
      </c>
      <c r="BX22" s="10" t="e">
        <f t="shared" ca="1" si="32"/>
        <v>#VALUE!</v>
      </c>
      <c r="BY22" s="10" t="e">
        <f t="shared" ca="1" si="33"/>
        <v>#VALUE!</v>
      </c>
      <c r="BZ22" s="10" t="e">
        <f t="shared" si="34"/>
        <v>#REF!</v>
      </c>
      <c r="CA22" s="10" t="e">
        <f t="shared" si="35"/>
        <v>#REF!</v>
      </c>
      <c r="CB22" s="10" t="e">
        <f t="shared" si="36"/>
        <v>#REF!</v>
      </c>
      <c r="CC22" s="10" t="e">
        <f t="shared" si="37"/>
        <v>#REF!</v>
      </c>
      <c r="CD22" s="14" t="e">
        <f t="shared" ca="1" si="38"/>
        <v>#VALUE!</v>
      </c>
      <c r="CE22" s="15" t="e">
        <f ca="1">IF(CD22&gt;=#REF!/100,"Yes","No")</f>
        <v>#VALUE!</v>
      </c>
      <c r="CF22" s="6">
        <f t="shared" si="13"/>
        <v>2</v>
      </c>
      <c r="CG22" s="6" t="e">
        <f t="shared" ca="1" si="39"/>
        <v>#VALUE!</v>
      </c>
      <c r="CH22" s="13" t="e">
        <f t="shared" ca="1" si="40"/>
        <v>#VALUE!</v>
      </c>
      <c r="CI22" s="10" t="e">
        <f t="shared" ca="1" si="14"/>
        <v>#VALUE!</v>
      </c>
      <c r="CJ22" s="10" t="e">
        <f t="shared" ca="1" si="15"/>
        <v>#VALUE!</v>
      </c>
      <c r="CK22" s="10" t="e">
        <f t="shared" ca="1" si="41"/>
        <v>#VALUE!</v>
      </c>
      <c r="CL22" s="10" t="e">
        <f>#REF!</f>
        <v>#REF!</v>
      </c>
      <c r="CM22" s="10" t="e">
        <f t="shared" ca="1" si="42"/>
        <v>#VALUE!</v>
      </c>
      <c r="CN22" s="10" t="e">
        <f t="shared" ca="1" si="43"/>
        <v>#VALUE!</v>
      </c>
      <c r="CO22" s="10" t="e">
        <f t="shared" ca="1" si="44"/>
        <v>#VALUE!</v>
      </c>
      <c r="CP22" s="10" t="e">
        <f t="shared" ca="1" si="45"/>
        <v>#VALUE!</v>
      </c>
      <c r="CQ22" s="10" t="e">
        <f t="shared" si="46"/>
        <v>#REF!</v>
      </c>
      <c r="CR22" s="10" t="e">
        <f t="shared" si="47"/>
        <v>#REF!</v>
      </c>
      <c r="CS22" s="10" t="e">
        <f t="shared" si="48"/>
        <v>#REF!</v>
      </c>
      <c r="CT22" s="10" t="e">
        <f t="shared" si="49"/>
        <v>#REF!</v>
      </c>
      <c r="CU22" s="14" t="e">
        <f t="shared" ca="1" si="50"/>
        <v>#VALUE!</v>
      </c>
      <c r="CV22" s="15" t="e">
        <f ca="1">IF(CU22&gt;=#REF!/100,"Yes","No")</f>
        <v>#VALUE!</v>
      </c>
    </row>
    <row r="23" spans="1:100" x14ac:dyDescent="0.25">
      <c r="A23" t="s">
        <v>68</v>
      </c>
      <c r="B23" t="s">
        <v>69</v>
      </c>
      <c r="C23">
        <v>115203015</v>
      </c>
      <c r="D23" t="str">
        <f t="shared" si="5"/>
        <v>Alçın, Arınç-115203015</v>
      </c>
      <c r="E23" s="22">
        <v>7</v>
      </c>
      <c r="F23" s="22">
        <v>3</v>
      </c>
      <c r="G23" s="22">
        <v>15</v>
      </c>
      <c r="H23" s="22">
        <v>9995233</v>
      </c>
      <c r="I23" s="22">
        <v>7290114</v>
      </c>
      <c r="J23" s="22">
        <v>6301390</v>
      </c>
      <c r="K23" s="22">
        <v>5658769</v>
      </c>
      <c r="L23" s="22">
        <v>100000</v>
      </c>
      <c r="M23" s="22">
        <v>108000</v>
      </c>
      <c r="N23" s="22">
        <v>117700</v>
      </c>
      <c r="O23" s="22">
        <v>126300</v>
      </c>
      <c r="P23" s="22">
        <v>100000</v>
      </c>
      <c r="Q23" s="22">
        <v>108000</v>
      </c>
      <c r="R23" s="22">
        <v>117700</v>
      </c>
      <c r="S23" s="22">
        <v>126300</v>
      </c>
      <c r="T23" s="24">
        <v>26000</v>
      </c>
      <c r="U23" s="22">
        <v>26719</v>
      </c>
      <c r="V23" s="22">
        <v>24719</v>
      </c>
      <c r="W23" s="22">
        <v>22419</v>
      </c>
      <c r="X23" s="22">
        <v>29019</v>
      </c>
      <c r="Y23" s="22">
        <v>26719</v>
      </c>
      <c r="Z23" s="22">
        <v>24719</v>
      </c>
      <c r="AA23" s="22">
        <v>22419</v>
      </c>
      <c r="AB23" s="24">
        <v>99000</v>
      </c>
      <c r="AC23" s="24">
        <v>103000</v>
      </c>
      <c r="AD23" s="24">
        <v>102000</v>
      </c>
      <c r="AE23" s="24">
        <v>106000</v>
      </c>
      <c r="AF23" s="24">
        <v>95500</v>
      </c>
      <c r="AG23" s="24">
        <v>101500</v>
      </c>
      <c r="AH23" s="24">
        <v>99500</v>
      </c>
      <c r="AI23" s="24">
        <v>102500</v>
      </c>
      <c r="AJ23" s="25">
        <v>3.9</v>
      </c>
      <c r="AK23" s="25">
        <v>8.6999999999999993</v>
      </c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8">
        <f t="shared" si="6"/>
        <v>1</v>
      </c>
      <c r="AY23" s="8">
        <f t="shared" si="7"/>
        <v>4</v>
      </c>
      <c r="AZ23" s="16" t="str">
        <f t="shared" si="16"/>
        <v>∆(1-4)</v>
      </c>
      <c r="BA23" s="17">
        <f t="shared" ca="1" si="8"/>
        <v>-8400</v>
      </c>
      <c r="BB23" s="17">
        <f t="shared" ca="1" si="9"/>
        <v>2100</v>
      </c>
      <c r="BC23" s="17">
        <f t="shared" ca="1" si="17"/>
        <v>1680</v>
      </c>
      <c r="BD23" s="17" t="e">
        <f>#REF!</f>
        <v>#REF!</v>
      </c>
      <c r="BE23" s="17">
        <f t="shared" ca="1" si="18"/>
        <v>-8400</v>
      </c>
      <c r="BF23" s="17">
        <f t="shared" ca="1" si="19"/>
        <v>2100</v>
      </c>
      <c r="BG23" s="17">
        <f t="shared" ca="1" si="20"/>
        <v>2100</v>
      </c>
      <c r="BH23" s="17">
        <f t="shared" ca="1" si="21"/>
        <v>2100</v>
      </c>
      <c r="BI23" s="17" t="e">
        <f t="shared" si="22"/>
        <v>#REF!</v>
      </c>
      <c r="BJ23" s="17" t="e">
        <f t="shared" si="23"/>
        <v>#REF!</v>
      </c>
      <c r="BK23" s="17" t="e">
        <f t="shared" si="24"/>
        <v>#REF!</v>
      </c>
      <c r="BL23" s="17" t="e">
        <f t="shared" si="25"/>
        <v>#REF!</v>
      </c>
      <c r="BM23" s="18" t="e">
        <f t="shared" ca="1" si="26"/>
        <v>#VALUE!</v>
      </c>
      <c r="BN23" s="19" t="e">
        <f ca="1">IF(BM23&gt;=#REF!/100,"Yes","No")</f>
        <v>#VALUE!</v>
      </c>
      <c r="BO23" s="20">
        <f t="shared" si="10"/>
        <v>3</v>
      </c>
      <c r="BP23" s="20" t="e">
        <f t="shared" ca="1" si="27"/>
        <v>#VALUE!</v>
      </c>
      <c r="BQ23" s="16" t="e">
        <f t="shared" ca="1" si="28"/>
        <v>#VALUE!</v>
      </c>
      <c r="BR23" s="17" t="e">
        <f t="shared" ca="1" si="11"/>
        <v>#VALUE!</v>
      </c>
      <c r="BS23" s="17" t="e">
        <f t="shared" ca="1" si="12"/>
        <v>#VALUE!</v>
      </c>
      <c r="BT23" s="17" t="e">
        <f t="shared" ca="1" si="29"/>
        <v>#VALUE!</v>
      </c>
      <c r="BU23" s="17" t="e">
        <f>#REF!</f>
        <v>#REF!</v>
      </c>
      <c r="BV23" s="17" t="e">
        <f t="shared" ca="1" si="30"/>
        <v>#VALUE!</v>
      </c>
      <c r="BW23" s="17" t="e">
        <f t="shared" ca="1" si="31"/>
        <v>#VALUE!</v>
      </c>
      <c r="BX23" s="17" t="e">
        <f t="shared" ca="1" si="32"/>
        <v>#VALUE!</v>
      </c>
      <c r="BY23" s="17" t="e">
        <f t="shared" ca="1" si="33"/>
        <v>#VALUE!</v>
      </c>
      <c r="BZ23" s="17" t="e">
        <f t="shared" si="34"/>
        <v>#REF!</v>
      </c>
      <c r="CA23" s="17" t="e">
        <f t="shared" si="35"/>
        <v>#REF!</v>
      </c>
      <c r="CB23" s="17" t="e">
        <f t="shared" si="36"/>
        <v>#REF!</v>
      </c>
      <c r="CC23" s="17" t="e">
        <f t="shared" si="37"/>
        <v>#REF!</v>
      </c>
      <c r="CD23" s="18" t="e">
        <f t="shared" ca="1" si="38"/>
        <v>#VALUE!</v>
      </c>
      <c r="CE23" s="19" t="e">
        <f ca="1">IF(CD23&gt;=#REF!/100,"Yes","No")</f>
        <v>#VALUE!</v>
      </c>
      <c r="CF23" s="20">
        <f t="shared" si="13"/>
        <v>2</v>
      </c>
      <c r="CG23" s="20" t="e">
        <f t="shared" ca="1" si="39"/>
        <v>#VALUE!</v>
      </c>
      <c r="CH23" s="16" t="e">
        <f t="shared" ca="1" si="40"/>
        <v>#VALUE!</v>
      </c>
      <c r="CI23" s="17" t="e">
        <f t="shared" ca="1" si="14"/>
        <v>#VALUE!</v>
      </c>
      <c r="CJ23" s="17" t="e">
        <f t="shared" ca="1" si="15"/>
        <v>#VALUE!</v>
      </c>
      <c r="CK23" s="17" t="e">
        <f t="shared" ca="1" si="41"/>
        <v>#VALUE!</v>
      </c>
      <c r="CL23" s="17" t="e">
        <f>#REF!</f>
        <v>#REF!</v>
      </c>
      <c r="CM23" s="17" t="e">
        <f t="shared" ca="1" si="42"/>
        <v>#VALUE!</v>
      </c>
      <c r="CN23" s="17" t="e">
        <f t="shared" ca="1" si="43"/>
        <v>#VALUE!</v>
      </c>
      <c r="CO23" s="17" t="e">
        <f t="shared" ca="1" si="44"/>
        <v>#VALUE!</v>
      </c>
      <c r="CP23" s="17" t="e">
        <f t="shared" ca="1" si="45"/>
        <v>#VALUE!</v>
      </c>
      <c r="CQ23" s="17" t="e">
        <f t="shared" si="46"/>
        <v>#REF!</v>
      </c>
      <c r="CR23" s="17" t="e">
        <f t="shared" si="47"/>
        <v>#REF!</v>
      </c>
      <c r="CS23" s="17" t="e">
        <f t="shared" si="48"/>
        <v>#REF!</v>
      </c>
      <c r="CT23" s="17" t="e">
        <f t="shared" si="49"/>
        <v>#REF!</v>
      </c>
      <c r="CU23" s="18" t="e">
        <f t="shared" ca="1" si="50"/>
        <v>#VALUE!</v>
      </c>
      <c r="CV23" s="19" t="e">
        <f ca="1">IF(CU23&gt;=#REF!/100,"Yes","No")</f>
        <v>#VALUE!</v>
      </c>
    </row>
    <row r="24" spans="1:100" x14ac:dyDescent="0.25">
      <c r="A24" t="s">
        <v>70</v>
      </c>
      <c r="B24" t="s">
        <v>71</v>
      </c>
      <c r="C24">
        <v>116204004</v>
      </c>
      <c r="D24" t="str">
        <f t="shared" si="5"/>
        <v>AlHariri, Alaa Essam-116204004</v>
      </c>
      <c r="E24" s="22">
        <v>5</v>
      </c>
      <c r="F24" s="22">
        <v>2</v>
      </c>
      <c r="G24" s="22">
        <v>10</v>
      </c>
      <c r="H24" s="22">
        <v>4364535</v>
      </c>
      <c r="I24" s="22">
        <v>840811</v>
      </c>
      <c r="J24" s="22">
        <v>8185827</v>
      </c>
      <c r="K24" s="22">
        <v>4827697</v>
      </c>
      <c r="L24" s="22">
        <v>100000</v>
      </c>
      <c r="M24" s="22">
        <v>108800</v>
      </c>
      <c r="N24" s="22">
        <v>117200</v>
      </c>
      <c r="O24" s="22">
        <v>126000</v>
      </c>
      <c r="P24" s="22">
        <v>117200</v>
      </c>
      <c r="Q24" s="22">
        <v>126000</v>
      </c>
      <c r="R24" s="22">
        <v>100000</v>
      </c>
      <c r="S24" s="22">
        <v>108800</v>
      </c>
      <c r="T24" s="24">
        <v>24000</v>
      </c>
      <c r="U24" s="22">
        <v>26920</v>
      </c>
      <c r="V24" s="22">
        <v>24420</v>
      </c>
      <c r="W24" s="22">
        <v>22220</v>
      </c>
      <c r="X24" s="22">
        <v>24420</v>
      </c>
      <c r="Y24" s="22">
        <v>22220</v>
      </c>
      <c r="Z24" s="22">
        <v>29020</v>
      </c>
      <c r="AA24" s="22">
        <v>26920</v>
      </c>
      <c r="AB24" s="24">
        <v>114000</v>
      </c>
      <c r="AC24" s="24">
        <v>111000</v>
      </c>
      <c r="AD24" s="24">
        <v>114000</v>
      </c>
      <c r="AE24" s="24">
        <v>112000</v>
      </c>
      <c r="AF24" s="24">
        <v>111500</v>
      </c>
      <c r="AG24" s="24">
        <v>108000</v>
      </c>
      <c r="AH24" s="24">
        <v>110000</v>
      </c>
      <c r="AI24" s="24">
        <v>108500</v>
      </c>
      <c r="AJ24" s="25">
        <v>4.2</v>
      </c>
      <c r="AK24" s="25">
        <v>7.5</v>
      </c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8">
        <f t="shared" si="6"/>
        <v>2</v>
      </c>
      <c r="AY24" s="8">
        <f t="shared" si="7"/>
        <v>1</v>
      </c>
      <c r="AZ24" s="13" t="str">
        <f t="shared" si="16"/>
        <v>∆(2-1)</v>
      </c>
      <c r="BA24" s="10">
        <f t="shared" ca="1" si="8"/>
        <v>-8000</v>
      </c>
      <c r="BB24" s="10">
        <f t="shared" ca="1" si="9"/>
        <v>2300</v>
      </c>
      <c r="BC24" s="10">
        <f t="shared" ca="1" si="17"/>
        <v>1600</v>
      </c>
      <c r="BD24" s="10" t="e">
        <f>#REF!</f>
        <v>#REF!</v>
      </c>
      <c r="BE24" s="10">
        <f t="shared" ca="1" si="18"/>
        <v>-8000</v>
      </c>
      <c r="BF24" s="10">
        <f t="shared" ca="1" si="19"/>
        <v>2300</v>
      </c>
      <c r="BG24" s="10">
        <f t="shared" ca="1" si="20"/>
        <v>2300</v>
      </c>
      <c r="BH24" s="10">
        <f t="shared" ca="1" si="21"/>
        <v>2300</v>
      </c>
      <c r="BI24" s="10" t="e">
        <f t="shared" si="22"/>
        <v>#REF!</v>
      </c>
      <c r="BJ24" s="10" t="e">
        <f t="shared" si="23"/>
        <v>#REF!</v>
      </c>
      <c r="BK24" s="10" t="e">
        <f t="shared" si="24"/>
        <v>#REF!</v>
      </c>
      <c r="BL24" s="10" t="e">
        <f t="shared" si="25"/>
        <v>#REF!</v>
      </c>
      <c r="BM24" s="14" t="e">
        <f t="shared" ca="1" si="26"/>
        <v>#VALUE!</v>
      </c>
      <c r="BN24" s="15" t="e">
        <f ca="1">IF(BM24&gt;=#REF!/100,"Yes","No")</f>
        <v>#VALUE!</v>
      </c>
      <c r="BO24" s="6">
        <f t="shared" si="10"/>
        <v>3</v>
      </c>
      <c r="BP24" s="6" t="e">
        <f t="shared" ca="1" si="27"/>
        <v>#VALUE!</v>
      </c>
      <c r="BQ24" s="13" t="e">
        <f t="shared" ca="1" si="28"/>
        <v>#VALUE!</v>
      </c>
      <c r="BR24" s="10" t="e">
        <f t="shared" ca="1" si="11"/>
        <v>#VALUE!</v>
      </c>
      <c r="BS24" s="10" t="e">
        <f t="shared" ca="1" si="12"/>
        <v>#VALUE!</v>
      </c>
      <c r="BT24" s="10" t="e">
        <f t="shared" ca="1" si="29"/>
        <v>#VALUE!</v>
      </c>
      <c r="BU24" s="10" t="e">
        <f>#REF!</f>
        <v>#REF!</v>
      </c>
      <c r="BV24" s="10" t="e">
        <f t="shared" ca="1" si="30"/>
        <v>#VALUE!</v>
      </c>
      <c r="BW24" s="10" t="e">
        <f t="shared" ca="1" si="31"/>
        <v>#VALUE!</v>
      </c>
      <c r="BX24" s="10" t="e">
        <f t="shared" ca="1" si="32"/>
        <v>#VALUE!</v>
      </c>
      <c r="BY24" s="10" t="e">
        <f t="shared" ca="1" si="33"/>
        <v>#VALUE!</v>
      </c>
      <c r="BZ24" s="10" t="e">
        <f t="shared" si="34"/>
        <v>#REF!</v>
      </c>
      <c r="CA24" s="10" t="e">
        <f t="shared" si="35"/>
        <v>#REF!</v>
      </c>
      <c r="CB24" s="10" t="e">
        <f t="shared" si="36"/>
        <v>#REF!</v>
      </c>
      <c r="CC24" s="10" t="e">
        <f t="shared" si="37"/>
        <v>#REF!</v>
      </c>
      <c r="CD24" s="14" t="e">
        <f t="shared" ca="1" si="38"/>
        <v>#VALUE!</v>
      </c>
      <c r="CE24" s="15" t="e">
        <f ca="1">IF(CD24&gt;=#REF!/100,"Yes","No")</f>
        <v>#VALUE!</v>
      </c>
      <c r="CF24" s="6">
        <f t="shared" si="13"/>
        <v>4</v>
      </c>
      <c r="CG24" s="6" t="e">
        <f t="shared" ca="1" si="39"/>
        <v>#VALUE!</v>
      </c>
      <c r="CH24" s="13" t="e">
        <f t="shared" ca="1" si="40"/>
        <v>#VALUE!</v>
      </c>
      <c r="CI24" s="10" t="e">
        <f t="shared" ca="1" si="14"/>
        <v>#VALUE!</v>
      </c>
      <c r="CJ24" s="10" t="e">
        <f t="shared" ca="1" si="15"/>
        <v>#VALUE!</v>
      </c>
      <c r="CK24" s="10" t="e">
        <f t="shared" ca="1" si="41"/>
        <v>#VALUE!</v>
      </c>
      <c r="CL24" s="10" t="e">
        <f>#REF!</f>
        <v>#REF!</v>
      </c>
      <c r="CM24" s="10" t="e">
        <f t="shared" ca="1" si="42"/>
        <v>#VALUE!</v>
      </c>
      <c r="CN24" s="10" t="e">
        <f t="shared" ca="1" si="43"/>
        <v>#VALUE!</v>
      </c>
      <c r="CO24" s="10" t="e">
        <f t="shared" ca="1" si="44"/>
        <v>#VALUE!</v>
      </c>
      <c r="CP24" s="10" t="e">
        <f t="shared" ca="1" si="45"/>
        <v>#VALUE!</v>
      </c>
      <c r="CQ24" s="10" t="e">
        <f t="shared" si="46"/>
        <v>#REF!</v>
      </c>
      <c r="CR24" s="10" t="e">
        <f t="shared" si="47"/>
        <v>#REF!</v>
      </c>
      <c r="CS24" s="10" t="e">
        <f t="shared" si="48"/>
        <v>#REF!</v>
      </c>
      <c r="CT24" s="10" t="e">
        <f t="shared" si="49"/>
        <v>#REF!</v>
      </c>
      <c r="CU24" s="14" t="e">
        <f t="shared" ca="1" si="50"/>
        <v>#VALUE!</v>
      </c>
      <c r="CV24" s="15" t="e">
        <f ca="1">IF(CU24&gt;=#REF!/100,"Yes","No")</f>
        <v>#VALUE!</v>
      </c>
    </row>
    <row r="25" spans="1:100" x14ac:dyDescent="0.25">
      <c r="A25" t="s">
        <v>72</v>
      </c>
      <c r="B25" t="s">
        <v>73</v>
      </c>
      <c r="C25">
        <v>117203107</v>
      </c>
      <c r="D25" t="str">
        <f t="shared" si="5"/>
        <v>Aloush, Bashar-117203107</v>
      </c>
      <c r="E25" s="22">
        <v>7</v>
      </c>
      <c r="F25" s="22">
        <v>2</v>
      </c>
      <c r="G25" s="22">
        <v>10</v>
      </c>
      <c r="H25" s="22">
        <v>636442</v>
      </c>
      <c r="I25" s="22">
        <v>7015298</v>
      </c>
      <c r="J25" s="22">
        <v>5891078</v>
      </c>
      <c r="K25" s="22">
        <v>3710913</v>
      </c>
      <c r="L25" s="22">
        <v>100000</v>
      </c>
      <c r="M25" s="22">
        <v>108200</v>
      </c>
      <c r="N25" s="22">
        <v>118000</v>
      </c>
      <c r="O25" s="22">
        <v>126300</v>
      </c>
      <c r="P25" s="22">
        <v>108200</v>
      </c>
      <c r="Q25" s="22">
        <v>118000</v>
      </c>
      <c r="R25" s="22">
        <v>126300</v>
      </c>
      <c r="S25" s="22">
        <v>100000</v>
      </c>
      <c r="T25" s="24">
        <v>28000</v>
      </c>
      <c r="U25" s="22">
        <v>26821</v>
      </c>
      <c r="V25" s="22">
        <v>24721</v>
      </c>
      <c r="W25" s="22">
        <v>22521</v>
      </c>
      <c r="X25" s="22">
        <v>26821</v>
      </c>
      <c r="Y25" s="22">
        <v>24721</v>
      </c>
      <c r="Z25" s="22">
        <v>22521</v>
      </c>
      <c r="AA25" s="22">
        <v>29021</v>
      </c>
      <c r="AB25" s="24">
        <v>90000</v>
      </c>
      <c r="AC25" s="24">
        <v>91000</v>
      </c>
      <c r="AD25" s="24">
        <v>93000</v>
      </c>
      <c r="AE25" s="24">
        <v>91000</v>
      </c>
      <c r="AF25" s="24">
        <v>88000</v>
      </c>
      <c r="AG25" s="24">
        <v>87000</v>
      </c>
      <c r="AH25" s="24">
        <v>89000</v>
      </c>
      <c r="AI25" s="24">
        <v>89500</v>
      </c>
      <c r="AJ25" s="25">
        <v>2.8</v>
      </c>
      <c r="AK25" s="25">
        <v>9</v>
      </c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8">
        <f t="shared" si="6"/>
        <v>4</v>
      </c>
      <c r="AY25" s="8">
        <f t="shared" si="7"/>
        <v>3</v>
      </c>
      <c r="AZ25" s="16" t="str">
        <f t="shared" si="16"/>
        <v>∆(4-3)</v>
      </c>
      <c r="BA25" s="17">
        <f t="shared" ca="1" si="8"/>
        <v>-8800</v>
      </c>
      <c r="BB25" s="17">
        <f t="shared" ca="1" si="9"/>
        <v>2100</v>
      </c>
      <c r="BC25" s="17">
        <f t="shared" ca="1" si="17"/>
        <v>1760</v>
      </c>
      <c r="BD25" s="17" t="e">
        <f>#REF!</f>
        <v>#REF!</v>
      </c>
      <c r="BE25" s="17">
        <f t="shared" ca="1" si="18"/>
        <v>-8800</v>
      </c>
      <c r="BF25" s="17">
        <f t="shared" ca="1" si="19"/>
        <v>2100</v>
      </c>
      <c r="BG25" s="17">
        <f t="shared" ca="1" si="20"/>
        <v>2100</v>
      </c>
      <c r="BH25" s="17">
        <f t="shared" ca="1" si="21"/>
        <v>2100</v>
      </c>
      <c r="BI25" s="17" t="e">
        <f t="shared" si="22"/>
        <v>#REF!</v>
      </c>
      <c r="BJ25" s="17" t="e">
        <f t="shared" si="23"/>
        <v>#REF!</v>
      </c>
      <c r="BK25" s="17" t="e">
        <f t="shared" si="24"/>
        <v>#REF!</v>
      </c>
      <c r="BL25" s="17" t="e">
        <f t="shared" si="25"/>
        <v>#REF!</v>
      </c>
      <c r="BM25" s="18" t="e">
        <f t="shared" ca="1" si="26"/>
        <v>#VALUE!</v>
      </c>
      <c r="BN25" s="19" t="e">
        <f ca="1">IF(BM25&gt;=#REF!/100,"Yes","No")</f>
        <v>#VALUE!</v>
      </c>
      <c r="BO25" s="20">
        <f t="shared" si="10"/>
        <v>1</v>
      </c>
      <c r="BP25" s="20" t="e">
        <f t="shared" ca="1" si="27"/>
        <v>#VALUE!</v>
      </c>
      <c r="BQ25" s="16" t="e">
        <f t="shared" ca="1" si="28"/>
        <v>#VALUE!</v>
      </c>
      <c r="BR25" s="17" t="e">
        <f t="shared" ca="1" si="11"/>
        <v>#VALUE!</v>
      </c>
      <c r="BS25" s="17" t="e">
        <f t="shared" ca="1" si="12"/>
        <v>#VALUE!</v>
      </c>
      <c r="BT25" s="17" t="e">
        <f t="shared" ca="1" si="29"/>
        <v>#VALUE!</v>
      </c>
      <c r="BU25" s="17" t="e">
        <f>#REF!</f>
        <v>#REF!</v>
      </c>
      <c r="BV25" s="17" t="e">
        <f t="shared" ca="1" si="30"/>
        <v>#VALUE!</v>
      </c>
      <c r="BW25" s="17" t="e">
        <f t="shared" ca="1" si="31"/>
        <v>#VALUE!</v>
      </c>
      <c r="BX25" s="17" t="e">
        <f t="shared" ca="1" si="32"/>
        <v>#VALUE!</v>
      </c>
      <c r="BY25" s="17" t="e">
        <f t="shared" ca="1" si="33"/>
        <v>#VALUE!</v>
      </c>
      <c r="BZ25" s="17" t="e">
        <f t="shared" si="34"/>
        <v>#REF!</v>
      </c>
      <c r="CA25" s="17" t="e">
        <f t="shared" si="35"/>
        <v>#REF!</v>
      </c>
      <c r="CB25" s="17" t="e">
        <f t="shared" si="36"/>
        <v>#REF!</v>
      </c>
      <c r="CC25" s="17" t="e">
        <f t="shared" si="37"/>
        <v>#REF!</v>
      </c>
      <c r="CD25" s="18" t="e">
        <f t="shared" ca="1" si="38"/>
        <v>#VALUE!</v>
      </c>
      <c r="CE25" s="19" t="e">
        <f ca="1">IF(CD25&gt;=#REF!/100,"Yes","No")</f>
        <v>#VALUE!</v>
      </c>
      <c r="CF25" s="20">
        <f t="shared" si="13"/>
        <v>2</v>
      </c>
      <c r="CG25" s="20" t="e">
        <f t="shared" ca="1" si="39"/>
        <v>#VALUE!</v>
      </c>
      <c r="CH25" s="16" t="e">
        <f t="shared" ca="1" si="40"/>
        <v>#VALUE!</v>
      </c>
      <c r="CI25" s="17" t="e">
        <f t="shared" ca="1" si="14"/>
        <v>#VALUE!</v>
      </c>
      <c r="CJ25" s="17" t="e">
        <f t="shared" ca="1" si="15"/>
        <v>#VALUE!</v>
      </c>
      <c r="CK25" s="17" t="e">
        <f t="shared" ca="1" si="41"/>
        <v>#VALUE!</v>
      </c>
      <c r="CL25" s="17" t="e">
        <f>#REF!</f>
        <v>#REF!</v>
      </c>
      <c r="CM25" s="17" t="e">
        <f t="shared" ca="1" si="42"/>
        <v>#VALUE!</v>
      </c>
      <c r="CN25" s="17" t="e">
        <f t="shared" ca="1" si="43"/>
        <v>#VALUE!</v>
      </c>
      <c r="CO25" s="17" t="e">
        <f t="shared" ca="1" si="44"/>
        <v>#VALUE!</v>
      </c>
      <c r="CP25" s="17" t="e">
        <f t="shared" ca="1" si="45"/>
        <v>#VALUE!</v>
      </c>
      <c r="CQ25" s="17" t="e">
        <f t="shared" si="46"/>
        <v>#REF!</v>
      </c>
      <c r="CR25" s="17" t="e">
        <f t="shared" si="47"/>
        <v>#REF!</v>
      </c>
      <c r="CS25" s="17" t="e">
        <f t="shared" si="48"/>
        <v>#REF!</v>
      </c>
      <c r="CT25" s="17" t="e">
        <f t="shared" si="49"/>
        <v>#REF!</v>
      </c>
      <c r="CU25" s="18" t="e">
        <f t="shared" ca="1" si="50"/>
        <v>#VALUE!</v>
      </c>
      <c r="CV25" s="19" t="e">
        <f ca="1">IF(CU25&gt;=#REF!/100,"Yes","No")</f>
        <v>#VALUE!</v>
      </c>
    </row>
    <row r="26" spans="1:100" x14ac:dyDescent="0.25">
      <c r="A26" t="s">
        <v>74</v>
      </c>
      <c r="B26" t="s">
        <v>75</v>
      </c>
      <c r="C26">
        <v>115203120</v>
      </c>
      <c r="D26" t="str">
        <f t="shared" si="5"/>
        <v>Altahan, Mohammad-115203120</v>
      </c>
      <c r="E26" s="22">
        <v>5</v>
      </c>
      <c r="F26" s="22">
        <v>1</v>
      </c>
      <c r="G26" s="22">
        <v>8</v>
      </c>
      <c r="H26" s="22">
        <v>2816926</v>
      </c>
      <c r="I26" s="22">
        <v>451138</v>
      </c>
      <c r="J26" s="22">
        <v>2964139</v>
      </c>
      <c r="K26" s="22">
        <v>6173127</v>
      </c>
      <c r="L26" s="22">
        <v>100000</v>
      </c>
      <c r="M26" s="22">
        <v>109600</v>
      </c>
      <c r="N26" s="22">
        <v>119100</v>
      </c>
      <c r="O26" s="22">
        <v>127400</v>
      </c>
      <c r="P26" s="22">
        <v>127400</v>
      </c>
      <c r="Q26" s="22">
        <v>119100</v>
      </c>
      <c r="R26" s="22">
        <v>100000</v>
      </c>
      <c r="S26" s="22">
        <v>109600</v>
      </c>
      <c r="T26" s="24">
        <v>26000</v>
      </c>
      <c r="U26" s="22">
        <v>26622</v>
      </c>
      <c r="V26" s="22">
        <v>24422</v>
      </c>
      <c r="W26" s="22">
        <v>22022</v>
      </c>
      <c r="X26" s="22">
        <v>22022</v>
      </c>
      <c r="Y26" s="22">
        <v>24422</v>
      </c>
      <c r="Z26" s="22">
        <v>29022</v>
      </c>
      <c r="AA26" s="22">
        <v>26622</v>
      </c>
      <c r="AB26" s="24">
        <v>111000</v>
      </c>
      <c r="AC26" s="24">
        <v>113000</v>
      </c>
      <c r="AD26" s="24">
        <v>114000</v>
      </c>
      <c r="AE26" s="24">
        <v>111000</v>
      </c>
      <c r="AF26" s="24">
        <v>107500</v>
      </c>
      <c r="AG26" s="24">
        <v>111500</v>
      </c>
      <c r="AH26" s="24">
        <v>110000</v>
      </c>
      <c r="AI26" s="24">
        <v>107000</v>
      </c>
      <c r="AJ26" s="25">
        <v>4.8</v>
      </c>
      <c r="AK26" s="25">
        <v>7.6</v>
      </c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8">
        <f t="shared" si="6"/>
        <v>1</v>
      </c>
      <c r="AY26" s="8">
        <f t="shared" si="7"/>
        <v>4</v>
      </c>
      <c r="AZ26" s="13" t="str">
        <f t="shared" si="16"/>
        <v>∆(1-4)</v>
      </c>
      <c r="BA26" s="10">
        <f t="shared" ca="1" si="8"/>
        <v>-8200</v>
      </c>
      <c r="BB26" s="10">
        <f t="shared" ca="1" si="9"/>
        <v>2200</v>
      </c>
      <c r="BC26" s="10">
        <f t="shared" ca="1" si="17"/>
        <v>1640</v>
      </c>
      <c r="BD26" s="10" t="e">
        <f>#REF!</f>
        <v>#REF!</v>
      </c>
      <c r="BE26" s="10">
        <f t="shared" ca="1" si="18"/>
        <v>-8200</v>
      </c>
      <c r="BF26" s="10">
        <f t="shared" ca="1" si="19"/>
        <v>2200</v>
      </c>
      <c r="BG26" s="10">
        <f t="shared" ca="1" si="20"/>
        <v>2200</v>
      </c>
      <c r="BH26" s="10">
        <f t="shared" ca="1" si="21"/>
        <v>2200</v>
      </c>
      <c r="BI26" s="10" t="e">
        <f t="shared" si="22"/>
        <v>#REF!</v>
      </c>
      <c r="BJ26" s="10" t="e">
        <f t="shared" si="23"/>
        <v>#REF!</v>
      </c>
      <c r="BK26" s="10" t="e">
        <f t="shared" si="24"/>
        <v>#REF!</v>
      </c>
      <c r="BL26" s="10" t="e">
        <f t="shared" si="25"/>
        <v>#REF!</v>
      </c>
      <c r="BM26" s="14" t="e">
        <f t="shared" ca="1" si="26"/>
        <v>#VALUE!</v>
      </c>
      <c r="BN26" s="15" t="e">
        <f ca="1">IF(BM26&gt;=#REF!/100,"Yes","No")</f>
        <v>#VALUE!</v>
      </c>
      <c r="BO26" s="6">
        <f t="shared" si="10"/>
        <v>2</v>
      </c>
      <c r="BP26" s="6" t="e">
        <f t="shared" ca="1" si="27"/>
        <v>#VALUE!</v>
      </c>
      <c r="BQ26" s="13" t="e">
        <f t="shared" ca="1" si="28"/>
        <v>#VALUE!</v>
      </c>
      <c r="BR26" s="10" t="e">
        <f t="shared" ca="1" si="11"/>
        <v>#VALUE!</v>
      </c>
      <c r="BS26" s="10" t="e">
        <f t="shared" ca="1" si="12"/>
        <v>#VALUE!</v>
      </c>
      <c r="BT26" s="10" t="e">
        <f t="shared" ca="1" si="29"/>
        <v>#VALUE!</v>
      </c>
      <c r="BU26" s="10" t="e">
        <f>#REF!</f>
        <v>#REF!</v>
      </c>
      <c r="BV26" s="10" t="e">
        <f t="shared" ca="1" si="30"/>
        <v>#VALUE!</v>
      </c>
      <c r="BW26" s="10" t="e">
        <f t="shared" ca="1" si="31"/>
        <v>#VALUE!</v>
      </c>
      <c r="BX26" s="10" t="e">
        <f t="shared" ca="1" si="32"/>
        <v>#VALUE!</v>
      </c>
      <c r="BY26" s="10" t="e">
        <f t="shared" ca="1" si="33"/>
        <v>#VALUE!</v>
      </c>
      <c r="BZ26" s="10" t="e">
        <f t="shared" si="34"/>
        <v>#REF!</v>
      </c>
      <c r="CA26" s="10" t="e">
        <f t="shared" si="35"/>
        <v>#REF!</v>
      </c>
      <c r="CB26" s="10" t="e">
        <f t="shared" si="36"/>
        <v>#REF!</v>
      </c>
      <c r="CC26" s="10" t="e">
        <f t="shared" si="37"/>
        <v>#REF!</v>
      </c>
      <c r="CD26" s="14" t="e">
        <f t="shared" ca="1" si="38"/>
        <v>#VALUE!</v>
      </c>
      <c r="CE26" s="15" t="e">
        <f ca="1">IF(CD26&gt;=#REF!/100,"Yes","No")</f>
        <v>#VALUE!</v>
      </c>
      <c r="CF26" s="6">
        <f t="shared" si="13"/>
        <v>3</v>
      </c>
      <c r="CG26" s="6" t="e">
        <f t="shared" ca="1" si="39"/>
        <v>#VALUE!</v>
      </c>
      <c r="CH26" s="13" t="e">
        <f t="shared" ca="1" si="40"/>
        <v>#VALUE!</v>
      </c>
      <c r="CI26" s="10" t="e">
        <f t="shared" ca="1" si="14"/>
        <v>#VALUE!</v>
      </c>
      <c r="CJ26" s="10" t="e">
        <f t="shared" ca="1" si="15"/>
        <v>#VALUE!</v>
      </c>
      <c r="CK26" s="10" t="e">
        <f t="shared" ca="1" si="41"/>
        <v>#VALUE!</v>
      </c>
      <c r="CL26" s="10" t="e">
        <f>#REF!</f>
        <v>#REF!</v>
      </c>
      <c r="CM26" s="10" t="e">
        <f t="shared" ca="1" si="42"/>
        <v>#VALUE!</v>
      </c>
      <c r="CN26" s="10" t="e">
        <f t="shared" ca="1" si="43"/>
        <v>#VALUE!</v>
      </c>
      <c r="CO26" s="10" t="e">
        <f t="shared" ca="1" si="44"/>
        <v>#VALUE!</v>
      </c>
      <c r="CP26" s="10" t="e">
        <f t="shared" ca="1" si="45"/>
        <v>#VALUE!</v>
      </c>
      <c r="CQ26" s="10" t="e">
        <f t="shared" si="46"/>
        <v>#REF!</v>
      </c>
      <c r="CR26" s="10" t="e">
        <f t="shared" si="47"/>
        <v>#REF!</v>
      </c>
      <c r="CS26" s="10" t="e">
        <f t="shared" si="48"/>
        <v>#REF!</v>
      </c>
      <c r="CT26" s="10" t="e">
        <f t="shared" si="49"/>
        <v>#REF!</v>
      </c>
      <c r="CU26" s="14" t="e">
        <f t="shared" ca="1" si="50"/>
        <v>#VALUE!</v>
      </c>
      <c r="CV26" s="15" t="e">
        <f ca="1">IF(CU26&gt;=#REF!/100,"Yes","No")</f>
        <v>#VALUE!</v>
      </c>
    </row>
    <row r="27" spans="1:100" x14ac:dyDescent="0.25">
      <c r="A27" t="s">
        <v>76</v>
      </c>
      <c r="B27" t="s">
        <v>77</v>
      </c>
      <c r="C27">
        <v>115203024</v>
      </c>
      <c r="D27" t="str">
        <f t="shared" si="5"/>
        <v>Altuncu, Ekin Deren-115203024</v>
      </c>
      <c r="E27" s="22">
        <v>5</v>
      </c>
      <c r="F27" s="22">
        <v>2</v>
      </c>
      <c r="G27" s="22">
        <v>10</v>
      </c>
      <c r="H27" s="22">
        <v>1419682</v>
      </c>
      <c r="I27" s="22">
        <v>1854666</v>
      </c>
      <c r="J27" s="22">
        <v>2092757</v>
      </c>
      <c r="K27" s="22">
        <v>893313</v>
      </c>
      <c r="L27" s="22">
        <v>100000</v>
      </c>
      <c r="M27" s="22">
        <v>109200</v>
      </c>
      <c r="N27" s="22">
        <v>118300</v>
      </c>
      <c r="O27" s="22">
        <v>126400</v>
      </c>
      <c r="P27" s="22">
        <v>118300</v>
      </c>
      <c r="Q27" s="22">
        <v>109200</v>
      </c>
      <c r="R27" s="22">
        <v>100000</v>
      </c>
      <c r="S27" s="22">
        <v>126400</v>
      </c>
      <c r="T27" s="24">
        <v>28000</v>
      </c>
      <c r="U27" s="22">
        <v>26923</v>
      </c>
      <c r="V27" s="22">
        <v>24523</v>
      </c>
      <c r="W27" s="22">
        <v>22423</v>
      </c>
      <c r="X27" s="22">
        <v>24523</v>
      </c>
      <c r="Y27" s="22">
        <v>26923</v>
      </c>
      <c r="Z27" s="22">
        <v>29023</v>
      </c>
      <c r="AA27" s="22">
        <v>22423</v>
      </c>
      <c r="AB27" s="24">
        <v>90000</v>
      </c>
      <c r="AC27" s="24">
        <v>94000</v>
      </c>
      <c r="AD27" s="24">
        <v>94000</v>
      </c>
      <c r="AE27" s="24">
        <v>94000</v>
      </c>
      <c r="AF27" s="24">
        <v>87500</v>
      </c>
      <c r="AG27" s="24">
        <v>91500</v>
      </c>
      <c r="AH27" s="24">
        <v>91500</v>
      </c>
      <c r="AI27" s="24">
        <v>92500</v>
      </c>
      <c r="AJ27" s="25">
        <v>4.2</v>
      </c>
      <c r="AK27" s="25">
        <v>7.5</v>
      </c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8">
        <f t="shared" si="6"/>
        <v>4</v>
      </c>
      <c r="AY27" s="8">
        <f t="shared" si="7"/>
        <v>3</v>
      </c>
      <c r="AZ27" s="16" t="str">
        <f t="shared" si="16"/>
        <v>∆(4-3)</v>
      </c>
      <c r="BA27" s="17">
        <f t="shared" ca="1" si="8"/>
        <v>-9600</v>
      </c>
      <c r="BB27" s="17">
        <f t="shared" ca="1" si="9"/>
        <v>2400</v>
      </c>
      <c r="BC27" s="17">
        <f t="shared" ca="1" si="17"/>
        <v>1920</v>
      </c>
      <c r="BD27" s="17" t="e">
        <f>#REF!</f>
        <v>#REF!</v>
      </c>
      <c r="BE27" s="17">
        <f t="shared" ca="1" si="18"/>
        <v>-9600</v>
      </c>
      <c r="BF27" s="17">
        <f t="shared" ca="1" si="19"/>
        <v>2400</v>
      </c>
      <c r="BG27" s="17">
        <f t="shared" ca="1" si="20"/>
        <v>2400</v>
      </c>
      <c r="BH27" s="17">
        <f t="shared" ca="1" si="21"/>
        <v>2400</v>
      </c>
      <c r="BI27" s="17" t="e">
        <f t="shared" si="22"/>
        <v>#REF!</v>
      </c>
      <c r="BJ27" s="17" t="e">
        <f t="shared" si="23"/>
        <v>#REF!</v>
      </c>
      <c r="BK27" s="17" t="e">
        <f t="shared" si="24"/>
        <v>#REF!</v>
      </c>
      <c r="BL27" s="17" t="e">
        <f t="shared" si="25"/>
        <v>#REF!</v>
      </c>
      <c r="BM27" s="18" t="e">
        <f t="shared" ca="1" si="26"/>
        <v>#VALUE!</v>
      </c>
      <c r="BN27" s="19" t="e">
        <f ca="1">IF(BM27&gt;=#REF!/100,"Yes","No")</f>
        <v>#VALUE!</v>
      </c>
      <c r="BO27" s="20">
        <f t="shared" si="10"/>
        <v>2</v>
      </c>
      <c r="BP27" s="20" t="e">
        <f t="shared" ca="1" si="27"/>
        <v>#VALUE!</v>
      </c>
      <c r="BQ27" s="16" t="e">
        <f t="shared" ca="1" si="28"/>
        <v>#VALUE!</v>
      </c>
      <c r="BR27" s="17" t="e">
        <f t="shared" ca="1" si="11"/>
        <v>#VALUE!</v>
      </c>
      <c r="BS27" s="17" t="e">
        <f t="shared" ca="1" si="12"/>
        <v>#VALUE!</v>
      </c>
      <c r="BT27" s="17" t="e">
        <f t="shared" ca="1" si="29"/>
        <v>#VALUE!</v>
      </c>
      <c r="BU27" s="17" t="e">
        <f>#REF!</f>
        <v>#REF!</v>
      </c>
      <c r="BV27" s="17" t="e">
        <f t="shared" ca="1" si="30"/>
        <v>#VALUE!</v>
      </c>
      <c r="BW27" s="17" t="e">
        <f t="shared" ca="1" si="31"/>
        <v>#VALUE!</v>
      </c>
      <c r="BX27" s="17" t="e">
        <f t="shared" ca="1" si="32"/>
        <v>#VALUE!</v>
      </c>
      <c r="BY27" s="17" t="e">
        <f t="shared" ca="1" si="33"/>
        <v>#VALUE!</v>
      </c>
      <c r="BZ27" s="17" t="e">
        <f t="shared" si="34"/>
        <v>#REF!</v>
      </c>
      <c r="CA27" s="17" t="e">
        <f t="shared" si="35"/>
        <v>#REF!</v>
      </c>
      <c r="CB27" s="17" t="e">
        <f t="shared" si="36"/>
        <v>#REF!</v>
      </c>
      <c r="CC27" s="17" t="e">
        <f t="shared" si="37"/>
        <v>#REF!</v>
      </c>
      <c r="CD27" s="18" t="e">
        <f t="shared" ca="1" si="38"/>
        <v>#VALUE!</v>
      </c>
      <c r="CE27" s="19" t="e">
        <f ca="1">IF(CD27&gt;=#REF!/100,"Yes","No")</f>
        <v>#VALUE!</v>
      </c>
      <c r="CF27" s="20">
        <f t="shared" si="13"/>
        <v>1</v>
      </c>
      <c r="CG27" s="20" t="e">
        <f t="shared" ca="1" si="39"/>
        <v>#VALUE!</v>
      </c>
      <c r="CH27" s="16" t="e">
        <f t="shared" ca="1" si="40"/>
        <v>#VALUE!</v>
      </c>
      <c r="CI27" s="17" t="e">
        <f t="shared" ca="1" si="14"/>
        <v>#VALUE!</v>
      </c>
      <c r="CJ27" s="17" t="e">
        <f t="shared" ca="1" si="15"/>
        <v>#VALUE!</v>
      </c>
      <c r="CK27" s="17" t="e">
        <f t="shared" ca="1" si="41"/>
        <v>#VALUE!</v>
      </c>
      <c r="CL27" s="17" t="e">
        <f>#REF!</f>
        <v>#REF!</v>
      </c>
      <c r="CM27" s="17" t="e">
        <f t="shared" ca="1" si="42"/>
        <v>#VALUE!</v>
      </c>
      <c r="CN27" s="17" t="e">
        <f t="shared" ca="1" si="43"/>
        <v>#VALUE!</v>
      </c>
      <c r="CO27" s="17" t="e">
        <f t="shared" ca="1" si="44"/>
        <v>#VALUE!</v>
      </c>
      <c r="CP27" s="17" t="e">
        <f t="shared" ca="1" si="45"/>
        <v>#VALUE!</v>
      </c>
      <c r="CQ27" s="17" t="e">
        <f t="shared" si="46"/>
        <v>#REF!</v>
      </c>
      <c r="CR27" s="17" t="e">
        <f t="shared" si="47"/>
        <v>#REF!</v>
      </c>
      <c r="CS27" s="17" t="e">
        <f t="shared" si="48"/>
        <v>#REF!</v>
      </c>
      <c r="CT27" s="17" t="e">
        <f t="shared" si="49"/>
        <v>#REF!</v>
      </c>
      <c r="CU27" s="18" t="e">
        <f t="shared" ca="1" si="50"/>
        <v>#VALUE!</v>
      </c>
      <c r="CV27" s="19" t="e">
        <f ca="1">IF(CU27&gt;=#REF!/100,"Yes","No")</f>
        <v>#VALUE!</v>
      </c>
    </row>
    <row r="28" spans="1:100" x14ac:dyDescent="0.25">
      <c r="A28" t="s">
        <v>78</v>
      </c>
      <c r="B28" t="s">
        <v>79</v>
      </c>
      <c r="C28">
        <v>114201066</v>
      </c>
      <c r="D28" t="str">
        <f t="shared" si="5"/>
        <v>Amir, Rohama-114201066</v>
      </c>
      <c r="E28" s="22">
        <v>4</v>
      </c>
      <c r="F28" s="22">
        <v>2</v>
      </c>
      <c r="G28" s="22">
        <v>10</v>
      </c>
      <c r="H28" s="22">
        <v>4045672</v>
      </c>
      <c r="I28" s="22">
        <v>5983197</v>
      </c>
      <c r="J28" s="22">
        <v>1293804</v>
      </c>
      <c r="K28" s="22">
        <v>5666507</v>
      </c>
      <c r="L28" s="22">
        <v>100000</v>
      </c>
      <c r="M28" s="22">
        <v>109500</v>
      </c>
      <c r="N28" s="22">
        <v>117700</v>
      </c>
      <c r="O28" s="22">
        <v>126400</v>
      </c>
      <c r="P28" s="22">
        <v>109500</v>
      </c>
      <c r="Q28" s="22">
        <v>126400</v>
      </c>
      <c r="R28" s="22">
        <v>100000</v>
      </c>
      <c r="S28" s="22">
        <v>117700</v>
      </c>
      <c r="T28" s="24">
        <v>26000</v>
      </c>
      <c r="U28" s="22">
        <v>26624</v>
      </c>
      <c r="V28" s="22">
        <v>24524</v>
      </c>
      <c r="W28" s="22">
        <v>22224</v>
      </c>
      <c r="X28" s="22">
        <v>26624</v>
      </c>
      <c r="Y28" s="22">
        <v>22224</v>
      </c>
      <c r="Z28" s="22">
        <v>29024</v>
      </c>
      <c r="AA28" s="22">
        <v>24524</v>
      </c>
      <c r="AB28" s="24">
        <v>95000</v>
      </c>
      <c r="AC28" s="24">
        <v>92000</v>
      </c>
      <c r="AD28" s="24">
        <v>95000</v>
      </c>
      <c r="AE28" s="24">
        <v>98000</v>
      </c>
      <c r="AF28" s="24">
        <v>91000</v>
      </c>
      <c r="AG28" s="24">
        <v>88500</v>
      </c>
      <c r="AH28" s="24">
        <v>91500</v>
      </c>
      <c r="AI28" s="24">
        <v>94500</v>
      </c>
      <c r="AJ28" s="25">
        <v>5</v>
      </c>
      <c r="AK28" s="25">
        <v>7.3</v>
      </c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8">
        <f t="shared" si="6"/>
        <v>2</v>
      </c>
      <c r="AY28" s="8">
        <f t="shared" si="7"/>
        <v>3</v>
      </c>
      <c r="AZ28" s="13" t="str">
        <f t="shared" si="16"/>
        <v>∆(2-3)</v>
      </c>
      <c r="BA28" s="10">
        <f t="shared" ca="1" si="8"/>
        <v>-9200</v>
      </c>
      <c r="BB28" s="10">
        <f t="shared" ca="1" si="9"/>
        <v>2100</v>
      </c>
      <c r="BC28" s="10">
        <f t="shared" ca="1" si="17"/>
        <v>1840</v>
      </c>
      <c r="BD28" s="10" t="e">
        <f>#REF!</f>
        <v>#REF!</v>
      </c>
      <c r="BE28" s="10">
        <f t="shared" ca="1" si="18"/>
        <v>-9200</v>
      </c>
      <c r="BF28" s="10">
        <f t="shared" ca="1" si="19"/>
        <v>2100</v>
      </c>
      <c r="BG28" s="10">
        <f t="shared" ca="1" si="20"/>
        <v>2100</v>
      </c>
      <c r="BH28" s="10">
        <f t="shared" ca="1" si="21"/>
        <v>2100</v>
      </c>
      <c r="BI28" s="10" t="e">
        <f t="shared" si="22"/>
        <v>#REF!</v>
      </c>
      <c r="BJ28" s="10" t="e">
        <f t="shared" si="23"/>
        <v>#REF!</v>
      </c>
      <c r="BK28" s="10" t="e">
        <f t="shared" si="24"/>
        <v>#REF!</v>
      </c>
      <c r="BL28" s="10" t="e">
        <f t="shared" si="25"/>
        <v>#REF!</v>
      </c>
      <c r="BM28" s="14" t="e">
        <f t="shared" ca="1" si="26"/>
        <v>#VALUE!</v>
      </c>
      <c r="BN28" s="15" t="e">
        <f ca="1">IF(BM28&gt;=#REF!/100,"Yes","No")</f>
        <v>#VALUE!</v>
      </c>
      <c r="BO28" s="6">
        <f t="shared" si="10"/>
        <v>1</v>
      </c>
      <c r="BP28" s="6" t="e">
        <f t="shared" ca="1" si="27"/>
        <v>#VALUE!</v>
      </c>
      <c r="BQ28" s="13" t="e">
        <f t="shared" ca="1" si="28"/>
        <v>#VALUE!</v>
      </c>
      <c r="BR28" s="10" t="e">
        <f t="shared" ca="1" si="11"/>
        <v>#VALUE!</v>
      </c>
      <c r="BS28" s="10" t="e">
        <f t="shared" ca="1" si="12"/>
        <v>#VALUE!</v>
      </c>
      <c r="BT28" s="10" t="e">
        <f t="shared" ca="1" si="29"/>
        <v>#VALUE!</v>
      </c>
      <c r="BU28" s="10" t="e">
        <f>#REF!</f>
        <v>#REF!</v>
      </c>
      <c r="BV28" s="10" t="e">
        <f t="shared" ca="1" si="30"/>
        <v>#VALUE!</v>
      </c>
      <c r="BW28" s="10" t="e">
        <f t="shared" ca="1" si="31"/>
        <v>#VALUE!</v>
      </c>
      <c r="BX28" s="10" t="e">
        <f t="shared" ca="1" si="32"/>
        <v>#VALUE!</v>
      </c>
      <c r="BY28" s="10" t="e">
        <f t="shared" ca="1" si="33"/>
        <v>#VALUE!</v>
      </c>
      <c r="BZ28" s="10" t="e">
        <f t="shared" si="34"/>
        <v>#REF!</v>
      </c>
      <c r="CA28" s="10" t="e">
        <f t="shared" si="35"/>
        <v>#REF!</v>
      </c>
      <c r="CB28" s="10" t="e">
        <f t="shared" si="36"/>
        <v>#REF!</v>
      </c>
      <c r="CC28" s="10" t="e">
        <f t="shared" si="37"/>
        <v>#REF!</v>
      </c>
      <c r="CD28" s="14" t="e">
        <f t="shared" ca="1" si="38"/>
        <v>#VALUE!</v>
      </c>
      <c r="CE28" s="15" t="e">
        <f ca="1">IF(CD28&gt;=#REF!/100,"Yes","No")</f>
        <v>#VALUE!</v>
      </c>
      <c r="CF28" s="6">
        <f t="shared" si="13"/>
        <v>4</v>
      </c>
      <c r="CG28" s="6" t="e">
        <f t="shared" ca="1" si="39"/>
        <v>#VALUE!</v>
      </c>
      <c r="CH28" s="13" t="e">
        <f t="shared" ca="1" si="40"/>
        <v>#VALUE!</v>
      </c>
      <c r="CI28" s="10" t="e">
        <f t="shared" ca="1" si="14"/>
        <v>#VALUE!</v>
      </c>
      <c r="CJ28" s="10" t="e">
        <f t="shared" ca="1" si="15"/>
        <v>#VALUE!</v>
      </c>
      <c r="CK28" s="10" t="e">
        <f t="shared" ca="1" si="41"/>
        <v>#VALUE!</v>
      </c>
      <c r="CL28" s="10" t="e">
        <f>#REF!</f>
        <v>#REF!</v>
      </c>
      <c r="CM28" s="10" t="e">
        <f t="shared" ca="1" si="42"/>
        <v>#VALUE!</v>
      </c>
      <c r="CN28" s="10" t="e">
        <f t="shared" ca="1" si="43"/>
        <v>#VALUE!</v>
      </c>
      <c r="CO28" s="10" t="e">
        <f t="shared" ca="1" si="44"/>
        <v>#VALUE!</v>
      </c>
      <c r="CP28" s="10" t="e">
        <f t="shared" ca="1" si="45"/>
        <v>#VALUE!</v>
      </c>
      <c r="CQ28" s="10" t="e">
        <f t="shared" si="46"/>
        <v>#REF!</v>
      </c>
      <c r="CR28" s="10" t="e">
        <f t="shared" si="47"/>
        <v>#REF!</v>
      </c>
      <c r="CS28" s="10" t="e">
        <f t="shared" si="48"/>
        <v>#REF!</v>
      </c>
      <c r="CT28" s="10" t="e">
        <f t="shared" si="49"/>
        <v>#REF!</v>
      </c>
      <c r="CU28" s="14" t="e">
        <f t="shared" ca="1" si="50"/>
        <v>#VALUE!</v>
      </c>
      <c r="CV28" s="15" t="e">
        <f ca="1">IF(CU28&gt;=#REF!/100,"Yes","No")</f>
        <v>#VALUE!</v>
      </c>
    </row>
    <row r="29" spans="1:100" x14ac:dyDescent="0.25">
      <c r="A29" t="s">
        <v>80</v>
      </c>
      <c r="B29" t="s">
        <v>81</v>
      </c>
      <c r="C29">
        <v>115203053</v>
      </c>
      <c r="D29" t="str">
        <f t="shared" si="5"/>
        <v>Aras, Duygu-115203053</v>
      </c>
      <c r="E29" s="22">
        <v>6</v>
      </c>
      <c r="F29" s="22">
        <v>3</v>
      </c>
      <c r="G29" s="22">
        <v>15</v>
      </c>
      <c r="H29" s="22">
        <v>4183622</v>
      </c>
      <c r="I29" s="22">
        <v>6858801</v>
      </c>
      <c r="J29" s="22">
        <v>9690057</v>
      </c>
      <c r="K29" s="22">
        <v>6805542</v>
      </c>
      <c r="L29" s="22">
        <v>100000</v>
      </c>
      <c r="M29" s="22">
        <v>108600</v>
      </c>
      <c r="N29" s="22">
        <v>117500</v>
      </c>
      <c r="O29" s="22">
        <v>125500</v>
      </c>
      <c r="P29" s="22">
        <v>117500</v>
      </c>
      <c r="Q29" s="22">
        <v>108600</v>
      </c>
      <c r="R29" s="22">
        <v>125500</v>
      </c>
      <c r="S29" s="22">
        <v>100000</v>
      </c>
      <c r="T29" s="24">
        <v>24000</v>
      </c>
      <c r="U29" s="22">
        <v>27025</v>
      </c>
      <c r="V29" s="22">
        <v>24725</v>
      </c>
      <c r="W29" s="22">
        <v>22525</v>
      </c>
      <c r="X29" s="22">
        <v>24725</v>
      </c>
      <c r="Y29" s="22">
        <v>27025</v>
      </c>
      <c r="Z29" s="22">
        <v>22525</v>
      </c>
      <c r="AA29" s="22">
        <v>29025</v>
      </c>
      <c r="AB29" s="24">
        <v>96000</v>
      </c>
      <c r="AC29" s="24">
        <v>97000</v>
      </c>
      <c r="AD29" s="24">
        <v>96000</v>
      </c>
      <c r="AE29" s="24">
        <v>93000</v>
      </c>
      <c r="AF29" s="24">
        <v>92000</v>
      </c>
      <c r="AG29" s="24">
        <v>95500</v>
      </c>
      <c r="AH29" s="24">
        <v>94500</v>
      </c>
      <c r="AI29" s="24">
        <v>89000</v>
      </c>
      <c r="AJ29" s="25">
        <v>3.2</v>
      </c>
      <c r="AK29" s="25">
        <v>8.8000000000000007</v>
      </c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8">
        <f t="shared" si="6"/>
        <v>1</v>
      </c>
      <c r="AY29" s="8">
        <f t="shared" si="7"/>
        <v>3</v>
      </c>
      <c r="AZ29" s="16" t="str">
        <f t="shared" si="16"/>
        <v>∆(1-3)</v>
      </c>
      <c r="BA29" s="17">
        <f t="shared" ca="1" si="8"/>
        <v>-9500</v>
      </c>
      <c r="BB29" s="17">
        <f t="shared" ca="1" si="9"/>
        <v>2400</v>
      </c>
      <c r="BC29" s="17">
        <f t="shared" ca="1" si="17"/>
        <v>1900</v>
      </c>
      <c r="BD29" s="17" t="e">
        <f>#REF!</f>
        <v>#REF!</v>
      </c>
      <c r="BE29" s="17">
        <f t="shared" ca="1" si="18"/>
        <v>-9500</v>
      </c>
      <c r="BF29" s="17">
        <f t="shared" ca="1" si="19"/>
        <v>2400</v>
      </c>
      <c r="BG29" s="17">
        <f t="shared" ca="1" si="20"/>
        <v>2400</v>
      </c>
      <c r="BH29" s="17">
        <f t="shared" ca="1" si="21"/>
        <v>2400</v>
      </c>
      <c r="BI29" s="17" t="e">
        <f t="shared" si="22"/>
        <v>#REF!</v>
      </c>
      <c r="BJ29" s="17" t="e">
        <f t="shared" si="23"/>
        <v>#REF!</v>
      </c>
      <c r="BK29" s="17" t="e">
        <f t="shared" si="24"/>
        <v>#REF!</v>
      </c>
      <c r="BL29" s="17" t="e">
        <f t="shared" si="25"/>
        <v>#REF!</v>
      </c>
      <c r="BM29" s="18" t="e">
        <f t="shared" ca="1" si="26"/>
        <v>#VALUE!</v>
      </c>
      <c r="BN29" s="19" t="e">
        <f ca="1">IF(BM29&gt;=#REF!/100,"Yes","No")</f>
        <v>#VALUE!</v>
      </c>
      <c r="BO29" s="20">
        <f t="shared" si="10"/>
        <v>4</v>
      </c>
      <c r="BP29" s="20" t="e">
        <f t="shared" ca="1" si="27"/>
        <v>#VALUE!</v>
      </c>
      <c r="BQ29" s="16" t="e">
        <f t="shared" ca="1" si="28"/>
        <v>#VALUE!</v>
      </c>
      <c r="BR29" s="17" t="e">
        <f t="shared" ca="1" si="11"/>
        <v>#VALUE!</v>
      </c>
      <c r="BS29" s="17" t="e">
        <f t="shared" ca="1" si="12"/>
        <v>#VALUE!</v>
      </c>
      <c r="BT29" s="17" t="e">
        <f t="shared" ca="1" si="29"/>
        <v>#VALUE!</v>
      </c>
      <c r="BU29" s="17" t="e">
        <f>#REF!</f>
        <v>#REF!</v>
      </c>
      <c r="BV29" s="17" t="e">
        <f t="shared" ca="1" si="30"/>
        <v>#VALUE!</v>
      </c>
      <c r="BW29" s="17" t="e">
        <f t="shared" ca="1" si="31"/>
        <v>#VALUE!</v>
      </c>
      <c r="BX29" s="17" t="e">
        <f t="shared" ca="1" si="32"/>
        <v>#VALUE!</v>
      </c>
      <c r="BY29" s="17" t="e">
        <f t="shared" ca="1" si="33"/>
        <v>#VALUE!</v>
      </c>
      <c r="BZ29" s="17" t="e">
        <f t="shared" si="34"/>
        <v>#REF!</v>
      </c>
      <c r="CA29" s="17" t="e">
        <f t="shared" si="35"/>
        <v>#REF!</v>
      </c>
      <c r="CB29" s="17" t="e">
        <f t="shared" si="36"/>
        <v>#REF!</v>
      </c>
      <c r="CC29" s="17" t="e">
        <f t="shared" si="37"/>
        <v>#REF!</v>
      </c>
      <c r="CD29" s="18" t="e">
        <f t="shared" ca="1" si="38"/>
        <v>#VALUE!</v>
      </c>
      <c r="CE29" s="19" t="e">
        <f ca="1">IF(CD29&gt;=#REF!/100,"Yes","No")</f>
        <v>#VALUE!</v>
      </c>
      <c r="CF29" s="20">
        <f t="shared" si="13"/>
        <v>2</v>
      </c>
      <c r="CG29" s="20" t="e">
        <f t="shared" ca="1" si="39"/>
        <v>#VALUE!</v>
      </c>
      <c r="CH29" s="16" t="e">
        <f t="shared" ca="1" si="40"/>
        <v>#VALUE!</v>
      </c>
      <c r="CI29" s="17" t="e">
        <f t="shared" ca="1" si="14"/>
        <v>#VALUE!</v>
      </c>
      <c r="CJ29" s="17" t="e">
        <f t="shared" ca="1" si="15"/>
        <v>#VALUE!</v>
      </c>
      <c r="CK29" s="17" t="e">
        <f t="shared" ca="1" si="41"/>
        <v>#VALUE!</v>
      </c>
      <c r="CL29" s="17" t="e">
        <f>#REF!</f>
        <v>#REF!</v>
      </c>
      <c r="CM29" s="17" t="e">
        <f t="shared" ca="1" si="42"/>
        <v>#VALUE!</v>
      </c>
      <c r="CN29" s="17" t="e">
        <f t="shared" ca="1" si="43"/>
        <v>#VALUE!</v>
      </c>
      <c r="CO29" s="17" t="e">
        <f t="shared" ca="1" si="44"/>
        <v>#VALUE!</v>
      </c>
      <c r="CP29" s="17" t="e">
        <f t="shared" ca="1" si="45"/>
        <v>#VALUE!</v>
      </c>
      <c r="CQ29" s="17" t="e">
        <f t="shared" si="46"/>
        <v>#REF!</v>
      </c>
      <c r="CR29" s="17" t="e">
        <f t="shared" si="47"/>
        <v>#REF!</v>
      </c>
      <c r="CS29" s="17" t="e">
        <f t="shared" si="48"/>
        <v>#REF!</v>
      </c>
      <c r="CT29" s="17" t="e">
        <f t="shared" si="49"/>
        <v>#REF!</v>
      </c>
      <c r="CU29" s="18" t="e">
        <f t="shared" ca="1" si="50"/>
        <v>#VALUE!</v>
      </c>
      <c r="CV29" s="19" t="e">
        <f ca="1">IF(CU29&gt;=#REF!/100,"Yes","No")</f>
        <v>#VALUE!</v>
      </c>
    </row>
    <row r="30" spans="1:100" x14ac:dyDescent="0.25">
      <c r="A30" t="s">
        <v>82</v>
      </c>
      <c r="B30" t="s">
        <v>83</v>
      </c>
      <c r="C30">
        <v>115200048</v>
      </c>
      <c r="D30" t="str">
        <f t="shared" si="5"/>
        <v>Aren, Barış Doruk-115200048</v>
      </c>
      <c r="E30" s="22">
        <v>5</v>
      </c>
      <c r="F30" s="22">
        <v>3</v>
      </c>
      <c r="G30" s="22">
        <v>15</v>
      </c>
      <c r="H30" s="22">
        <v>4171129</v>
      </c>
      <c r="I30" s="22">
        <v>4739589</v>
      </c>
      <c r="J30" s="22">
        <v>7899276</v>
      </c>
      <c r="K30" s="22">
        <v>9817261</v>
      </c>
      <c r="L30" s="22">
        <v>100000</v>
      </c>
      <c r="M30" s="22">
        <v>109700</v>
      </c>
      <c r="N30" s="22">
        <v>117700</v>
      </c>
      <c r="O30" s="22">
        <v>127500</v>
      </c>
      <c r="P30" s="22">
        <v>127500</v>
      </c>
      <c r="Q30" s="22">
        <v>117700</v>
      </c>
      <c r="R30" s="22">
        <v>109700</v>
      </c>
      <c r="S30" s="22">
        <v>100000</v>
      </c>
      <c r="T30" s="24">
        <v>29000</v>
      </c>
      <c r="U30" s="22">
        <v>26826</v>
      </c>
      <c r="V30" s="22">
        <v>24826</v>
      </c>
      <c r="W30" s="22">
        <v>22826</v>
      </c>
      <c r="X30" s="22">
        <v>22826</v>
      </c>
      <c r="Y30" s="22">
        <v>24826</v>
      </c>
      <c r="Z30" s="22">
        <v>26826</v>
      </c>
      <c r="AA30" s="22">
        <v>29026</v>
      </c>
      <c r="AB30" s="24">
        <v>109000</v>
      </c>
      <c r="AC30" s="24">
        <v>110000</v>
      </c>
      <c r="AD30" s="24">
        <v>109000</v>
      </c>
      <c r="AE30" s="24">
        <v>109000</v>
      </c>
      <c r="AF30" s="24">
        <v>107000</v>
      </c>
      <c r="AG30" s="24">
        <v>107000</v>
      </c>
      <c r="AH30" s="24">
        <v>106000</v>
      </c>
      <c r="AI30" s="24">
        <v>106000</v>
      </c>
      <c r="AJ30" s="25">
        <v>3</v>
      </c>
      <c r="AK30" s="25">
        <v>6.7</v>
      </c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8">
        <f t="shared" si="6"/>
        <v>2</v>
      </c>
      <c r="AY30" s="8">
        <f t="shared" si="7"/>
        <v>4</v>
      </c>
      <c r="AZ30" s="13" t="str">
        <f t="shared" si="16"/>
        <v>∆(2-4)</v>
      </c>
      <c r="BA30" s="10">
        <f t="shared" ca="1" si="8"/>
        <v>-8600</v>
      </c>
      <c r="BB30" s="10">
        <f t="shared" ca="1" si="9"/>
        <v>2000</v>
      </c>
      <c r="BC30" s="10">
        <f t="shared" ca="1" si="17"/>
        <v>1720</v>
      </c>
      <c r="BD30" s="10" t="e">
        <f>#REF!</f>
        <v>#REF!</v>
      </c>
      <c r="BE30" s="10">
        <f t="shared" ca="1" si="18"/>
        <v>-8600</v>
      </c>
      <c r="BF30" s="10">
        <f t="shared" ca="1" si="19"/>
        <v>2000</v>
      </c>
      <c r="BG30" s="10">
        <f t="shared" ca="1" si="20"/>
        <v>2000</v>
      </c>
      <c r="BH30" s="10">
        <f t="shared" ca="1" si="21"/>
        <v>2000</v>
      </c>
      <c r="BI30" s="10" t="e">
        <f t="shared" si="22"/>
        <v>#REF!</v>
      </c>
      <c r="BJ30" s="10" t="e">
        <f t="shared" si="23"/>
        <v>#REF!</v>
      </c>
      <c r="BK30" s="10" t="e">
        <f t="shared" si="24"/>
        <v>#REF!</v>
      </c>
      <c r="BL30" s="10" t="e">
        <f t="shared" si="25"/>
        <v>#REF!</v>
      </c>
      <c r="BM30" s="14" t="e">
        <f t="shared" ca="1" si="26"/>
        <v>#VALUE!</v>
      </c>
      <c r="BN30" s="15" t="e">
        <f ca="1">IF(BM30&gt;=#REF!/100,"Yes","No")</f>
        <v>#VALUE!</v>
      </c>
      <c r="BO30" s="6">
        <f t="shared" si="10"/>
        <v>1</v>
      </c>
      <c r="BP30" s="6" t="e">
        <f t="shared" ca="1" si="27"/>
        <v>#VALUE!</v>
      </c>
      <c r="BQ30" s="13" t="e">
        <f t="shared" ca="1" si="28"/>
        <v>#VALUE!</v>
      </c>
      <c r="BR30" s="10" t="e">
        <f t="shared" ca="1" si="11"/>
        <v>#VALUE!</v>
      </c>
      <c r="BS30" s="10" t="e">
        <f t="shared" ca="1" si="12"/>
        <v>#VALUE!</v>
      </c>
      <c r="BT30" s="10" t="e">
        <f t="shared" ca="1" si="29"/>
        <v>#VALUE!</v>
      </c>
      <c r="BU30" s="10" t="e">
        <f>#REF!</f>
        <v>#REF!</v>
      </c>
      <c r="BV30" s="10" t="e">
        <f t="shared" ca="1" si="30"/>
        <v>#VALUE!</v>
      </c>
      <c r="BW30" s="10" t="e">
        <f t="shared" ca="1" si="31"/>
        <v>#VALUE!</v>
      </c>
      <c r="BX30" s="10" t="e">
        <f t="shared" ca="1" si="32"/>
        <v>#VALUE!</v>
      </c>
      <c r="BY30" s="10" t="e">
        <f t="shared" ca="1" si="33"/>
        <v>#VALUE!</v>
      </c>
      <c r="BZ30" s="10" t="e">
        <f t="shared" si="34"/>
        <v>#REF!</v>
      </c>
      <c r="CA30" s="10" t="e">
        <f t="shared" si="35"/>
        <v>#REF!</v>
      </c>
      <c r="CB30" s="10" t="e">
        <f t="shared" si="36"/>
        <v>#REF!</v>
      </c>
      <c r="CC30" s="10" t="e">
        <f t="shared" si="37"/>
        <v>#REF!</v>
      </c>
      <c r="CD30" s="14" t="e">
        <f t="shared" ca="1" si="38"/>
        <v>#VALUE!</v>
      </c>
      <c r="CE30" s="15" t="e">
        <f ca="1">IF(CD30&gt;=#REF!/100,"Yes","No")</f>
        <v>#VALUE!</v>
      </c>
      <c r="CF30" s="6">
        <f t="shared" si="13"/>
        <v>3</v>
      </c>
      <c r="CG30" s="6" t="e">
        <f t="shared" ca="1" si="39"/>
        <v>#VALUE!</v>
      </c>
      <c r="CH30" s="13" t="e">
        <f t="shared" ca="1" si="40"/>
        <v>#VALUE!</v>
      </c>
      <c r="CI30" s="10" t="e">
        <f t="shared" ca="1" si="14"/>
        <v>#VALUE!</v>
      </c>
      <c r="CJ30" s="10" t="e">
        <f t="shared" ca="1" si="15"/>
        <v>#VALUE!</v>
      </c>
      <c r="CK30" s="10" t="e">
        <f t="shared" ca="1" si="41"/>
        <v>#VALUE!</v>
      </c>
      <c r="CL30" s="10" t="e">
        <f>#REF!</f>
        <v>#REF!</v>
      </c>
      <c r="CM30" s="10" t="e">
        <f t="shared" ca="1" si="42"/>
        <v>#VALUE!</v>
      </c>
      <c r="CN30" s="10" t="e">
        <f t="shared" ca="1" si="43"/>
        <v>#VALUE!</v>
      </c>
      <c r="CO30" s="10" t="e">
        <f t="shared" ca="1" si="44"/>
        <v>#VALUE!</v>
      </c>
      <c r="CP30" s="10" t="e">
        <f t="shared" ca="1" si="45"/>
        <v>#VALUE!</v>
      </c>
      <c r="CQ30" s="10" t="e">
        <f t="shared" si="46"/>
        <v>#REF!</v>
      </c>
      <c r="CR30" s="10" t="e">
        <f t="shared" si="47"/>
        <v>#REF!</v>
      </c>
      <c r="CS30" s="10" t="e">
        <f t="shared" si="48"/>
        <v>#REF!</v>
      </c>
      <c r="CT30" s="10" t="e">
        <f t="shared" si="49"/>
        <v>#REF!</v>
      </c>
      <c r="CU30" s="14" t="e">
        <f t="shared" ca="1" si="50"/>
        <v>#VALUE!</v>
      </c>
      <c r="CV30" s="15" t="e">
        <f ca="1">IF(CU30&gt;=#REF!/100,"Yes","No")</f>
        <v>#VALUE!</v>
      </c>
    </row>
    <row r="31" spans="1:100" x14ac:dyDescent="0.25">
      <c r="A31" t="s">
        <v>84</v>
      </c>
      <c r="B31" t="s">
        <v>85</v>
      </c>
      <c r="C31">
        <v>116204012</v>
      </c>
      <c r="D31" t="str">
        <f t="shared" si="5"/>
        <v>Arık, Koray-116204012</v>
      </c>
      <c r="E31" s="22">
        <v>7</v>
      </c>
      <c r="F31" s="22">
        <v>2</v>
      </c>
      <c r="G31" s="22">
        <v>10</v>
      </c>
      <c r="H31" s="22">
        <v>3175582</v>
      </c>
      <c r="I31" s="22">
        <v>1925302</v>
      </c>
      <c r="J31" s="22">
        <v>782809</v>
      </c>
      <c r="K31" s="22">
        <v>2187908</v>
      </c>
      <c r="L31" s="22">
        <v>100000</v>
      </c>
      <c r="M31" s="22">
        <v>109500</v>
      </c>
      <c r="N31" s="22">
        <v>118600</v>
      </c>
      <c r="O31" s="22">
        <v>127900</v>
      </c>
      <c r="P31" s="22">
        <v>100000</v>
      </c>
      <c r="Q31" s="22">
        <v>127900</v>
      </c>
      <c r="R31" s="22">
        <v>109500</v>
      </c>
      <c r="S31" s="22">
        <v>118600</v>
      </c>
      <c r="T31" s="24">
        <v>26000</v>
      </c>
      <c r="U31" s="22">
        <v>26627</v>
      </c>
      <c r="V31" s="22">
        <v>24527</v>
      </c>
      <c r="W31" s="22">
        <v>22227</v>
      </c>
      <c r="X31" s="22">
        <v>29027</v>
      </c>
      <c r="Y31" s="22">
        <v>22227</v>
      </c>
      <c r="Z31" s="22">
        <v>26627</v>
      </c>
      <c r="AA31" s="22">
        <v>24527</v>
      </c>
      <c r="AB31" s="24">
        <v>91000</v>
      </c>
      <c r="AC31" s="24">
        <v>95000</v>
      </c>
      <c r="AD31" s="24">
        <v>97000</v>
      </c>
      <c r="AE31" s="24">
        <v>98000</v>
      </c>
      <c r="AF31" s="24">
        <v>87000</v>
      </c>
      <c r="AG31" s="24">
        <v>93500</v>
      </c>
      <c r="AH31" s="24">
        <v>93000</v>
      </c>
      <c r="AI31" s="24">
        <v>96500</v>
      </c>
      <c r="AJ31" s="25">
        <v>4.2</v>
      </c>
      <c r="AK31" s="25">
        <v>9.5</v>
      </c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8">
        <f t="shared" si="6"/>
        <v>3</v>
      </c>
      <c r="AY31" s="8">
        <f t="shared" si="7"/>
        <v>4</v>
      </c>
      <c r="AZ31" s="16" t="str">
        <f t="shared" si="16"/>
        <v>∆(3-4)</v>
      </c>
      <c r="BA31" s="17">
        <f t="shared" ca="1" si="8"/>
        <v>-9700</v>
      </c>
      <c r="BB31" s="17">
        <f t="shared" ca="1" si="9"/>
        <v>2200</v>
      </c>
      <c r="BC31" s="17">
        <f t="shared" ca="1" si="17"/>
        <v>1940</v>
      </c>
      <c r="BD31" s="17" t="e">
        <f>#REF!</f>
        <v>#REF!</v>
      </c>
      <c r="BE31" s="17">
        <f t="shared" ca="1" si="18"/>
        <v>-9700</v>
      </c>
      <c r="BF31" s="17">
        <f t="shared" ca="1" si="19"/>
        <v>2200</v>
      </c>
      <c r="BG31" s="17">
        <f t="shared" ca="1" si="20"/>
        <v>2200</v>
      </c>
      <c r="BH31" s="17">
        <f t="shared" ca="1" si="21"/>
        <v>2200</v>
      </c>
      <c r="BI31" s="17" t="e">
        <f t="shared" si="22"/>
        <v>#REF!</v>
      </c>
      <c r="BJ31" s="17" t="e">
        <f t="shared" si="23"/>
        <v>#REF!</v>
      </c>
      <c r="BK31" s="17" t="e">
        <f t="shared" si="24"/>
        <v>#REF!</v>
      </c>
      <c r="BL31" s="17" t="e">
        <f t="shared" si="25"/>
        <v>#REF!</v>
      </c>
      <c r="BM31" s="18" t="e">
        <f t="shared" ca="1" si="26"/>
        <v>#VALUE!</v>
      </c>
      <c r="BN31" s="19" t="e">
        <f ca="1">IF(BM31&gt;=#REF!/100,"Yes","No")</f>
        <v>#VALUE!</v>
      </c>
      <c r="BO31" s="20">
        <f t="shared" si="10"/>
        <v>2</v>
      </c>
      <c r="BP31" s="20" t="e">
        <f t="shared" ca="1" si="27"/>
        <v>#VALUE!</v>
      </c>
      <c r="BQ31" s="16" t="e">
        <f t="shared" ca="1" si="28"/>
        <v>#VALUE!</v>
      </c>
      <c r="BR31" s="17" t="e">
        <f t="shared" ca="1" si="11"/>
        <v>#VALUE!</v>
      </c>
      <c r="BS31" s="17" t="e">
        <f t="shared" ca="1" si="12"/>
        <v>#VALUE!</v>
      </c>
      <c r="BT31" s="17" t="e">
        <f t="shared" ca="1" si="29"/>
        <v>#VALUE!</v>
      </c>
      <c r="BU31" s="17" t="e">
        <f>#REF!</f>
        <v>#REF!</v>
      </c>
      <c r="BV31" s="17" t="e">
        <f t="shared" ca="1" si="30"/>
        <v>#VALUE!</v>
      </c>
      <c r="BW31" s="17" t="e">
        <f t="shared" ca="1" si="31"/>
        <v>#VALUE!</v>
      </c>
      <c r="BX31" s="17" t="e">
        <f t="shared" ca="1" si="32"/>
        <v>#VALUE!</v>
      </c>
      <c r="BY31" s="17" t="e">
        <f t="shared" ca="1" si="33"/>
        <v>#VALUE!</v>
      </c>
      <c r="BZ31" s="17" t="e">
        <f t="shared" si="34"/>
        <v>#REF!</v>
      </c>
      <c r="CA31" s="17" t="e">
        <f t="shared" si="35"/>
        <v>#REF!</v>
      </c>
      <c r="CB31" s="17" t="e">
        <f t="shared" si="36"/>
        <v>#REF!</v>
      </c>
      <c r="CC31" s="17" t="e">
        <f t="shared" si="37"/>
        <v>#REF!</v>
      </c>
      <c r="CD31" s="18" t="e">
        <f t="shared" ca="1" si="38"/>
        <v>#VALUE!</v>
      </c>
      <c r="CE31" s="19" t="e">
        <f ca="1">IF(CD31&gt;=#REF!/100,"Yes","No")</f>
        <v>#VALUE!</v>
      </c>
      <c r="CF31" s="20">
        <f t="shared" si="13"/>
        <v>1</v>
      </c>
      <c r="CG31" s="20" t="e">
        <f t="shared" ca="1" si="39"/>
        <v>#VALUE!</v>
      </c>
      <c r="CH31" s="16" t="e">
        <f t="shared" ca="1" si="40"/>
        <v>#VALUE!</v>
      </c>
      <c r="CI31" s="17" t="e">
        <f t="shared" ca="1" si="14"/>
        <v>#VALUE!</v>
      </c>
      <c r="CJ31" s="17" t="e">
        <f t="shared" ca="1" si="15"/>
        <v>#VALUE!</v>
      </c>
      <c r="CK31" s="17" t="e">
        <f t="shared" ca="1" si="41"/>
        <v>#VALUE!</v>
      </c>
      <c r="CL31" s="17" t="e">
        <f>#REF!</f>
        <v>#REF!</v>
      </c>
      <c r="CM31" s="17" t="e">
        <f t="shared" ca="1" si="42"/>
        <v>#VALUE!</v>
      </c>
      <c r="CN31" s="17" t="e">
        <f t="shared" ca="1" si="43"/>
        <v>#VALUE!</v>
      </c>
      <c r="CO31" s="17" t="e">
        <f t="shared" ca="1" si="44"/>
        <v>#VALUE!</v>
      </c>
      <c r="CP31" s="17" t="e">
        <f t="shared" ca="1" si="45"/>
        <v>#VALUE!</v>
      </c>
      <c r="CQ31" s="17" t="e">
        <f t="shared" si="46"/>
        <v>#REF!</v>
      </c>
      <c r="CR31" s="17" t="e">
        <f t="shared" si="47"/>
        <v>#REF!</v>
      </c>
      <c r="CS31" s="17" t="e">
        <f t="shared" si="48"/>
        <v>#REF!</v>
      </c>
      <c r="CT31" s="17" t="e">
        <f t="shared" si="49"/>
        <v>#REF!</v>
      </c>
      <c r="CU31" s="18" t="e">
        <f t="shared" ca="1" si="50"/>
        <v>#VALUE!</v>
      </c>
      <c r="CV31" s="19" t="e">
        <f ca="1">IF(CU31&gt;=#REF!/100,"Yes","No")</f>
        <v>#VALUE!</v>
      </c>
    </row>
    <row r="32" spans="1:100" x14ac:dyDescent="0.25">
      <c r="A32" t="s">
        <v>86</v>
      </c>
      <c r="B32" t="s">
        <v>87</v>
      </c>
      <c r="C32">
        <v>115204049</v>
      </c>
      <c r="D32" t="str">
        <f t="shared" si="5"/>
        <v>Arslan, Beyza-115204049</v>
      </c>
      <c r="E32" s="22">
        <v>4</v>
      </c>
      <c r="F32" s="22">
        <v>3</v>
      </c>
      <c r="G32" s="22">
        <v>15</v>
      </c>
      <c r="H32" s="22">
        <v>4335463</v>
      </c>
      <c r="I32" s="22">
        <v>4838274</v>
      </c>
      <c r="J32" s="22">
        <v>9188375</v>
      </c>
      <c r="K32" s="22">
        <v>6522599</v>
      </c>
      <c r="L32" s="22">
        <v>100000</v>
      </c>
      <c r="M32" s="22">
        <v>109500</v>
      </c>
      <c r="N32" s="22">
        <v>117500</v>
      </c>
      <c r="O32" s="22">
        <v>127100</v>
      </c>
      <c r="P32" s="22">
        <v>117500</v>
      </c>
      <c r="Q32" s="22">
        <v>127100</v>
      </c>
      <c r="R32" s="22">
        <v>109500</v>
      </c>
      <c r="S32" s="22">
        <v>100000</v>
      </c>
      <c r="T32" s="24">
        <v>27000</v>
      </c>
      <c r="U32" s="22">
        <v>26928</v>
      </c>
      <c r="V32" s="22">
        <v>24928</v>
      </c>
      <c r="W32" s="22">
        <v>22528</v>
      </c>
      <c r="X32" s="22">
        <v>24928</v>
      </c>
      <c r="Y32" s="22">
        <v>22528</v>
      </c>
      <c r="Z32" s="22">
        <v>26928</v>
      </c>
      <c r="AA32" s="22">
        <v>29028</v>
      </c>
      <c r="AB32" s="24">
        <v>97000</v>
      </c>
      <c r="AC32" s="24">
        <v>97000</v>
      </c>
      <c r="AD32" s="24">
        <v>100000</v>
      </c>
      <c r="AE32" s="24">
        <v>97000</v>
      </c>
      <c r="AF32" s="24">
        <v>93500</v>
      </c>
      <c r="AG32" s="24">
        <v>95500</v>
      </c>
      <c r="AH32" s="24">
        <v>97500</v>
      </c>
      <c r="AI32" s="24">
        <v>95500</v>
      </c>
      <c r="AJ32" s="25">
        <v>3.8</v>
      </c>
      <c r="AK32" s="25">
        <v>7.6</v>
      </c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8">
        <f t="shared" si="6"/>
        <v>3</v>
      </c>
      <c r="AY32" s="8">
        <f t="shared" si="7"/>
        <v>1</v>
      </c>
      <c r="AZ32" s="13" t="str">
        <f t="shared" si="16"/>
        <v>∆(3-1)</v>
      </c>
      <c r="BA32" s="10">
        <f t="shared" ca="1" si="8"/>
        <v>-9500</v>
      </c>
      <c r="BB32" s="10">
        <f t="shared" ca="1" si="9"/>
        <v>2400</v>
      </c>
      <c r="BC32" s="10">
        <f t="shared" ca="1" si="17"/>
        <v>1900</v>
      </c>
      <c r="BD32" s="10" t="e">
        <f>#REF!</f>
        <v>#REF!</v>
      </c>
      <c r="BE32" s="10">
        <f t="shared" ca="1" si="18"/>
        <v>-9500</v>
      </c>
      <c r="BF32" s="10">
        <f t="shared" ca="1" si="19"/>
        <v>2400</v>
      </c>
      <c r="BG32" s="10">
        <f t="shared" ca="1" si="20"/>
        <v>2400</v>
      </c>
      <c r="BH32" s="10">
        <f t="shared" ca="1" si="21"/>
        <v>2400</v>
      </c>
      <c r="BI32" s="10" t="e">
        <f t="shared" si="22"/>
        <v>#REF!</v>
      </c>
      <c r="BJ32" s="10" t="e">
        <f t="shared" si="23"/>
        <v>#REF!</v>
      </c>
      <c r="BK32" s="10" t="e">
        <f t="shared" si="24"/>
        <v>#REF!</v>
      </c>
      <c r="BL32" s="10" t="e">
        <f t="shared" si="25"/>
        <v>#REF!</v>
      </c>
      <c r="BM32" s="14" t="e">
        <f t="shared" ca="1" si="26"/>
        <v>#VALUE!</v>
      </c>
      <c r="BN32" s="15" t="e">
        <f ca="1">IF(BM32&gt;=#REF!/100,"Yes","No")</f>
        <v>#VALUE!</v>
      </c>
      <c r="BO32" s="6">
        <f t="shared" si="10"/>
        <v>4</v>
      </c>
      <c r="BP32" s="6" t="e">
        <f t="shared" ca="1" si="27"/>
        <v>#VALUE!</v>
      </c>
      <c r="BQ32" s="13" t="e">
        <f t="shared" ca="1" si="28"/>
        <v>#VALUE!</v>
      </c>
      <c r="BR32" s="10" t="e">
        <f t="shared" ca="1" si="11"/>
        <v>#VALUE!</v>
      </c>
      <c r="BS32" s="10" t="e">
        <f t="shared" ca="1" si="12"/>
        <v>#VALUE!</v>
      </c>
      <c r="BT32" s="10" t="e">
        <f t="shared" ca="1" si="29"/>
        <v>#VALUE!</v>
      </c>
      <c r="BU32" s="10" t="e">
        <f>#REF!</f>
        <v>#REF!</v>
      </c>
      <c r="BV32" s="10" t="e">
        <f t="shared" ca="1" si="30"/>
        <v>#VALUE!</v>
      </c>
      <c r="BW32" s="10" t="e">
        <f t="shared" ca="1" si="31"/>
        <v>#VALUE!</v>
      </c>
      <c r="BX32" s="10" t="e">
        <f t="shared" ca="1" si="32"/>
        <v>#VALUE!</v>
      </c>
      <c r="BY32" s="10" t="e">
        <f t="shared" ca="1" si="33"/>
        <v>#VALUE!</v>
      </c>
      <c r="BZ32" s="10" t="e">
        <f t="shared" si="34"/>
        <v>#REF!</v>
      </c>
      <c r="CA32" s="10" t="e">
        <f t="shared" si="35"/>
        <v>#REF!</v>
      </c>
      <c r="CB32" s="10" t="e">
        <f t="shared" si="36"/>
        <v>#REF!</v>
      </c>
      <c r="CC32" s="10" t="e">
        <f t="shared" si="37"/>
        <v>#REF!</v>
      </c>
      <c r="CD32" s="14" t="e">
        <f t="shared" ca="1" si="38"/>
        <v>#VALUE!</v>
      </c>
      <c r="CE32" s="15" t="e">
        <f ca="1">IF(CD32&gt;=#REF!/100,"Yes","No")</f>
        <v>#VALUE!</v>
      </c>
      <c r="CF32" s="6">
        <f t="shared" si="13"/>
        <v>2</v>
      </c>
      <c r="CG32" s="6" t="e">
        <f t="shared" ca="1" si="39"/>
        <v>#VALUE!</v>
      </c>
      <c r="CH32" s="13" t="e">
        <f t="shared" ca="1" si="40"/>
        <v>#VALUE!</v>
      </c>
      <c r="CI32" s="10" t="e">
        <f t="shared" ca="1" si="14"/>
        <v>#VALUE!</v>
      </c>
      <c r="CJ32" s="10" t="e">
        <f t="shared" ca="1" si="15"/>
        <v>#VALUE!</v>
      </c>
      <c r="CK32" s="10" t="e">
        <f t="shared" ca="1" si="41"/>
        <v>#VALUE!</v>
      </c>
      <c r="CL32" s="10" t="e">
        <f>#REF!</f>
        <v>#REF!</v>
      </c>
      <c r="CM32" s="10" t="e">
        <f t="shared" ca="1" si="42"/>
        <v>#VALUE!</v>
      </c>
      <c r="CN32" s="10" t="e">
        <f t="shared" ca="1" si="43"/>
        <v>#VALUE!</v>
      </c>
      <c r="CO32" s="10" t="e">
        <f t="shared" ca="1" si="44"/>
        <v>#VALUE!</v>
      </c>
      <c r="CP32" s="10" t="e">
        <f t="shared" ca="1" si="45"/>
        <v>#VALUE!</v>
      </c>
      <c r="CQ32" s="10" t="e">
        <f t="shared" si="46"/>
        <v>#REF!</v>
      </c>
      <c r="CR32" s="10" t="e">
        <f t="shared" si="47"/>
        <v>#REF!</v>
      </c>
      <c r="CS32" s="10" t="e">
        <f t="shared" si="48"/>
        <v>#REF!</v>
      </c>
      <c r="CT32" s="10" t="e">
        <f t="shared" si="49"/>
        <v>#REF!</v>
      </c>
      <c r="CU32" s="14" t="e">
        <f t="shared" ca="1" si="50"/>
        <v>#VALUE!</v>
      </c>
      <c r="CV32" s="15" t="e">
        <f ca="1">IF(CU32&gt;=#REF!/100,"Yes","No")</f>
        <v>#VALUE!</v>
      </c>
    </row>
    <row r="33" spans="1:100" x14ac:dyDescent="0.25">
      <c r="A33" t="s">
        <v>86</v>
      </c>
      <c r="B33" t="s">
        <v>88</v>
      </c>
      <c r="C33">
        <v>116204001</v>
      </c>
      <c r="D33" t="str">
        <f t="shared" si="5"/>
        <v>Arslan, Dara Deniz-116204001</v>
      </c>
      <c r="E33" s="22">
        <v>6</v>
      </c>
      <c r="F33" s="22">
        <v>2</v>
      </c>
      <c r="G33" s="22">
        <v>10</v>
      </c>
      <c r="H33" s="22">
        <v>6941816</v>
      </c>
      <c r="I33" s="22">
        <v>284036</v>
      </c>
      <c r="J33" s="22">
        <v>9972927</v>
      </c>
      <c r="K33" s="22">
        <v>556793</v>
      </c>
      <c r="L33" s="22">
        <v>100000</v>
      </c>
      <c r="M33" s="22">
        <v>109700</v>
      </c>
      <c r="N33" s="22">
        <v>119700</v>
      </c>
      <c r="O33" s="22">
        <v>127900</v>
      </c>
      <c r="P33" s="22">
        <v>119700</v>
      </c>
      <c r="Q33" s="22">
        <v>100000</v>
      </c>
      <c r="R33" s="22">
        <v>127900</v>
      </c>
      <c r="S33" s="22">
        <v>109700</v>
      </c>
      <c r="T33" s="24">
        <v>27000</v>
      </c>
      <c r="U33" s="22">
        <v>26829</v>
      </c>
      <c r="V33" s="22">
        <v>24729</v>
      </c>
      <c r="W33" s="22">
        <v>22229</v>
      </c>
      <c r="X33" s="22">
        <v>24729</v>
      </c>
      <c r="Y33" s="22">
        <v>29029</v>
      </c>
      <c r="Z33" s="22">
        <v>22229</v>
      </c>
      <c r="AA33" s="22">
        <v>26829</v>
      </c>
      <c r="AB33" s="24">
        <v>98000</v>
      </c>
      <c r="AC33" s="24">
        <v>99000</v>
      </c>
      <c r="AD33" s="24">
        <v>97000</v>
      </c>
      <c r="AE33" s="24">
        <v>99000</v>
      </c>
      <c r="AF33" s="24">
        <v>94000</v>
      </c>
      <c r="AG33" s="24">
        <v>95000</v>
      </c>
      <c r="AH33" s="24">
        <v>95000</v>
      </c>
      <c r="AI33" s="24">
        <v>96000</v>
      </c>
      <c r="AJ33" s="25">
        <v>4.0999999999999996</v>
      </c>
      <c r="AK33" s="25">
        <v>8.8000000000000007</v>
      </c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8">
        <f t="shared" si="6"/>
        <v>3</v>
      </c>
      <c r="AY33" s="8">
        <f t="shared" si="7"/>
        <v>4</v>
      </c>
      <c r="AZ33" s="16" t="str">
        <f t="shared" si="16"/>
        <v>∆(3-4)</v>
      </c>
      <c r="BA33" s="17">
        <f t="shared" ca="1" si="8"/>
        <v>-9500</v>
      </c>
      <c r="BB33" s="17">
        <f t="shared" ca="1" si="9"/>
        <v>2100</v>
      </c>
      <c r="BC33" s="17">
        <f t="shared" ca="1" si="17"/>
        <v>1900</v>
      </c>
      <c r="BD33" s="17" t="e">
        <f>#REF!</f>
        <v>#REF!</v>
      </c>
      <c r="BE33" s="17">
        <f t="shared" ca="1" si="18"/>
        <v>-9500</v>
      </c>
      <c r="BF33" s="17">
        <f t="shared" ca="1" si="19"/>
        <v>2100</v>
      </c>
      <c r="BG33" s="17">
        <f t="shared" ca="1" si="20"/>
        <v>2100</v>
      </c>
      <c r="BH33" s="17">
        <f t="shared" ca="1" si="21"/>
        <v>2100</v>
      </c>
      <c r="BI33" s="17" t="e">
        <f t="shared" si="22"/>
        <v>#REF!</v>
      </c>
      <c r="BJ33" s="17" t="e">
        <f t="shared" si="23"/>
        <v>#REF!</v>
      </c>
      <c r="BK33" s="17" t="e">
        <f t="shared" si="24"/>
        <v>#REF!</v>
      </c>
      <c r="BL33" s="17" t="e">
        <f t="shared" si="25"/>
        <v>#REF!</v>
      </c>
      <c r="BM33" s="18" t="e">
        <f t="shared" ca="1" si="26"/>
        <v>#VALUE!</v>
      </c>
      <c r="BN33" s="19" t="e">
        <f ca="1">IF(BM33&gt;=#REF!/100,"Yes","No")</f>
        <v>#VALUE!</v>
      </c>
      <c r="BO33" s="20">
        <f t="shared" si="10"/>
        <v>1</v>
      </c>
      <c r="BP33" s="20" t="e">
        <f t="shared" ca="1" si="27"/>
        <v>#VALUE!</v>
      </c>
      <c r="BQ33" s="16" t="e">
        <f t="shared" ca="1" si="28"/>
        <v>#VALUE!</v>
      </c>
      <c r="BR33" s="17" t="e">
        <f t="shared" ca="1" si="11"/>
        <v>#VALUE!</v>
      </c>
      <c r="BS33" s="17" t="e">
        <f t="shared" ca="1" si="12"/>
        <v>#VALUE!</v>
      </c>
      <c r="BT33" s="17" t="e">
        <f t="shared" ca="1" si="29"/>
        <v>#VALUE!</v>
      </c>
      <c r="BU33" s="17" t="e">
        <f>#REF!</f>
        <v>#REF!</v>
      </c>
      <c r="BV33" s="17" t="e">
        <f t="shared" ca="1" si="30"/>
        <v>#VALUE!</v>
      </c>
      <c r="BW33" s="17" t="e">
        <f t="shared" ca="1" si="31"/>
        <v>#VALUE!</v>
      </c>
      <c r="BX33" s="17" t="e">
        <f t="shared" ca="1" si="32"/>
        <v>#VALUE!</v>
      </c>
      <c r="BY33" s="17" t="e">
        <f t="shared" ca="1" si="33"/>
        <v>#VALUE!</v>
      </c>
      <c r="BZ33" s="17" t="e">
        <f t="shared" si="34"/>
        <v>#REF!</v>
      </c>
      <c r="CA33" s="17" t="e">
        <f t="shared" si="35"/>
        <v>#REF!</v>
      </c>
      <c r="CB33" s="17" t="e">
        <f t="shared" si="36"/>
        <v>#REF!</v>
      </c>
      <c r="CC33" s="17" t="e">
        <f t="shared" si="37"/>
        <v>#REF!</v>
      </c>
      <c r="CD33" s="18" t="e">
        <f t="shared" ca="1" si="38"/>
        <v>#VALUE!</v>
      </c>
      <c r="CE33" s="19" t="e">
        <f ca="1">IF(CD33&gt;=#REF!/100,"Yes","No")</f>
        <v>#VALUE!</v>
      </c>
      <c r="CF33" s="20">
        <f t="shared" si="13"/>
        <v>2</v>
      </c>
      <c r="CG33" s="20" t="e">
        <f t="shared" ca="1" si="39"/>
        <v>#VALUE!</v>
      </c>
      <c r="CH33" s="16" t="e">
        <f t="shared" ca="1" si="40"/>
        <v>#VALUE!</v>
      </c>
      <c r="CI33" s="17" t="e">
        <f t="shared" ca="1" si="14"/>
        <v>#VALUE!</v>
      </c>
      <c r="CJ33" s="17" t="e">
        <f t="shared" ca="1" si="15"/>
        <v>#VALUE!</v>
      </c>
      <c r="CK33" s="17" t="e">
        <f t="shared" ca="1" si="41"/>
        <v>#VALUE!</v>
      </c>
      <c r="CL33" s="17" t="e">
        <f>#REF!</f>
        <v>#REF!</v>
      </c>
      <c r="CM33" s="17" t="e">
        <f t="shared" ca="1" si="42"/>
        <v>#VALUE!</v>
      </c>
      <c r="CN33" s="17" t="e">
        <f t="shared" ca="1" si="43"/>
        <v>#VALUE!</v>
      </c>
      <c r="CO33" s="17" t="e">
        <f t="shared" ca="1" si="44"/>
        <v>#VALUE!</v>
      </c>
      <c r="CP33" s="17" t="e">
        <f t="shared" ca="1" si="45"/>
        <v>#VALUE!</v>
      </c>
      <c r="CQ33" s="17" t="e">
        <f t="shared" si="46"/>
        <v>#REF!</v>
      </c>
      <c r="CR33" s="17" t="e">
        <f t="shared" si="47"/>
        <v>#REF!</v>
      </c>
      <c r="CS33" s="17" t="e">
        <f t="shared" si="48"/>
        <v>#REF!</v>
      </c>
      <c r="CT33" s="17" t="e">
        <f t="shared" si="49"/>
        <v>#REF!</v>
      </c>
      <c r="CU33" s="18" t="e">
        <f t="shared" ca="1" si="50"/>
        <v>#VALUE!</v>
      </c>
      <c r="CV33" s="19" t="e">
        <f ca="1">IF(CU33&gt;=#REF!/100,"Yes","No")</f>
        <v>#VALUE!</v>
      </c>
    </row>
    <row r="34" spans="1:100" x14ac:dyDescent="0.25">
      <c r="A34" t="s">
        <v>86</v>
      </c>
      <c r="B34" t="s">
        <v>89</v>
      </c>
      <c r="C34">
        <v>116203018</v>
      </c>
      <c r="D34" t="str">
        <f t="shared" si="5"/>
        <v>Arslan, Pelin-116203018</v>
      </c>
      <c r="E34" s="22">
        <v>6</v>
      </c>
      <c r="F34" s="22">
        <v>2</v>
      </c>
      <c r="G34" s="22">
        <v>10</v>
      </c>
      <c r="H34" s="22">
        <v>9400438</v>
      </c>
      <c r="I34" s="22">
        <v>2964504</v>
      </c>
      <c r="J34" s="22">
        <v>6235739</v>
      </c>
      <c r="K34" s="22">
        <v>9836217</v>
      </c>
      <c r="L34" s="22">
        <v>100000</v>
      </c>
      <c r="M34" s="22">
        <v>109800</v>
      </c>
      <c r="N34" s="22">
        <v>118100</v>
      </c>
      <c r="O34" s="22">
        <v>126600</v>
      </c>
      <c r="P34" s="22">
        <v>126600</v>
      </c>
      <c r="Q34" s="22">
        <v>100000</v>
      </c>
      <c r="R34" s="22">
        <v>118100</v>
      </c>
      <c r="S34" s="22">
        <v>109800</v>
      </c>
      <c r="T34" s="24">
        <v>26000</v>
      </c>
      <c r="U34" s="22">
        <v>26530</v>
      </c>
      <c r="V34" s="22">
        <v>24130</v>
      </c>
      <c r="W34" s="22">
        <v>21930</v>
      </c>
      <c r="X34" s="22">
        <v>21930</v>
      </c>
      <c r="Y34" s="22">
        <v>29030</v>
      </c>
      <c r="Z34" s="22">
        <v>24130</v>
      </c>
      <c r="AA34" s="22">
        <v>26530</v>
      </c>
      <c r="AB34" s="24">
        <v>111000</v>
      </c>
      <c r="AC34" s="24">
        <v>110000</v>
      </c>
      <c r="AD34" s="24">
        <v>109000</v>
      </c>
      <c r="AE34" s="24">
        <v>112000</v>
      </c>
      <c r="AF34" s="24">
        <v>108000</v>
      </c>
      <c r="AG34" s="24">
        <v>108500</v>
      </c>
      <c r="AH34" s="24">
        <v>105500</v>
      </c>
      <c r="AI34" s="24">
        <v>108500</v>
      </c>
      <c r="AJ34" s="25">
        <v>3.1</v>
      </c>
      <c r="AK34" s="25">
        <v>7.8</v>
      </c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8">
        <f t="shared" si="6"/>
        <v>4</v>
      </c>
      <c r="AY34" s="8">
        <f t="shared" si="7"/>
        <v>2</v>
      </c>
      <c r="AZ34" s="13" t="str">
        <f t="shared" si="16"/>
        <v>∆(4-2)</v>
      </c>
      <c r="BA34" s="10">
        <f t="shared" ca="1" si="8"/>
        <v>-9700</v>
      </c>
      <c r="BB34" s="10">
        <f t="shared" ca="1" si="9"/>
        <v>2200</v>
      </c>
      <c r="BC34" s="10">
        <f t="shared" ca="1" si="17"/>
        <v>1940</v>
      </c>
      <c r="BD34" s="10" t="e">
        <f>#REF!</f>
        <v>#REF!</v>
      </c>
      <c r="BE34" s="10">
        <f t="shared" ca="1" si="18"/>
        <v>-9700</v>
      </c>
      <c r="BF34" s="10">
        <f t="shared" ca="1" si="19"/>
        <v>2200</v>
      </c>
      <c r="BG34" s="10">
        <f t="shared" ca="1" si="20"/>
        <v>2200</v>
      </c>
      <c r="BH34" s="10">
        <f t="shared" ca="1" si="21"/>
        <v>2200</v>
      </c>
      <c r="BI34" s="10" t="e">
        <f t="shared" si="22"/>
        <v>#REF!</v>
      </c>
      <c r="BJ34" s="10" t="e">
        <f t="shared" si="23"/>
        <v>#REF!</v>
      </c>
      <c r="BK34" s="10" t="e">
        <f t="shared" si="24"/>
        <v>#REF!</v>
      </c>
      <c r="BL34" s="10" t="e">
        <f t="shared" si="25"/>
        <v>#REF!</v>
      </c>
      <c r="BM34" s="14" t="e">
        <f t="shared" ca="1" si="26"/>
        <v>#VALUE!</v>
      </c>
      <c r="BN34" s="15" t="e">
        <f ca="1">IF(BM34&gt;=#REF!/100,"Yes","No")</f>
        <v>#VALUE!</v>
      </c>
      <c r="BO34" s="6">
        <f t="shared" si="10"/>
        <v>1</v>
      </c>
      <c r="BP34" s="6" t="e">
        <f t="shared" ca="1" si="27"/>
        <v>#VALUE!</v>
      </c>
      <c r="BQ34" s="13" t="e">
        <f t="shared" ca="1" si="28"/>
        <v>#VALUE!</v>
      </c>
      <c r="BR34" s="10" t="e">
        <f t="shared" ca="1" si="11"/>
        <v>#VALUE!</v>
      </c>
      <c r="BS34" s="10" t="e">
        <f t="shared" ca="1" si="12"/>
        <v>#VALUE!</v>
      </c>
      <c r="BT34" s="10" t="e">
        <f t="shared" ca="1" si="29"/>
        <v>#VALUE!</v>
      </c>
      <c r="BU34" s="10" t="e">
        <f>#REF!</f>
        <v>#REF!</v>
      </c>
      <c r="BV34" s="10" t="e">
        <f t="shared" ca="1" si="30"/>
        <v>#VALUE!</v>
      </c>
      <c r="BW34" s="10" t="e">
        <f t="shared" ca="1" si="31"/>
        <v>#VALUE!</v>
      </c>
      <c r="BX34" s="10" t="e">
        <f t="shared" ca="1" si="32"/>
        <v>#VALUE!</v>
      </c>
      <c r="BY34" s="10" t="e">
        <f t="shared" ca="1" si="33"/>
        <v>#VALUE!</v>
      </c>
      <c r="BZ34" s="10" t="e">
        <f t="shared" si="34"/>
        <v>#REF!</v>
      </c>
      <c r="CA34" s="10" t="e">
        <f t="shared" si="35"/>
        <v>#REF!</v>
      </c>
      <c r="CB34" s="10" t="e">
        <f t="shared" si="36"/>
        <v>#REF!</v>
      </c>
      <c r="CC34" s="10" t="e">
        <f t="shared" si="37"/>
        <v>#REF!</v>
      </c>
      <c r="CD34" s="14" t="e">
        <f t="shared" ca="1" si="38"/>
        <v>#VALUE!</v>
      </c>
      <c r="CE34" s="15" t="e">
        <f ca="1">IF(CD34&gt;=#REF!/100,"Yes","No")</f>
        <v>#VALUE!</v>
      </c>
      <c r="CF34" s="6">
        <f t="shared" si="13"/>
        <v>3</v>
      </c>
      <c r="CG34" s="6" t="e">
        <f t="shared" ca="1" si="39"/>
        <v>#VALUE!</v>
      </c>
      <c r="CH34" s="13" t="e">
        <f t="shared" ca="1" si="40"/>
        <v>#VALUE!</v>
      </c>
      <c r="CI34" s="10" t="e">
        <f t="shared" ca="1" si="14"/>
        <v>#VALUE!</v>
      </c>
      <c r="CJ34" s="10" t="e">
        <f t="shared" ca="1" si="15"/>
        <v>#VALUE!</v>
      </c>
      <c r="CK34" s="10" t="e">
        <f t="shared" ca="1" si="41"/>
        <v>#VALUE!</v>
      </c>
      <c r="CL34" s="10" t="e">
        <f>#REF!</f>
        <v>#REF!</v>
      </c>
      <c r="CM34" s="10" t="e">
        <f t="shared" ca="1" si="42"/>
        <v>#VALUE!</v>
      </c>
      <c r="CN34" s="10" t="e">
        <f t="shared" ca="1" si="43"/>
        <v>#VALUE!</v>
      </c>
      <c r="CO34" s="10" t="e">
        <f t="shared" ca="1" si="44"/>
        <v>#VALUE!</v>
      </c>
      <c r="CP34" s="10" t="e">
        <f t="shared" ca="1" si="45"/>
        <v>#VALUE!</v>
      </c>
      <c r="CQ34" s="10" t="e">
        <f t="shared" si="46"/>
        <v>#REF!</v>
      </c>
      <c r="CR34" s="10" t="e">
        <f t="shared" si="47"/>
        <v>#REF!</v>
      </c>
      <c r="CS34" s="10" t="e">
        <f t="shared" si="48"/>
        <v>#REF!</v>
      </c>
      <c r="CT34" s="10" t="e">
        <f t="shared" si="49"/>
        <v>#REF!</v>
      </c>
      <c r="CU34" s="14" t="e">
        <f t="shared" ca="1" si="50"/>
        <v>#VALUE!</v>
      </c>
      <c r="CV34" s="15" t="e">
        <f ca="1">IF(CU34&gt;=#REF!/100,"Yes","No")</f>
        <v>#VALUE!</v>
      </c>
    </row>
    <row r="35" spans="1:100" x14ac:dyDescent="0.25">
      <c r="A35" t="s">
        <v>90</v>
      </c>
      <c r="B35" t="s">
        <v>91</v>
      </c>
      <c r="C35">
        <v>116205079</v>
      </c>
      <c r="D35" t="str">
        <f t="shared" si="5"/>
        <v>Atalık, Berkay-116205079</v>
      </c>
      <c r="E35" s="22">
        <v>5</v>
      </c>
      <c r="F35" s="22">
        <v>2</v>
      </c>
      <c r="G35" s="22">
        <v>10</v>
      </c>
      <c r="H35" s="22">
        <v>1763662</v>
      </c>
      <c r="I35" s="22">
        <v>328638</v>
      </c>
      <c r="J35" s="22">
        <v>8743442</v>
      </c>
      <c r="K35" s="22">
        <v>8801093</v>
      </c>
      <c r="L35" s="22">
        <v>100000</v>
      </c>
      <c r="M35" s="22">
        <v>108300</v>
      </c>
      <c r="N35" s="22">
        <v>116600</v>
      </c>
      <c r="O35" s="22">
        <v>125400</v>
      </c>
      <c r="P35" s="22">
        <v>125400</v>
      </c>
      <c r="Q35" s="22">
        <v>116600</v>
      </c>
      <c r="R35" s="22">
        <v>100000</v>
      </c>
      <c r="S35" s="22">
        <v>108300</v>
      </c>
      <c r="T35" s="24">
        <v>28000</v>
      </c>
      <c r="U35" s="22">
        <v>26531</v>
      </c>
      <c r="V35" s="22">
        <v>24531</v>
      </c>
      <c r="W35" s="22">
        <v>22031</v>
      </c>
      <c r="X35" s="22">
        <v>22031</v>
      </c>
      <c r="Y35" s="22">
        <v>24531</v>
      </c>
      <c r="Z35" s="22">
        <v>29031</v>
      </c>
      <c r="AA35" s="22">
        <v>26531</v>
      </c>
      <c r="AB35" s="24">
        <v>101000</v>
      </c>
      <c r="AC35" s="24">
        <v>100000</v>
      </c>
      <c r="AD35" s="24">
        <v>102000</v>
      </c>
      <c r="AE35" s="24">
        <v>101000</v>
      </c>
      <c r="AF35" s="24">
        <v>97500</v>
      </c>
      <c r="AG35" s="24">
        <v>98000</v>
      </c>
      <c r="AH35" s="24">
        <v>99000</v>
      </c>
      <c r="AI35" s="24">
        <v>98500</v>
      </c>
      <c r="AJ35" s="25">
        <v>4.5</v>
      </c>
      <c r="AK35" s="25">
        <v>8.6999999999999993</v>
      </c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8">
        <f t="shared" si="6"/>
        <v>4</v>
      </c>
      <c r="AY35" s="8">
        <f t="shared" si="7"/>
        <v>2</v>
      </c>
      <c r="AZ35" s="16" t="str">
        <f t="shared" si="16"/>
        <v>∆(4-2)</v>
      </c>
      <c r="BA35" s="17">
        <f t="shared" ca="1" si="8"/>
        <v>-9800</v>
      </c>
      <c r="BB35" s="17">
        <f t="shared" ca="1" si="9"/>
        <v>2500</v>
      </c>
      <c r="BC35" s="17">
        <f t="shared" ca="1" si="17"/>
        <v>1960</v>
      </c>
      <c r="BD35" s="17" t="e">
        <f>#REF!</f>
        <v>#REF!</v>
      </c>
      <c r="BE35" s="17">
        <f t="shared" ca="1" si="18"/>
        <v>-9800</v>
      </c>
      <c r="BF35" s="17">
        <f t="shared" ca="1" si="19"/>
        <v>2500</v>
      </c>
      <c r="BG35" s="17">
        <f t="shared" ca="1" si="20"/>
        <v>2500</v>
      </c>
      <c r="BH35" s="17">
        <f t="shared" ca="1" si="21"/>
        <v>2500</v>
      </c>
      <c r="BI35" s="17" t="e">
        <f t="shared" si="22"/>
        <v>#REF!</v>
      </c>
      <c r="BJ35" s="17" t="e">
        <f t="shared" si="23"/>
        <v>#REF!</v>
      </c>
      <c r="BK35" s="17" t="e">
        <f t="shared" si="24"/>
        <v>#REF!</v>
      </c>
      <c r="BL35" s="17" t="e">
        <f t="shared" si="25"/>
        <v>#REF!</v>
      </c>
      <c r="BM35" s="18" t="e">
        <f t="shared" ca="1" si="26"/>
        <v>#VALUE!</v>
      </c>
      <c r="BN35" s="19" t="e">
        <f ca="1">IF(BM35&gt;=#REF!/100,"Yes","No")</f>
        <v>#VALUE!</v>
      </c>
      <c r="BO35" s="20">
        <f t="shared" si="10"/>
        <v>3</v>
      </c>
      <c r="BP35" s="20" t="e">
        <f t="shared" ca="1" si="27"/>
        <v>#VALUE!</v>
      </c>
      <c r="BQ35" s="16" t="e">
        <f t="shared" ca="1" si="28"/>
        <v>#VALUE!</v>
      </c>
      <c r="BR35" s="17" t="e">
        <f t="shared" ca="1" si="11"/>
        <v>#VALUE!</v>
      </c>
      <c r="BS35" s="17" t="e">
        <f t="shared" ca="1" si="12"/>
        <v>#VALUE!</v>
      </c>
      <c r="BT35" s="17" t="e">
        <f t="shared" ca="1" si="29"/>
        <v>#VALUE!</v>
      </c>
      <c r="BU35" s="17" t="e">
        <f>#REF!</f>
        <v>#REF!</v>
      </c>
      <c r="BV35" s="17" t="e">
        <f t="shared" ca="1" si="30"/>
        <v>#VALUE!</v>
      </c>
      <c r="BW35" s="17" t="e">
        <f t="shared" ca="1" si="31"/>
        <v>#VALUE!</v>
      </c>
      <c r="BX35" s="17" t="e">
        <f t="shared" ca="1" si="32"/>
        <v>#VALUE!</v>
      </c>
      <c r="BY35" s="17" t="e">
        <f t="shared" ca="1" si="33"/>
        <v>#VALUE!</v>
      </c>
      <c r="BZ35" s="17" t="e">
        <f t="shared" si="34"/>
        <v>#REF!</v>
      </c>
      <c r="CA35" s="17" t="e">
        <f t="shared" si="35"/>
        <v>#REF!</v>
      </c>
      <c r="CB35" s="17" t="e">
        <f t="shared" si="36"/>
        <v>#REF!</v>
      </c>
      <c r="CC35" s="17" t="e">
        <f t="shared" si="37"/>
        <v>#REF!</v>
      </c>
      <c r="CD35" s="18" t="e">
        <f t="shared" ca="1" si="38"/>
        <v>#VALUE!</v>
      </c>
      <c r="CE35" s="19" t="e">
        <f ca="1">IF(CD35&gt;=#REF!/100,"Yes","No")</f>
        <v>#VALUE!</v>
      </c>
      <c r="CF35" s="20">
        <f t="shared" si="13"/>
        <v>1</v>
      </c>
      <c r="CG35" s="20" t="e">
        <f t="shared" ca="1" si="39"/>
        <v>#VALUE!</v>
      </c>
      <c r="CH35" s="16" t="e">
        <f t="shared" ca="1" si="40"/>
        <v>#VALUE!</v>
      </c>
      <c r="CI35" s="17" t="e">
        <f t="shared" ca="1" si="14"/>
        <v>#VALUE!</v>
      </c>
      <c r="CJ35" s="17" t="e">
        <f t="shared" ca="1" si="15"/>
        <v>#VALUE!</v>
      </c>
      <c r="CK35" s="17" t="e">
        <f t="shared" ca="1" si="41"/>
        <v>#VALUE!</v>
      </c>
      <c r="CL35" s="17" t="e">
        <f>#REF!</f>
        <v>#REF!</v>
      </c>
      <c r="CM35" s="17" t="e">
        <f t="shared" ca="1" si="42"/>
        <v>#VALUE!</v>
      </c>
      <c r="CN35" s="17" t="e">
        <f t="shared" ca="1" si="43"/>
        <v>#VALUE!</v>
      </c>
      <c r="CO35" s="17" t="e">
        <f t="shared" ca="1" si="44"/>
        <v>#VALUE!</v>
      </c>
      <c r="CP35" s="17" t="e">
        <f t="shared" ca="1" si="45"/>
        <v>#VALUE!</v>
      </c>
      <c r="CQ35" s="17" t="e">
        <f t="shared" si="46"/>
        <v>#REF!</v>
      </c>
      <c r="CR35" s="17" t="e">
        <f t="shared" si="47"/>
        <v>#REF!</v>
      </c>
      <c r="CS35" s="17" t="e">
        <f t="shared" si="48"/>
        <v>#REF!</v>
      </c>
      <c r="CT35" s="17" t="e">
        <f t="shared" si="49"/>
        <v>#REF!</v>
      </c>
      <c r="CU35" s="18" t="e">
        <f t="shared" ca="1" si="50"/>
        <v>#VALUE!</v>
      </c>
      <c r="CV35" s="19" t="e">
        <f ca="1">IF(CU35&gt;=#REF!/100,"Yes","No")</f>
        <v>#VALUE!</v>
      </c>
    </row>
    <row r="36" spans="1:100" x14ac:dyDescent="0.25">
      <c r="A36" t="s">
        <v>92</v>
      </c>
      <c r="B36" t="s">
        <v>93</v>
      </c>
      <c r="C36">
        <v>114206050</v>
      </c>
      <c r="D36" t="str">
        <f t="shared" si="5"/>
        <v>Atasoy, Pamir-114206050</v>
      </c>
      <c r="E36" s="22">
        <v>5</v>
      </c>
      <c r="F36" s="22">
        <v>1</v>
      </c>
      <c r="G36" s="22">
        <v>8</v>
      </c>
      <c r="H36" s="22">
        <v>9647525</v>
      </c>
      <c r="I36" s="22">
        <v>4622216</v>
      </c>
      <c r="J36" s="22">
        <v>5144049</v>
      </c>
      <c r="K36" s="22">
        <v>445924</v>
      </c>
      <c r="L36" s="22">
        <v>100000</v>
      </c>
      <c r="M36" s="22">
        <v>110000</v>
      </c>
      <c r="N36" s="22">
        <v>118700</v>
      </c>
      <c r="O36" s="22">
        <v>128000</v>
      </c>
      <c r="P36" s="22">
        <v>100000</v>
      </c>
      <c r="Q36" s="22">
        <v>118700</v>
      </c>
      <c r="R36" s="22">
        <v>110000</v>
      </c>
      <c r="S36" s="22">
        <v>128000</v>
      </c>
      <c r="T36" s="24">
        <v>27000</v>
      </c>
      <c r="U36" s="22">
        <v>26732</v>
      </c>
      <c r="V36" s="22">
        <v>24232</v>
      </c>
      <c r="W36" s="22">
        <v>21832</v>
      </c>
      <c r="X36" s="22">
        <v>29032</v>
      </c>
      <c r="Y36" s="22">
        <v>24232</v>
      </c>
      <c r="Z36" s="22">
        <v>26732</v>
      </c>
      <c r="AA36" s="22">
        <v>21832</v>
      </c>
      <c r="AB36" s="24">
        <v>97000</v>
      </c>
      <c r="AC36" s="24">
        <v>99000</v>
      </c>
      <c r="AD36" s="24">
        <v>97000</v>
      </c>
      <c r="AE36" s="24">
        <v>96000</v>
      </c>
      <c r="AF36" s="24">
        <v>95500</v>
      </c>
      <c r="AG36" s="24">
        <v>97000</v>
      </c>
      <c r="AH36" s="24">
        <v>94500</v>
      </c>
      <c r="AI36" s="24">
        <v>94000</v>
      </c>
      <c r="AJ36" s="25">
        <v>4.4000000000000004</v>
      </c>
      <c r="AK36" s="25">
        <v>7.6</v>
      </c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8">
        <f t="shared" si="6"/>
        <v>4</v>
      </c>
      <c r="AY36" s="8">
        <f t="shared" si="7"/>
        <v>3</v>
      </c>
      <c r="AZ36" s="13" t="str">
        <f t="shared" si="16"/>
        <v>∆(4-3)</v>
      </c>
      <c r="BA36" s="10">
        <f t="shared" ca="1" si="8"/>
        <v>-8300</v>
      </c>
      <c r="BB36" s="10">
        <f t="shared" ca="1" si="9"/>
        <v>2500</v>
      </c>
      <c r="BC36" s="10">
        <f t="shared" ca="1" si="17"/>
        <v>1660</v>
      </c>
      <c r="BD36" s="10" t="e">
        <f>#REF!</f>
        <v>#REF!</v>
      </c>
      <c r="BE36" s="10">
        <f t="shared" ca="1" si="18"/>
        <v>-8300</v>
      </c>
      <c r="BF36" s="10">
        <f t="shared" ca="1" si="19"/>
        <v>2500</v>
      </c>
      <c r="BG36" s="10">
        <f t="shared" ca="1" si="20"/>
        <v>2500</v>
      </c>
      <c r="BH36" s="10">
        <f t="shared" ca="1" si="21"/>
        <v>2500</v>
      </c>
      <c r="BI36" s="10" t="e">
        <f t="shared" si="22"/>
        <v>#REF!</v>
      </c>
      <c r="BJ36" s="10" t="e">
        <f t="shared" si="23"/>
        <v>#REF!</v>
      </c>
      <c r="BK36" s="10" t="e">
        <f t="shared" si="24"/>
        <v>#REF!</v>
      </c>
      <c r="BL36" s="10" t="e">
        <f t="shared" si="25"/>
        <v>#REF!</v>
      </c>
      <c r="BM36" s="14" t="e">
        <f t="shared" ca="1" si="26"/>
        <v>#VALUE!</v>
      </c>
      <c r="BN36" s="15" t="e">
        <f ca="1">IF(BM36&gt;=#REF!/100,"Yes","No")</f>
        <v>#VALUE!</v>
      </c>
      <c r="BO36" s="6">
        <f t="shared" si="10"/>
        <v>2</v>
      </c>
      <c r="BP36" s="6" t="e">
        <f t="shared" ca="1" si="27"/>
        <v>#VALUE!</v>
      </c>
      <c r="BQ36" s="13" t="e">
        <f t="shared" ca="1" si="28"/>
        <v>#VALUE!</v>
      </c>
      <c r="BR36" s="10" t="e">
        <f t="shared" ca="1" si="11"/>
        <v>#VALUE!</v>
      </c>
      <c r="BS36" s="10" t="e">
        <f t="shared" ca="1" si="12"/>
        <v>#VALUE!</v>
      </c>
      <c r="BT36" s="10" t="e">
        <f t="shared" ca="1" si="29"/>
        <v>#VALUE!</v>
      </c>
      <c r="BU36" s="10" t="e">
        <f>#REF!</f>
        <v>#REF!</v>
      </c>
      <c r="BV36" s="10" t="e">
        <f t="shared" ca="1" si="30"/>
        <v>#VALUE!</v>
      </c>
      <c r="BW36" s="10" t="e">
        <f t="shared" ca="1" si="31"/>
        <v>#VALUE!</v>
      </c>
      <c r="BX36" s="10" t="e">
        <f t="shared" ca="1" si="32"/>
        <v>#VALUE!</v>
      </c>
      <c r="BY36" s="10" t="e">
        <f t="shared" ca="1" si="33"/>
        <v>#VALUE!</v>
      </c>
      <c r="BZ36" s="10" t="e">
        <f t="shared" si="34"/>
        <v>#REF!</v>
      </c>
      <c r="CA36" s="10" t="e">
        <f t="shared" si="35"/>
        <v>#REF!</v>
      </c>
      <c r="CB36" s="10" t="e">
        <f t="shared" si="36"/>
        <v>#REF!</v>
      </c>
      <c r="CC36" s="10" t="e">
        <f t="shared" si="37"/>
        <v>#REF!</v>
      </c>
      <c r="CD36" s="14" t="e">
        <f t="shared" ca="1" si="38"/>
        <v>#VALUE!</v>
      </c>
      <c r="CE36" s="15" t="e">
        <f ca="1">IF(CD36&gt;=#REF!/100,"Yes","No")</f>
        <v>#VALUE!</v>
      </c>
      <c r="CF36" s="6">
        <f t="shared" si="13"/>
        <v>1</v>
      </c>
      <c r="CG36" s="6" t="e">
        <f t="shared" ca="1" si="39"/>
        <v>#VALUE!</v>
      </c>
      <c r="CH36" s="13" t="e">
        <f t="shared" ca="1" si="40"/>
        <v>#VALUE!</v>
      </c>
      <c r="CI36" s="10" t="e">
        <f t="shared" ca="1" si="14"/>
        <v>#VALUE!</v>
      </c>
      <c r="CJ36" s="10" t="e">
        <f t="shared" ca="1" si="15"/>
        <v>#VALUE!</v>
      </c>
      <c r="CK36" s="10" t="e">
        <f t="shared" ca="1" si="41"/>
        <v>#VALUE!</v>
      </c>
      <c r="CL36" s="10" t="e">
        <f>#REF!</f>
        <v>#REF!</v>
      </c>
      <c r="CM36" s="10" t="e">
        <f t="shared" ca="1" si="42"/>
        <v>#VALUE!</v>
      </c>
      <c r="CN36" s="10" t="e">
        <f t="shared" ca="1" si="43"/>
        <v>#VALUE!</v>
      </c>
      <c r="CO36" s="10" t="e">
        <f t="shared" ca="1" si="44"/>
        <v>#VALUE!</v>
      </c>
      <c r="CP36" s="10" t="e">
        <f t="shared" ca="1" si="45"/>
        <v>#VALUE!</v>
      </c>
      <c r="CQ36" s="10" t="e">
        <f t="shared" si="46"/>
        <v>#REF!</v>
      </c>
      <c r="CR36" s="10" t="e">
        <f t="shared" si="47"/>
        <v>#REF!</v>
      </c>
      <c r="CS36" s="10" t="e">
        <f t="shared" si="48"/>
        <v>#REF!</v>
      </c>
      <c r="CT36" s="10" t="e">
        <f t="shared" si="49"/>
        <v>#REF!</v>
      </c>
      <c r="CU36" s="14" t="e">
        <f t="shared" ca="1" si="50"/>
        <v>#VALUE!</v>
      </c>
      <c r="CV36" s="15" t="e">
        <f ca="1">IF(CU36&gt;=#REF!/100,"Yes","No")</f>
        <v>#VALUE!</v>
      </c>
    </row>
    <row r="37" spans="1:100" x14ac:dyDescent="0.25">
      <c r="A37" t="s">
        <v>94</v>
      </c>
      <c r="B37" t="s">
        <v>95</v>
      </c>
      <c r="C37">
        <v>112202056</v>
      </c>
      <c r="D37" t="str">
        <f t="shared" si="5"/>
        <v>Avunç, Eren-112202056</v>
      </c>
      <c r="E37" s="22">
        <v>7</v>
      </c>
      <c r="F37" s="22">
        <v>3</v>
      </c>
      <c r="G37" s="22">
        <v>15</v>
      </c>
      <c r="H37" s="22">
        <v>7295802</v>
      </c>
      <c r="I37" s="22">
        <v>2652452</v>
      </c>
      <c r="J37" s="22">
        <v>1802282</v>
      </c>
      <c r="K37" s="22">
        <v>5664389</v>
      </c>
      <c r="L37" s="22">
        <v>100000</v>
      </c>
      <c r="M37" s="22">
        <v>109300</v>
      </c>
      <c r="N37" s="22">
        <v>118300</v>
      </c>
      <c r="O37" s="22">
        <v>128100</v>
      </c>
      <c r="P37" s="22">
        <v>100000</v>
      </c>
      <c r="Q37" s="22">
        <v>128100</v>
      </c>
      <c r="R37" s="22">
        <v>109300</v>
      </c>
      <c r="S37" s="22">
        <v>118300</v>
      </c>
      <c r="T37" s="24">
        <v>26000</v>
      </c>
      <c r="U37" s="22">
        <v>26633</v>
      </c>
      <c r="V37" s="22">
        <v>24233</v>
      </c>
      <c r="W37" s="22">
        <v>21833</v>
      </c>
      <c r="X37" s="22">
        <v>29033</v>
      </c>
      <c r="Y37" s="22">
        <v>21833</v>
      </c>
      <c r="Z37" s="22">
        <v>26633</v>
      </c>
      <c r="AA37" s="22">
        <v>24233</v>
      </c>
      <c r="AB37" s="24">
        <v>102000</v>
      </c>
      <c r="AC37" s="24">
        <v>104000</v>
      </c>
      <c r="AD37" s="24">
        <v>104000</v>
      </c>
      <c r="AE37" s="24">
        <v>102000</v>
      </c>
      <c r="AF37" s="24">
        <v>100500</v>
      </c>
      <c r="AG37" s="24">
        <v>100500</v>
      </c>
      <c r="AH37" s="24">
        <v>101000</v>
      </c>
      <c r="AI37" s="24">
        <v>99000</v>
      </c>
      <c r="AJ37" s="25">
        <v>4.5999999999999996</v>
      </c>
      <c r="AK37" s="25">
        <v>7.1</v>
      </c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8">
        <f t="shared" ref="AX37:AX68" si="51">MATCH(SMALL(P36:S36,2),P36:S36,0)</f>
        <v>3</v>
      </c>
      <c r="AY37" s="8">
        <f t="shared" ref="AY37:AY68" si="52">MATCH(SMALL(P36:S36,1),P36:S36,0)</f>
        <v>1</v>
      </c>
      <c r="AZ37" s="16" t="str">
        <f t="shared" si="16"/>
        <v>∆(3-1)</v>
      </c>
      <c r="BA37" s="17">
        <f t="shared" ref="BA37:BA68" ca="1" si="53">-OFFSET($O36,,AX37)+OFFSET($O36,,AY37)</f>
        <v>-10000</v>
      </c>
      <c r="BB37" s="17">
        <f t="shared" ref="BB37:BB68" ca="1" si="54">-OFFSET($W36,,AX37)+OFFSET($W36,,AY37)</f>
        <v>2300</v>
      </c>
      <c r="BC37" s="17">
        <f t="shared" ca="1" si="17"/>
        <v>2000</v>
      </c>
      <c r="BD37" s="17" t="e">
        <f>#REF!</f>
        <v>#REF!</v>
      </c>
      <c r="BE37" s="17">
        <f t="shared" ca="1" si="18"/>
        <v>-10000</v>
      </c>
      <c r="BF37" s="17">
        <f t="shared" ca="1" si="19"/>
        <v>2300</v>
      </c>
      <c r="BG37" s="17">
        <f t="shared" ca="1" si="20"/>
        <v>2300</v>
      </c>
      <c r="BH37" s="17">
        <f t="shared" ca="1" si="21"/>
        <v>2300</v>
      </c>
      <c r="BI37" s="17" t="e">
        <f t="shared" si="22"/>
        <v>#REF!</v>
      </c>
      <c r="BJ37" s="17" t="e">
        <f t="shared" si="23"/>
        <v>#REF!</v>
      </c>
      <c r="BK37" s="17" t="e">
        <f t="shared" si="24"/>
        <v>#REF!</v>
      </c>
      <c r="BL37" s="17" t="e">
        <f t="shared" si="25"/>
        <v>#REF!</v>
      </c>
      <c r="BM37" s="18" t="e">
        <f t="shared" ca="1" si="26"/>
        <v>#VALUE!</v>
      </c>
      <c r="BN37" s="19" t="e">
        <f ca="1">IF(BM37&gt;=#REF!/100,"Yes","No")</f>
        <v>#VALUE!</v>
      </c>
      <c r="BO37" s="20">
        <f t="shared" ref="BO37:BO68" si="55">MATCH(SMALL(P36:S36,3),P36:S36,0)</f>
        <v>2</v>
      </c>
      <c r="BP37" s="20" t="e">
        <f t="shared" ca="1" si="27"/>
        <v>#VALUE!</v>
      </c>
      <c r="BQ37" s="16" t="e">
        <f t="shared" ca="1" si="28"/>
        <v>#VALUE!</v>
      </c>
      <c r="BR37" s="17" t="e">
        <f t="shared" ref="BR37:BR68" ca="1" si="56">-OFFSET($O36,,BO37)+OFFSET($O36,,BP37)</f>
        <v>#VALUE!</v>
      </c>
      <c r="BS37" s="17" t="e">
        <f t="shared" ref="BS37:BS68" ca="1" si="57">-OFFSET($W36,,BO37)+OFFSET($W36,,BP37)</f>
        <v>#VALUE!</v>
      </c>
      <c r="BT37" s="17" t="e">
        <f t="shared" ca="1" si="29"/>
        <v>#VALUE!</v>
      </c>
      <c r="BU37" s="17" t="e">
        <f>#REF!</f>
        <v>#REF!</v>
      </c>
      <c r="BV37" s="17" t="e">
        <f t="shared" ca="1" si="30"/>
        <v>#VALUE!</v>
      </c>
      <c r="BW37" s="17" t="e">
        <f t="shared" ca="1" si="31"/>
        <v>#VALUE!</v>
      </c>
      <c r="BX37" s="17" t="e">
        <f t="shared" ca="1" si="32"/>
        <v>#VALUE!</v>
      </c>
      <c r="BY37" s="17" t="e">
        <f t="shared" ca="1" si="33"/>
        <v>#VALUE!</v>
      </c>
      <c r="BZ37" s="17" t="e">
        <f t="shared" si="34"/>
        <v>#REF!</v>
      </c>
      <c r="CA37" s="17" t="e">
        <f t="shared" si="35"/>
        <v>#REF!</v>
      </c>
      <c r="CB37" s="17" t="e">
        <f t="shared" si="36"/>
        <v>#REF!</v>
      </c>
      <c r="CC37" s="17" t="e">
        <f t="shared" si="37"/>
        <v>#REF!</v>
      </c>
      <c r="CD37" s="18" t="e">
        <f t="shared" ca="1" si="38"/>
        <v>#VALUE!</v>
      </c>
      <c r="CE37" s="19" t="e">
        <f ca="1">IF(CD37&gt;=#REF!/100,"Yes","No")</f>
        <v>#VALUE!</v>
      </c>
      <c r="CF37" s="20">
        <f t="shared" ref="CF37:CF68" si="58">MATCH(SMALL(P36:S36,4),P36:S36,0)</f>
        <v>4</v>
      </c>
      <c r="CG37" s="20" t="e">
        <f t="shared" ca="1" si="39"/>
        <v>#VALUE!</v>
      </c>
      <c r="CH37" s="16" t="e">
        <f t="shared" ca="1" si="40"/>
        <v>#VALUE!</v>
      </c>
      <c r="CI37" s="17" t="e">
        <f t="shared" ref="CI37:CI68" ca="1" si="59">-OFFSET($O36,,CF37)+OFFSET($O36,,CG37)</f>
        <v>#VALUE!</v>
      </c>
      <c r="CJ37" s="17" t="e">
        <f t="shared" ref="CJ37:CJ68" ca="1" si="60">-OFFSET($W36,,CF37)+OFFSET($W36,,CG37)</f>
        <v>#VALUE!</v>
      </c>
      <c r="CK37" s="17" t="e">
        <f t="shared" ca="1" si="41"/>
        <v>#VALUE!</v>
      </c>
      <c r="CL37" s="17" t="e">
        <f>#REF!</f>
        <v>#REF!</v>
      </c>
      <c r="CM37" s="17" t="e">
        <f t="shared" ca="1" si="42"/>
        <v>#VALUE!</v>
      </c>
      <c r="CN37" s="17" t="e">
        <f t="shared" ca="1" si="43"/>
        <v>#VALUE!</v>
      </c>
      <c r="CO37" s="17" t="e">
        <f t="shared" ca="1" si="44"/>
        <v>#VALUE!</v>
      </c>
      <c r="CP37" s="17" t="e">
        <f t="shared" ca="1" si="45"/>
        <v>#VALUE!</v>
      </c>
      <c r="CQ37" s="17" t="e">
        <f t="shared" si="46"/>
        <v>#REF!</v>
      </c>
      <c r="CR37" s="17" t="e">
        <f t="shared" si="47"/>
        <v>#REF!</v>
      </c>
      <c r="CS37" s="17" t="e">
        <f t="shared" si="48"/>
        <v>#REF!</v>
      </c>
      <c r="CT37" s="17" t="e">
        <f t="shared" si="49"/>
        <v>#REF!</v>
      </c>
      <c r="CU37" s="18" t="e">
        <f t="shared" ca="1" si="50"/>
        <v>#VALUE!</v>
      </c>
      <c r="CV37" s="19" t="e">
        <f ca="1">IF(CU37&gt;=#REF!/100,"Yes","No")</f>
        <v>#VALUE!</v>
      </c>
    </row>
    <row r="38" spans="1:100" x14ac:dyDescent="0.25">
      <c r="A38" t="s">
        <v>96</v>
      </c>
      <c r="B38" t="s">
        <v>97</v>
      </c>
      <c r="C38">
        <v>115204005</v>
      </c>
      <c r="D38" t="str">
        <f t="shared" si="5"/>
        <v>Ayar, Metin Can-115204005</v>
      </c>
      <c r="E38" s="22">
        <v>5</v>
      </c>
      <c r="F38" s="22">
        <v>1</v>
      </c>
      <c r="G38" s="22">
        <v>8</v>
      </c>
      <c r="H38" s="22">
        <v>8356234</v>
      </c>
      <c r="I38" s="22">
        <v>2135875</v>
      </c>
      <c r="J38" s="22">
        <v>4601873</v>
      </c>
      <c r="K38" s="22">
        <v>2736192</v>
      </c>
      <c r="L38" s="22">
        <v>100000</v>
      </c>
      <c r="M38" s="22">
        <v>108700</v>
      </c>
      <c r="N38" s="22">
        <v>117700</v>
      </c>
      <c r="O38" s="22">
        <v>125700</v>
      </c>
      <c r="P38" s="22">
        <v>100000</v>
      </c>
      <c r="Q38" s="22">
        <v>117700</v>
      </c>
      <c r="R38" s="22">
        <v>125700</v>
      </c>
      <c r="S38" s="22">
        <v>108700</v>
      </c>
      <c r="T38" s="24">
        <v>27000</v>
      </c>
      <c r="U38" s="22">
        <v>26534</v>
      </c>
      <c r="V38" s="22">
        <v>24334</v>
      </c>
      <c r="W38" s="22">
        <v>22334</v>
      </c>
      <c r="X38" s="22">
        <v>29034</v>
      </c>
      <c r="Y38" s="22">
        <v>24334</v>
      </c>
      <c r="Z38" s="22">
        <v>22334</v>
      </c>
      <c r="AA38" s="22">
        <v>26534</v>
      </c>
      <c r="AB38" s="24">
        <v>90000</v>
      </c>
      <c r="AC38" s="24">
        <v>89000</v>
      </c>
      <c r="AD38" s="24">
        <v>92000</v>
      </c>
      <c r="AE38" s="24">
        <v>96000</v>
      </c>
      <c r="AF38" s="24">
        <v>87500</v>
      </c>
      <c r="AG38" s="24">
        <v>87500</v>
      </c>
      <c r="AH38" s="24">
        <v>89000</v>
      </c>
      <c r="AI38" s="24">
        <v>93000</v>
      </c>
      <c r="AJ38" s="25">
        <v>2.6</v>
      </c>
      <c r="AK38" s="25">
        <v>8.8000000000000007</v>
      </c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8">
        <f t="shared" si="51"/>
        <v>3</v>
      </c>
      <c r="AY38" s="8">
        <f t="shared" si="52"/>
        <v>1</v>
      </c>
      <c r="AZ38" s="13" t="str">
        <f t="shared" si="16"/>
        <v>∆(3-1)</v>
      </c>
      <c r="BA38" s="10">
        <f t="shared" ca="1" si="53"/>
        <v>-9300</v>
      </c>
      <c r="BB38" s="10">
        <f t="shared" ca="1" si="54"/>
        <v>2400</v>
      </c>
      <c r="BC38" s="10">
        <f t="shared" ca="1" si="17"/>
        <v>1860</v>
      </c>
      <c r="BD38" s="10" t="e">
        <f>#REF!</f>
        <v>#REF!</v>
      </c>
      <c r="BE38" s="10">
        <f t="shared" ca="1" si="18"/>
        <v>-9300</v>
      </c>
      <c r="BF38" s="10">
        <f t="shared" ca="1" si="19"/>
        <v>2400</v>
      </c>
      <c r="BG38" s="10">
        <f t="shared" ca="1" si="20"/>
        <v>2400</v>
      </c>
      <c r="BH38" s="10">
        <f t="shared" ca="1" si="21"/>
        <v>2400</v>
      </c>
      <c r="BI38" s="10" t="e">
        <f t="shared" si="22"/>
        <v>#REF!</v>
      </c>
      <c r="BJ38" s="10" t="e">
        <f t="shared" si="23"/>
        <v>#REF!</v>
      </c>
      <c r="BK38" s="10" t="e">
        <f t="shared" si="24"/>
        <v>#REF!</v>
      </c>
      <c r="BL38" s="10" t="e">
        <f t="shared" si="25"/>
        <v>#REF!</v>
      </c>
      <c r="BM38" s="14" t="e">
        <f t="shared" ca="1" si="26"/>
        <v>#VALUE!</v>
      </c>
      <c r="BN38" s="15" t="e">
        <f ca="1">IF(BM38&gt;=#REF!/100,"Yes","No")</f>
        <v>#VALUE!</v>
      </c>
      <c r="BO38" s="6">
        <f t="shared" si="55"/>
        <v>4</v>
      </c>
      <c r="BP38" s="6" t="e">
        <f t="shared" ca="1" si="27"/>
        <v>#VALUE!</v>
      </c>
      <c r="BQ38" s="13" t="e">
        <f t="shared" ca="1" si="28"/>
        <v>#VALUE!</v>
      </c>
      <c r="BR38" s="10" t="e">
        <f t="shared" ca="1" si="56"/>
        <v>#VALUE!</v>
      </c>
      <c r="BS38" s="10" t="e">
        <f t="shared" ca="1" si="57"/>
        <v>#VALUE!</v>
      </c>
      <c r="BT38" s="10" t="e">
        <f t="shared" ca="1" si="29"/>
        <v>#VALUE!</v>
      </c>
      <c r="BU38" s="10" t="e">
        <f>#REF!</f>
        <v>#REF!</v>
      </c>
      <c r="BV38" s="10" t="e">
        <f t="shared" ca="1" si="30"/>
        <v>#VALUE!</v>
      </c>
      <c r="BW38" s="10" t="e">
        <f t="shared" ca="1" si="31"/>
        <v>#VALUE!</v>
      </c>
      <c r="BX38" s="10" t="e">
        <f t="shared" ca="1" si="32"/>
        <v>#VALUE!</v>
      </c>
      <c r="BY38" s="10" t="e">
        <f t="shared" ca="1" si="33"/>
        <v>#VALUE!</v>
      </c>
      <c r="BZ38" s="10" t="e">
        <f t="shared" si="34"/>
        <v>#REF!</v>
      </c>
      <c r="CA38" s="10" t="e">
        <f t="shared" si="35"/>
        <v>#REF!</v>
      </c>
      <c r="CB38" s="10" t="e">
        <f t="shared" si="36"/>
        <v>#REF!</v>
      </c>
      <c r="CC38" s="10" t="e">
        <f t="shared" si="37"/>
        <v>#REF!</v>
      </c>
      <c r="CD38" s="14" t="e">
        <f t="shared" ca="1" si="38"/>
        <v>#VALUE!</v>
      </c>
      <c r="CE38" s="15" t="e">
        <f ca="1">IF(CD38&gt;=#REF!/100,"Yes","No")</f>
        <v>#VALUE!</v>
      </c>
      <c r="CF38" s="6">
        <f t="shared" si="58"/>
        <v>2</v>
      </c>
      <c r="CG38" s="6" t="e">
        <f t="shared" ca="1" si="39"/>
        <v>#VALUE!</v>
      </c>
      <c r="CH38" s="13" t="e">
        <f t="shared" ca="1" si="40"/>
        <v>#VALUE!</v>
      </c>
      <c r="CI38" s="10" t="e">
        <f t="shared" ca="1" si="59"/>
        <v>#VALUE!</v>
      </c>
      <c r="CJ38" s="10" t="e">
        <f t="shared" ca="1" si="60"/>
        <v>#VALUE!</v>
      </c>
      <c r="CK38" s="10" t="e">
        <f t="shared" ca="1" si="41"/>
        <v>#VALUE!</v>
      </c>
      <c r="CL38" s="10" t="e">
        <f>#REF!</f>
        <v>#REF!</v>
      </c>
      <c r="CM38" s="10" t="e">
        <f t="shared" ca="1" si="42"/>
        <v>#VALUE!</v>
      </c>
      <c r="CN38" s="10" t="e">
        <f t="shared" ca="1" si="43"/>
        <v>#VALUE!</v>
      </c>
      <c r="CO38" s="10" t="e">
        <f t="shared" ca="1" si="44"/>
        <v>#VALUE!</v>
      </c>
      <c r="CP38" s="10" t="e">
        <f t="shared" ca="1" si="45"/>
        <v>#VALUE!</v>
      </c>
      <c r="CQ38" s="10" t="e">
        <f t="shared" si="46"/>
        <v>#REF!</v>
      </c>
      <c r="CR38" s="10" t="e">
        <f t="shared" si="47"/>
        <v>#REF!</v>
      </c>
      <c r="CS38" s="10" t="e">
        <f t="shared" si="48"/>
        <v>#REF!</v>
      </c>
      <c r="CT38" s="10" t="e">
        <f t="shared" si="49"/>
        <v>#REF!</v>
      </c>
      <c r="CU38" s="14" t="e">
        <f t="shared" ca="1" si="50"/>
        <v>#VALUE!</v>
      </c>
      <c r="CV38" s="15" t="e">
        <f ca="1">IF(CU38&gt;=#REF!/100,"Yes","No")</f>
        <v>#VALUE!</v>
      </c>
    </row>
    <row r="39" spans="1:100" x14ac:dyDescent="0.25">
      <c r="A39" t="s">
        <v>98</v>
      </c>
      <c r="B39" t="s">
        <v>99</v>
      </c>
      <c r="C39">
        <v>115202123</v>
      </c>
      <c r="D39" t="str">
        <f t="shared" si="5"/>
        <v>Aydın, Doğancan-115202123</v>
      </c>
      <c r="E39" s="22">
        <v>5</v>
      </c>
      <c r="F39" s="22">
        <v>3</v>
      </c>
      <c r="G39" s="22">
        <v>15</v>
      </c>
      <c r="H39" s="22">
        <v>2284146</v>
      </c>
      <c r="I39" s="22">
        <v>814306</v>
      </c>
      <c r="J39" s="22">
        <v>1396877</v>
      </c>
      <c r="K39" s="22">
        <v>1869244</v>
      </c>
      <c r="L39" s="22">
        <v>100000</v>
      </c>
      <c r="M39" s="22">
        <v>109200</v>
      </c>
      <c r="N39" s="22">
        <v>117300</v>
      </c>
      <c r="O39" s="22">
        <v>125300</v>
      </c>
      <c r="P39" s="22">
        <v>100000</v>
      </c>
      <c r="Q39" s="22">
        <v>125300</v>
      </c>
      <c r="R39" s="22">
        <v>117300</v>
      </c>
      <c r="S39" s="22">
        <v>109200</v>
      </c>
      <c r="T39" s="24">
        <v>24000</v>
      </c>
      <c r="U39" s="22">
        <v>27035</v>
      </c>
      <c r="V39" s="22">
        <v>25035</v>
      </c>
      <c r="W39" s="22">
        <v>22535</v>
      </c>
      <c r="X39" s="22">
        <v>29035</v>
      </c>
      <c r="Y39" s="22">
        <v>22535</v>
      </c>
      <c r="Z39" s="22">
        <v>25035</v>
      </c>
      <c r="AA39" s="22">
        <v>27035</v>
      </c>
      <c r="AB39" s="24">
        <v>108000</v>
      </c>
      <c r="AC39" s="24">
        <v>109000</v>
      </c>
      <c r="AD39" s="24">
        <v>110000</v>
      </c>
      <c r="AE39" s="24">
        <v>110000</v>
      </c>
      <c r="AF39" s="24">
        <v>105500</v>
      </c>
      <c r="AG39" s="24">
        <v>106000</v>
      </c>
      <c r="AH39" s="24">
        <v>108000</v>
      </c>
      <c r="AI39" s="24">
        <v>108000</v>
      </c>
      <c r="AJ39" s="25">
        <v>4</v>
      </c>
      <c r="AK39" s="25">
        <v>9.4</v>
      </c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8">
        <f t="shared" si="51"/>
        <v>4</v>
      </c>
      <c r="AY39" s="8">
        <f t="shared" si="52"/>
        <v>1</v>
      </c>
      <c r="AZ39" s="16" t="str">
        <f t="shared" si="16"/>
        <v>∆(4-1)</v>
      </c>
      <c r="BA39" s="17">
        <f t="shared" ca="1" si="53"/>
        <v>-8700</v>
      </c>
      <c r="BB39" s="17">
        <f t="shared" ca="1" si="54"/>
        <v>2500</v>
      </c>
      <c r="BC39" s="17">
        <f t="shared" ca="1" si="17"/>
        <v>1740</v>
      </c>
      <c r="BD39" s="17" t="e">
        <f>#REF!</f>
        <v>#REF!</v>
      </c>
      <c r="BE39" s="17">
        <f t="shared" ca="1" si="18"/>
        <v>-8700</v>
      </c>
      <c r="BF39" s="17">
        <f t="shared" ca="1" si="19"/>
        <v>2500</v>
      </c>
      <c r="BG39" s="17">
        <f t="shared" ca="1" si="20"/>
        <v>2500</v>
      </c>
      <c r="BH39" s="17">
        <f t="shared" ca="1" si="21"/>
        <v>2500</v>
      </c>
      <c r="BI39" s="17" t="e">
        <f t="shared" si="22"/>
        <v>#REF!</v>
      </c>
      <c r="BJ39" s="17" t="e">
        <f t="shared" si="23"/>
        <v>#REF!</v>
      </c>
      <c r="BK39" s="17" t="e">
        <f t="shared" si="24"/>
        <v>#REF!</v>
      </c>
      <c r="BL39" s="17" t="e">
        <f t="shared" si="25"/>
        <v>#REF!</v>
      </c>
      <c r="BM39" s="18" t="e">
        <f t="shared" ca="1" si="26"/>
        <v>#VALUE!</v>
      </c>
      <c r="BN39" s="19" t="e">
        <f ca="1">IF(BM39&gt;=#REF!/100,"Yes","No")</f>
        <v>#VALUE!</v>
      </c>
      <c r="BO39" s="20">
        <f t="shared" si="55"/>
        <v>2</v>
      </c>
      <c r="BP39" s="20" t="e">
        <f t="shared" ca="1" si="27"/>
        <v>#VALUE!</v>
      </c>
      <c r="BQ39" s="16" t="e">
        <f t="shared" ca="1" si="28"/>
        <v>#VALUE!</v>
      </c>
      <c r="BR39" s="17" t="e">
        <f t="shared" ca="1" si="56"/>
        <v>#VALUE!</v>
      </c>
      <c r="BS39" s="17" t="e">
        <f t="shared" ca="1" si="57"/>
        <v>#VALUE!</v>
      </c>
      <c r="BT39" s="17" t="e">
        <f t="shared" ca="1" si="29"/>
        <v>#VALUE!</v>
      </c>
      <c r="BU39" s="17" t="e">
        <f>#REF!</f>
        <v>#REF!</v>
      </c>
      <c r="BV39" s="17" t="e">
        <f t="shared" ca="1" si="30"/>
        <v>#VALUE!</v>
      </c>
      <c r="BW39" s="17" t="e">
        <f t="shared" ca="1" si="31"/>
        <v>#VALUE!</v>
      </c>
      <c r="BX39" s="17" t="e">
        <f t="shared" ca="1" si="32"/>
        <v>#VALUE!</v>
      </c>
      <c r="BY39" s="17" t="e">
        <f t="shared" ca="1" si="33"/>
        <v>#VALUE!</v>
      </c>
      <c r="BZ39" s="17" t="e">
        <f t="shared" si="34"/>
        <v>#REF!</v>
      </c>
      <c r="CA39" s="17" t="e">
        <f t="shared" si="35"/>
        <v>#REF!</v>
      </c>
      <c r="CB39" s="17" t="e">
        <f t="shared" si="36"/>
        <v>#REF!</v>
      </c>
      <c r="CC39" s="17" t="e">
        <f t="shared" si="37"/>
        <v>#REF!</v>
      </c>
      <c r="CD39" s="18" t="e">
        <f t="shared" ca="1" si="38"/>
        <v>#VALUE!</v>
      </c>
      <c r="CE39" s="19" t="e">
        <f ca="1">IF(CD39&gt;=#REF!/100,"Yes","No")</f>
        <v>#VALUE!</v>
      </c>
      <c r="CF39" s="20">
        <f t="shared" si="58"/>
        <v>3</v>
      </c>
      <c r="CG39" s="20" t="e">
        <f t="shared" ca="1" si="39"/>
        <v>#VALUE!</v>
      </c>
      <c r="CH39" s="16" t="e">
        <f t="shared" ca="1" si="40"/>
        <v>#VALUE!</v>
      </c>
      <c r="CI39" s="17" t="e">
        <f t="shared" ca="1" si="59"/>
        <v>#VALUE!</v>
      </c>
      <c r="CJ39" s="17" t="e">
        <f t="shared" ca="1" si="60"/>
        <v>#VALUE!</v>
      </c>
      <c r="CK39" s="17" t="e">
        <f t="shared" ca="1" si="41"/>
        <v>#VALUE!</v>
      </c>
      <c r="CL39" s="17" t="e">
        <f>#REF!</f>
        <v>#REF!</v>
      </c>
      <c r="CM39" s="17" t="e">
        <f t="shared" ca="1" si="42"/>
        <v>#VALUE!</v>
      </c>
      <c r="CN39" s="17" t="e">
        <f t="shared" ca="1" si="43"/>
        <v>#VALUE!</v>
      </c>
      <c r="CO39" s="17" t="e">
        <f t="shared" ca="1" si="44"/>
        <v>#VALUE!</v>
      </c>
      <c r="CP39" s="17" t="e">
        <f t="shared" ca="1" si="45"/>
        <v>#VALUE!</v>
      </c>
      <c r="CQ39" s="17" t="e">
        <f t="shared" si="46"/>
        <v>#REF!</v>
      </c>
      <c r="CR39" s="17" t="e">
        <f t="shared" si="47"/>
        <v>#REF!</v>
      </c>
      <c r="CS39" s="17" t="e">
        <f t="shared" si="48"/>
        <v>#REF!</v>
      </c>
      <c r="CT39" s="17" t="e">
        <f t="shared" si="49"/>
        <v>#REF!</v>
      </c>
      <c r="CU39" s="18" t="e">
        <f t="shared" ca="1" si="50"/>
        <v>#VALUE!</v>
      </c>
      <c r="CV39" s="19" t="e">
        <f ca="1">IF(CU39&gt;=#REF!/100,"Yes","No")</f>
        <v>#VALUE!</v>
      </c>
    </row>
    <row r="40" spans="1:100" x14ac:dyDescent="0.25">
      <c r="A40" t="s">
        <v>98</v>
      </c>
      <c r="B40" t="s">
        <v>100</v>
      </c>
      <c r="C40">
        <v>112205018</v>
      </c>
      <c r="D40" t="str">
        <f t="shared" si="5"/>
        <v>Aydın, Hamza-112205018</v>
      </c>
      <c r="E40" s="22">
        <v>5</v>
      </c>
      <c r="F40" s="22">
        <v>3</v>
      </c>
      <c r="G40" s="22">
        <v>15</v>
      </c>
      <c r="H40" s="22">
        <v>5811771</v>
      </c>
      <c r="I40" s="22">
        <v>7064382</v>
      </c>
      <c r="J40" s="22">
        <v>511512</v>
      </c>
      <c r="K40" s="22">
        <v>3544317</v>
      </c>
      <c r="L40" s="22">
        <v>100000</v>
      </c>
      <c r="M40" s="22">
        <v>109300</v>
      </c>
      <c r="N40" s="22">
        <v>117400</v>
      </c>
      <c r="O40" s="22">
        <v>125600</v>
      </c>
      <c r="P40" s="22">
        <v>109300</v>
      </c>
      <c r="Q40" s="22">
        <v>100000</v>
      </c>
      <c r="R40" s="22">
        <v>125600</v>
      </c>
      <c r="S40" s="22">
        <v>117400</v>
      </c>
      <c r="T40" s="24">
        <v>28000</v>
      </c>
      <c r="U40" s="22">
        <v>26736</v>
      </c>
      <c r="V40" s="22">
        <v>24636</v>
      </c>
      <c r="W40" s="22">
        <v>22636</v>
      </c>
      <c r="X40" s="22">
        <v>26736</v>
      </c>
      <c r="Y40" s="22">
        <v>29036</v>
      </c>
      <c r="Z40" s="22">
        <v>22636</v>
      </c>
      <c r="AA40" s="22">
        <v>24636</v>
      </c>
      <c r="AB40" s="24">
        <v>96000</v>
      </c>
      <c r="AC40" s="24">
        <v>93000</v>
      </c>
      <c r="AD40" s="24">
        <v>93000</v>
      </c>
      <c r="AE40" s="24">
        <v>94000</v>
      </c>
      <c r="AF40" s="24">
        <v>92000</v>
      </c>
      <c r="AG40" s="24">
        <v>91500</v>
      </c>
      <c r="AH40" s="24">
        <v>90500</v>
      </c>
      <c r="AI40" s="24">
        <v>91000</v>
      </c>
      <c r="AJ40" s="25">
        <v>4.9000000000000004</v>
      </c>
      <c r="AK40" s="25">
        <v>7.7</v>
      </c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8">
        <f t="shared" si="51"/>
        <v>4</v>
      </c>
      <c r="AY40" s="8">
        <f t="shared" si="52"/>
        <v>1</v>
      </c>
      <c r="AZ40" s="13" t="str">
        <f t="shared" si="16"/>
        <v>∆(4-1)</v>
      </c>
      <c r="BA40" s="10">
        <f t="shared" ca="1" si="53"/>
        <v>-9200</v>
      </c>
      <c r="BB40" s="10">
        <f t="shared" ca="1" si="54"/>
        <v>2000</v>
      </c>
      <c r="BC40" s="10">
        <f t="shared" ca="1" si="17"/>
        <v>1840</v>
      </c>
      <c r="BD40" s="10" t="e">
        <f>#REF!</f>
        <v>#REF!</v>
      </c>
      <c r="BE40" s="10">
        <f t="shared" ca="1" si="18"/>
        <v>-9200</v>
      </c>
      <c r="BF40" s="10">
        <f t="shared" ca="1" si="19"/>
        <v>2000</v>
      </c>
      <c r="BG40" s="10">
        <f t="shared" ca="1" si="20"/>
        <v>2000</v>
      </c>
      <c r="BH40" s="10">
        <f t="shared" ca="1" si="21"/>
        <v>2000</v>
      </c>
      <c r="BI40" s="10" t="e">
        <f t="shared" si="22"/>
        <v>#REF!</v>
      </c>
      <c r="BJ40" s="10" t="e">
        <f t="shared" si="23"/>
        <v>#REF!</v>
      </c>
      <c r="BK40" s="10" t="e">
        <f t="shared" si="24"/>
        <v>#REF!</v>
      </c>
      <c r="BL40" s="10" t="e">
        <f t="shared" si="25"/>
        <v>#REF!</v>
      </c>
      <c r="BM40" s="14" t="e">
        <f t="shared" ca="1" si="26"/>
        <v>#VALUE!</v>
      </c>
      <c r="BN40" s="15" t="e">
        <f ca="1">IF(BM40&gt;=#REF!/100,"Yes","No")</f>
        <v>#VALUE!</v>
      </c>
      <c r="BO40" s="6">
        <f t="shared" si="55"/>
        <v>3</v>
      </c>
      <c r="BP40" s="6" t="e">
        <f t="shared" ca="1" si="27"/>
        <v>#VALUE!</v>
      </c>
      <c r="BQ40" s="13" t="e">
        <f t="shared" ca="1" si="28"/>
        <v>#VALUE!</v>
      </c>
      <c r="BR40" s="10" t="e">
        <f t="shared" ca="1" si="56"/>
        <v>#VALUE!</v>
      </c>
      <c r="BS40" s="10" t="e">
        <f t="shared" ca="1" si="57"/>
        <v>#VALUE!</v>
      </c>
      <c r="BT40" s="10" t="e">
        <f t="shared" ca="1" si="29"/>
        <v>#VALUE!</v>
      </c>
      <c r="BU40" s="10" t="e">
        <f>#REF!</f>
        <v>#REF!</v>
      </c>
      <c r="BV40" s="10" t="e">
        <f t="shared" ca="1" si="30"/>
        <v>#VALUE!</v>
      </c>
      <c r="BW40" s="10" t="e">
        <f t="shared" ca="1" si="31"/>
        <v>#VALUE!</v>
      </c>
      <c r="BX40" s="10" t="e">
        <f t="shared" ca="1" si="32"/>
        <v>#VALUE!</v>
      </c>
      <c r="BY40" s="10" t="e">
        <f t="shared" ca="1" si="33"/>
        <v>#VALUE!</v>
      </c>
      <c r="BZ40" s="10" t="e">
        <f t="shared" si="34"/>
        <v>#REF!</v>
      </c>
      <c r="CA40" s="10" t="e">
        <f t="shared" si="35"/>
        <v>#REF!</v>
      </c>
      <c r="CB40" s="10" t="e">
        <f t="shared" si="36"/>
        <v>#REF!</v>
      </c>
      <c r="CC40" s="10" t="e">
        <f t="shared" si="37"/>
        <v>#REF!</v>
      </c>
      <c r="CD40" s="14" t="e">
        <f t="shared" ca="1" si="38"/>
        <v>#VALUE!</v>
      </c>
      <c r="CE40" s="15" t="e">
        <f ca="1">IF(CD40&gt;=#REF!/100,"Yes","No")</f>
        <v>#VALUE!</v>
      </c>
      <c r="CF40" s="6">
        <f t="shared" si="58"/>
        <v>2</v>
      </c>
      <c r="CG40" s="6" t="e">
        <f t="shared" ca="1" si="39"/>
        <v>#VALUE!</v>
      </c>
      <c r="CH40" s="13" t="e">
        <f t="shared" ca="1" si="40"/>
        <v>#VALUE!</v>
      </c>
      <c r="CI40" s="10" t="e">
        <f t="shared" ca="1" si="59"/>
        <v>#VALUE!</v>
      </c>
      <c r="CJ40" s="10" t="e">
        <f t="shared" ca="1" si="60"/>
        <v>#VALUE!</v>
      </c>
      <c r="CK40" s="10" t="e">
        <f t="shared" ca="1" si="41"/>
        <v>#VALUE!</v>
      </c>
      <c r="CL40" s="10" t="e">
        <f>#REF!</f>
        <v>#REF!</v>
      </c>
      <c r="CM40" s="10" t="e">
        <f t="shared" ca="1" si="42"/>
        <v>#VALUE!</v>
      </c>
      <c r="CN40" s="10" t="e">
        <f t="shared" ca="1" si="43"/>
        <v>#VALUE!</v>
      </c>
      <c r="CO40" s="10" t="e">
        <f t="shared" ca="1" si="44"/>
        <v>#VALUE!</v>
      </c>
      <c r="CP40" s="10" t="e">
        <f t="shared" ca="1" si="45"/>
        <v>#VALUE!</v>
      </c>
      <c r="CQ40" s="10" t="e">
        <f t="shared" si="46"/>
        <v>#REF!</v>
      </c>
      <c r="CR40" s="10" t="e">
        <f t="shared" si="47"/>
        <v>#REF!</v>
      </c>
      <c r="CS40" s="10" t="e">
        <f t="shared" si="48"/>
        <v>#REF!</v>
      </c>
      <c r="CT40" s="10" t="e">
        <f t="shared" si="49"/>
        <v>#REF!</v>
      </c>
      <c r="CU40" s="14" t="e">
        <f t="shared" ca="1" si="50"/>
        <v>#VALUE!</v>
      </c>
      <c r="CV40" s="15" t="e">
        <f ca="1">IF(CU40&gt;=#REF!/100,"Yes","No")</f>
        <v>#VALUE!</v>
      </c>
    </row>
    <row r="41" spans="1:100" x14ac:dyDescent="0.25">
      <c r="A41" t="s">
        <v>98</v>
      </c>
      <c r="B41" t="s">
        <v>101</v>
      </c>
      <c r="C41">
        <v>113200075</v>
      </c>
      <c r="D41" t="str">
        <f t="shared" si="5"/>
        <v>Aydın, Munzur Onur-113200075</v>
      </c>
      <c r="E41" s="22">
        <v>7</v>
      </c>
      <c r="F41" s="22">
        <v>1</v>
      </c>
      <c r="G41" s="22">
        <v>8</v>
      </c>
      <c r="H41" s="22">
        <v>1558698</v>
      </c>
      <c r="I41" s="22">
        <v>3782808</v>
      </c>
      <c r="J41" s="22">
        <v>7932855</v>
      </c>
      <c r="K41" s="22">
        <v>80474</v>
      </c>
      <c r="L41" s="22">
        <v>100000</v>
      </c>
      <c r="M41" s="22">
        <v>109300</v>
      </c>
      <c r="N41" s="22">
        <v>117800</v>
      </c>
      <c r="O41" s="22">
        <v>127600</v>
      </c>
      <c r="P41" s="22">
        <v>117800</v>
      </c>
      <c r="Q41" s="22">
        <v>109300</v>
      </c>
      <c r="R41" s="22">
        <v>100000</v>
      </c>
      <c r="S41" s="22">
        <v>127600</v>
      </c>
      <c r="T41" s="24">
        <v>23000</v>
      </c>
      <c r="U41" s="22">
        <v>27037</v>
      </c>
      <c r="V41" s="22">
        <v>24637</v>
      </c>
      <c r="W41" s="22">
        <v>22537</v>
      </c>
      <c r="X41" s="22">
        <v>24637</v>
      </c>
      <c r="Y41" s="22">
        <v>27037</v>
      </c>
      <c r="Z41" s="22">
        <v>29037</v>
      </c>
      <c r="AA41" s="22">
        <v>22537</v>
      </c>
      <c r="AB41" s="24">
        <v>97000</v>
      </c>
      <c r="AC41" s="24">
        <v>95000</v>
      </c>
      <c r="AD41" s="24">
        <v>96000</v>
      </c>
      <c r="AE41" s="24">
        <v>95000</v>
      </c>
      <c r="AF41" s="24">
        <v>94000</v>
      </c>
      <c r="AG41" s="24">
        <v>92000</v>
      </c>
      <c r="AH41" s="24">
        <v>94500</v>
      </c>
      <c r="AI41" s="24">
        <v>91000</v>
      </c>
      <c r="AJ41" s="25">
        <v>4.7</v>
      </c>
      <c r="AK41" s="25">
        <v>6.5</v>
      </c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8">
        <f t="shared" si="51"/>
        <v>1</v>
      </c>
      <c r="AY41" s="8">
        <f t="shared" si="52"/>
        <v>2</v>
      </c>
      <c r="AZ41" s="16" t="str">
        <f t="shared" si="16"/>
        <v>∆(1-2)</v>
      </c>
      <c r="BA41" s="17">
        <f t="shared" ca="1" si="53"/>
        <v>-9300</v>
      </c>
      <c r="BB41" s="17">
        <f t="shared" ca="1" si="54"/>
        <v>2300</v>
      </c>
      <c r="BC41" s="17">
        <f t="shared" ca="1" si="17"/>
        <v>1860</v>
      </c>
      <c r="BD41" s="17" t="e">
        <f>#REF!</f>
        <v>#REF!</v>
      </c>
      <c r="BE41" s="17">
        <f t="shared" ca="1" si="18"/>
        <v>-9300</v>
      </c>
      <c r="BF41" s="17">
        <f t="shared" ca="1" si="19"/>
        <v>2300</v>
      </c>
      <c r="BG41" s="17">
        <f t="shared" ca="1" si="20"/>
        <v>2300</v>
      </c>
      <c r="BH41" s="17">
        <f t="shared" ca="1" si="21"/>
        <v>2300</v>
      </c>
      <c r="BI41" s="17" t="e">
        <f t="shared" si="22"/>
        <v>#REF!</v>
      </c>
      <c r="BJ41" s="17" t="e">
        <f t="shared" si="23"/>
        <v>#REF!</v>
      </c>
      <c r="BK41" s="17" t="e">
        <f t="shared" si="24"/>
        <v>#REF!</v>
      </c>
      <c r="BL41" s="17" t="e">
        <f t="shared" si="25"/>
        <v>#REF!</v>
      </c>
      <c r="BM41" s="18" t="e">
        <f t="shared" ca="1" si="26"/>
        <v>#VALUE!</v>
      </c>
      <c r="BN41" s="19" t="e">
        <f ca="1">IF(BM41&gt;=#REF!/100,"Yes","No")</f>
        <v>#VALUE!</v>
      </c>
      <c r="BO41" s="20">
        <f t="shared" si="55"/>
        <v>4</v>
      </c>
      <c r="BP41" s="20" t="e">
        <f t="shared" ca="1" si="27"/>
        <v>#VALUE!</v>
      </c>
      <c r="BQ41" s="16" t="e">
        <f t="shared" ca="1" si="28"/>
        <v>#VALUE!</v>
      </c>
      <c r="BR41" s="17" t="e">
        <f t="shared" ca="1" si="56"/>
        <v>#VALUE!</v>
      </c>
      <c r="BS41" s="17" t="e">
        <f t="shared" ca="1" si="57"/>
        <v>#VALUE!</v>
      </c>
      <c r="BT41" s="17" t="e">
        <f t="shared" ca="1" si="29"/>
        <v>#VALUE!</v>
      </c>
      <c r="BU41" s="17" t="e">
        <f>#REF!</f>
        <v>#REF!</v>
      </c>
      <c r="BV41" s="17" t="e">
        <f t="shared" ca="1" si="30"/>
        <v>#VALUE!</v>
      </c>
      <c r="BW41" s="17" t="e">
        <f t="shared" ca="1" si="31"/>
        <v>#VALUE!</v>
      </c>
      <c r="BX41" s="17" t="e">
        <f t="shared" ca="1" si="32"/>
        <v>#VALUE!</v>
      </c>
      <c r="BY41" s="17" t="e">
        <f t="shared" ca="1" si="33"/>
        <v>#VALUE!</v>
      </c>
      <c r="BZ41" s="17" t="e">
        <f t="shared" si="34"/>
        <v>#REF!</v>
      </c>
      <c r="CA41" s="17" t="e">
        <f t="shared" si="35"/>
        <v>#REF!</v>
      </c>
      <c r="CB41" s="17" t="e">
        <f t="shared" si="36"/>
        <v>#REF!</v>
      </c>
      <c r="CC41" s="17" t="e">
        <f t="shared" si="37"/>
        <v>#REF!</v>
      </c>
      <c r="CD41" s="18" t="e">
        <f t="shared" ca="1" si="38"/>
        <v>#VALUE!</v>
      </c>
      <c r="CE41" s="19" t="e">
        <f ca="1">IF(CD41&gt;=#REF!/100,"Yes","No")</f>
        <v>#VALUE!</v>
      </c>
      <c r="CF41" s="20">
        <f t="shared" si="58"/>
        <v>3</v>
      </c>
      <c r="CG41" s="20" t="e">
        <f t="shared" ca="1" si="39"/>
        <v>#VALUE!</v>
      </c>
      <c r="CH41" s="16" t="e">
        <f t="shared" ca="1" si="40"/>
        <v>#VALUE!</v>
      </c>
      <c r="CI41" s="17" t="e">
        <f t="shared" ca="1" si="59"/>
        <v>#VALUE!</v>
      </c>
      <c r="CJ41" s="17" t="e">
        <f t="shared" ca="1" si="60"/>
        <v>#VALUE!</v>
      </c>
      <c r="CK41" s="17" t="e">
        <f t="shared" ca="1" si="41"/>
        <v>#VALUE!</v>
      </c>
      <c r="CL41" s="17" t="e">
        <f>#REF!</f>
        <v>#REF!</v>
      </c>
      <c r="CM41" s="17" t="e">
        <f t="shared" ca="1" si="42"/>
        <v>#VALUE!</v>
      </c>
      <c r="CN41" s="17" t="e">
        <f t="shared" ca="1" si="43"/>
        <v>#VALUE!</v>
      </c>
      <c r="CO41" s="17" t="e">
        <f t="shared" ca="1" si="44"/>
        <v>#VALUE!</v>
      </c>
      <c r="CP41" s="17" t="e">
        <f t="shared" ca="1" si="45"/>
        <v>#VALUE!</v>
      </c>
      <c r="CQ41" s="17" t="e">
        <f t="shared" si="46"/>
        <v>#REF!</v>
      </c>
      <c r="CR41" s="17" t="e">
        <f t="shared" si="47"/>
        <v>#REF!</v>
      </c>
      <c r="CS41" s="17" t="e">
        <f t="shared" si="48"/>
        <v>#REF!</v>
      </c>
      <c r="CT41" s="17" t="e">
        <f t="shared" si="49"/>
        <v>#REF!</v>
      </c>
      <c r="CU41" s="18" t="e">
        <f t="shared" ca="1" si="50"/>
        <v>#VALUE!</v>
      </c>
      <c r="CV41" s="19" t="e">
        <f ca="1">IF(CU41&gt;=#REF!/100,"Yes","No")</f>
        <v>#VALUE!</v>
      </c>
    </row>
    <row r="42" spans="1:100" x14ac:dyDescent="0.25">
      <c r="A42" t="s">
        <v>102</v>
      </c>
      <c r="B42" t="s">
        <v>103</v>
      </c>
      <c r="C42">
        <v>115205018</v>
      </c>
      <c r="D42" t="str">
        <f t="shared" si="5"/>
        <v>Aydoğdu, Tolga-115205018</v>
      </c>
      <c r="E42" s="22">
        <v>4</v>
      </c>
      <c r="F42" s="22">
        <v>3</v>
      </c>
      <c r="G42" s="22">
        <v>15</v>
      </c>
      <c r="H42" s="22">
        <v>5266056</v>
      </c>
      <c r="I42" s="22">
        <v>6849118</v>
      </c>
      <c r="J42" s="22">
        <v>2269427</v>
      </c>
      <c r="K42" s="22">
        <v>2282571</v>
      </c>
      <c r="L42" s="22">
        <v>100000</v>
      </c>
      <c r="M42" s="22">
        <v>109500</v>
      </c>
      <c r="N42" s="22">
        <v>118400</v>
      </c>
      <c r="O42" s="22">
        <v>127500</v>
      </c>
      <c r="P42" s="22">
        <v>109500</v>
      </c>
      <c r="Q42" s="22">
        <v>100000</v>
      </c>
      <c r="R42" s="22">
        <v>127500</v>
      </c>
      <c r="S42" s="22">
        <v>118400</v>
      </c>
      <c r="T42" s="24">
        <v>25000</v>
      </c>
      <c r="U42" s="22">
        <v>26938</v>
      </c>
      <c r="V42" s="22">
        <v>24838</v>
      </c>
      <c r="W42" s="22">
        <v>22338</v>
      </c>
      <c r="X42" s="22">
        <v>26938</v>
      </c>
      <c r="Y42" s="22">
        <v>29038</v>
      </c>
      <c r="Z42" s="22">
        <v>22338</v>
      </c>
      <c r="AA42" s="22">
        <v>24838</v>
      </c>
      <c r="AB42" s="24">
        <v>110000</v>
      </c>
      <c r="AC42" s="24">
        <v>107000</v>
      </c>
      <c r="AD42" s="24">
        <v>104000</v>
      </c>
      <c r="AE42" s="24">
        <v>104000</v>
      </c>
      <c r="AF42" s="24">
        <v>106000</v>
      </c>
      <c r="AG42" s="24">
        <v>104000</v>
      </c>
      <c r="AH42" s="24">
        <v>102000</v>
      </c>
      <c r="AI42" s="24">
        <v>100000</v>
      </c>
      <c r="AJ42" s="25">
        <v>3.3</v>
      </c>
      <c r="AK42" s="25">
        <v>8.6999999999999993</v>
      </c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8">
        <f t="shared" si="51"/>
        <v>2</v>
      </c>
      <c r="AY42" s="8">
        <f t="shared" si="52"/>
        <v>3</v>
      </c>
      <c r="AZ42" s="13" t="str">
        <f t="shared" si="16"/>
        <v>∆(2-3)</v>
      </c>
      <c r="BA42" s="10">
        <f t="shared" ca="1" si="53"/>
        <v>-9300</v>
      </c>
      <c r="BB42" s="10">
        <f t="shared" ca="1" si="54"/>
        <v>2000</v>
      </c>
      <c r="BC42" s="10">
        <f t="shared" ca="1" si="17"/>
        <v>1860</v>
      </c>
      <c r="BD42" s="10" t="e">
        <f>#REF!</f>
        <v>#REF!</v>
      </c>
      <c r="BE42" s="10">
        <f t="shared" ca="1" si="18"/>
        <v>-9300</v>
      </c>
      <c r="BF42" s="10">
        <f t="shared" ca="1" si="19"/>
        <v>2000</v>
      </c>
      <c r="BG42" s="10">
        <f t="shared" ca="1" si="20"/>
        <v>2000</v>
      </c>
      <c r="BH42" s="10">
        <f t="shared" ca="1" si="21"/>
        <v>2000</v>
      </c>
      <c r="BI42" s="10" t="e">
        <f t="shared" si="22"/>
        <v>#REF!</v>
      </c>
      <c r="BJ42" s="10" t="e">
        <f t="shared" si="23"/>
        <v>#REF!</v>
      </c>
      <c r="BK42" s="10" t="e">
        <f t="shared" si="24"/>
        <v>#REF!</v>
      </c>
      <c r="BL42" s="10" t="e">
        <f t="shared" si="25"/>
        <v>#REF!</v>
      </c>
      <c r="BM42" s="14" t="e">
        <f t="shared" ca="1" si="26"/>
        <v>#VALUE!</v>
      </c>
      <c r="BN42" s="15" t="e">
        <f ca="1">IF(BM42&gt;=#REF!/100,"Yes","No")</f>
        <v>#VALUE!</v>
      </c>
      <c r="BO42" s="6">
        <f t="shared" si="55"/>
        <v>1</v>
      </c>
      <c r="BP42" s="6" t="e">
        <f t="shared" ca="1" si="27"/>
        <v>#VALUE!</v>
      </c>
      <c r="BQ42" s="13" t="e">
        <f t="shared" ca="1" si="28"/>
        <v>#VALUE!</v>
      </c>
      <c r="BR42" s="10" t="e">
        <f t="shared" ca="1" si="56"/>
        <v>#VALUE!</v>
      </c>
      <c r="BS42" s="10" t="e">
        <f t="shared" ca="1" si="57"/>
        <v>#VALUE!</v>
      </c>
      <c r="BT42" s="10" t="e">
        <f t="shared" ca="1" si="29"/>
        <v>#VALUE!</v>
      </c>
      <c r="BU42" s="10" t="e">
        <f>#REF!</f>
        <v>#REF!</v>
      </c>
      <c r="BV42" s="10" t="e">
        <f t="shared" ca="1" si="30"/>
        <v>#VALUE!</v>
      </c>
      <c r="BW42" s="10" t="e">
        <f t="shared" ca="1" si="31"/>
        <v>#VALUE!</v>
      </c>
      <c r="BX42" s="10" t="e">
        <f t="shared" ca="1" si="32"/>
        <v>#VALUE!</v>
      </c>
      <c r="BY42" s="10" t="e">
        <f t="shared" ca="1" si="33"/>
        <v>#VALUE!</v>
      </c>
      <c r="BZ42" s="10" t="e">
        <f t="shared" si="34"/>
        <v>#REF!</v>
      </c>
      <c r="CA42" s="10" t="e">
        <f t="shared" si="35"/>
        <v>#REF!</v>
      </c>
      <c r="CB42" s="10" t="e">
        <f t="shared" si="36"/>
        <v>#REF!</v>
      </c>
      <c r="CC42" s="10" t="e">
        <f t="shared" si="37"/>
        <v>#REF!</v>
      </c>
      <c r="CD42" s="14" t="e">
        <f t="shared" ca="1" si="38"/>
        <v>#VALUE!</v>
      </c>
      <c r="CE42" s="15" t="e">
        <f ca="1">IF(CD42&gt;=#REF!/100,"Yes","No")</f>
        <v>#VALUE!</v>
      </c>
      <c r="CF42" s="6">
        <f t="shared" si="58"/>
        <v>4</v>
      </c>
      <c r="CG42" s="6" t="e">
        <f t="shared" ca="1" si="39"/>
        <v>#VALUE!</v>
      </c>
      <c r="CH42" s="13" t="e">
        <f t="shared" ca="1" si="40"/>
        <v>#VALUE!</v>
      </c>
      <c r="CI42" s="10" t="e">
        <f t="shared" ca="1" si="59"/>
        <v>#VALUE!</v>
      </c>
      <c r="CJ42" s="10" t="e">
        <f t="shared" ca="1" si="60"/>
        <v>#VALUE!</v>
      </c>
      <c r="CK42" s="10" t="e">
        <f t="shared" ca="1" si="41"/>
        <v>#VALUE!</v>
      </c>
      <c r="CL42" s="10" t="e">
        <f>#REF!</f>
        <v>#REF!</v>
      </c>
      <c r="CM42" s="10" t="e">
        <f t="shared" ca="1" si="42"/>
        <v>#VALUE!</v>
      </c>
      <c r="CN42" s="10" t="e">
        <f t="shared" ca="1" si="43"/>
        <v>#VALUE!</v>
      </c>
      <c r="CO42" s="10" t="e">
        <f t="shared" ca="1" si="44"/>
        <v>#VALUE!</v>
      </c>
      <c r="CP42" s="10" t="e">
        <f t="shared" ca="1" si="45"/>
        <v>#VALUE!</v>
      </c>
      <c r="CQ42" s="10" t="e">
        <f t="shared" si="46"/>
        <v>#REF!</v>
      </c>
      <c r="CR42" s="10" t="e">
        <f t="shared" si="47"/>
        <v>#REF!</v>
      </c>
      <c r="CS42" s="10" t="e">
        <f t="shared" si="48"/>
        <v>#REF!</v>
      </c>
      <c r="CT42" s="10" t="e">
        <f t="shared" si="49"/>
        <v>#REF!</v>
      </c>
      <c r="CU42" s="14" t="e">
        <f t="shared" ca="1" si="50"/>
        <v>#VALUE!</v>
      </c>
      <c r="CV42" s="15" t="e">
        <f ca="1">IF(CU42&gt;=#REF!/100,"Yes","No")</f>
        <v>#VALUE!</v>
      </c>
    </row>
    <row r="43" spans="1:100" x14ac:dyDescent="0.25">
      <c r="A43" t="s">
        <v>104</v>
      </c>
      <c r="B43" t="s">
        <v>105</v>
      </c>
      <c r="C43">
        <v>115202018</v>
      </c>
      <c r="D43" t="str">
        <f t="shared" si="5"/>
        <v>Aytekin, Anıl Aydın-115202018</v>
      </c>
      <c r="E43" s="22">
        <v>5</v>
      </c>
      <c r="F43" s="22">
        <v>3</v>
      </c>
      <c r="G43" s="22">
        <v>15</v>
      </c>
      <c r="H43" s="22">
        <v>169218</v>
      </c>
      <c r="I43" s="22">
        <v>8627974</v>
      </c>
      <c r="J43" s="22">
        <v>9195677</v>
      </c>
      <c r="K43" s="22">
        <v>3174767</v>
      </c>
      <c r="L43" s="22">
        <v>100000</v>
      </c>
      <c r="M43" s="22">
        <v>108200</v>
      </c>
      <c r="N43" s="22">
        <v>117800</v>
      </c>
      <c r="O43" s="22">
        <v>127800</v>
      </c>
      <c r="P43" s="22">
        <v>117800</v>
      </c>
      <c r="Q43" s="22">
        <v>108200</v>
      </c>
      <c r="R43" s="22">
        <v>127800</v>
      </c>
      <c r="S43" s="22">
        <v>100000</v>
      </c>
      <c r="T43" s="24">
        <v>28000</v>
      </c>
      <c r="U43" s="22">
        <v>26739</v>
      </c>
      <c r="V43" s="22">
        <v>24239</v>
      </c>
      <c r="W43" s="22">
        <v>22139</v>
      </c>
      <c r="X43" s="22">
        <v>24239</v>
      </c>
      <c r="Y43" s="22">
        <v>26739</v>
      </c>
      <c r="Z43" s="22">
        <v>22139</v>
      </c>
      <c r="AA43" s="22">
        <v>29039</v>
      </c>
      <c r="AB43" s="24">
        <v>105000</v>
      </c>
      <c r="AC43" s="24">
        <v>105000</v>
      </c>
      <c r="AD43" s="24">
        <v>104000</v>
      </c>
      <c r="AE43" s="24">
        <v>102000</v>
      </c>
      <c r="AF43" s="24">
        <v>101500</v>
      </c>
      <c r="AG43" s="24">
        <v>103000</v>
      </c>
      <c r="AH43" s="24">
        <v>100500</v>
      </c>
      <c r="AI43" s="24">
        <v>98500</v>
      </c>
      <c r="AJ43" s="25">
        <v>3.7</v>
      </c>
      <c r="AK43" s="25">
        <v>9.4</v>
      </c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8">
        <f t="shared" si="51"/>
        <v>1</v>
      </c>
      <c r="AY43" s="8">
        <f t="shared" si="52"/>
        <v>2</v>
      </c>
      <c r="AZ43" s="16" t="str">
        <f t="shared" si="16"/>
        <v>∆(1-2)</v>
      </c>
      <c r="BA43" s="17">
        <f t="shared" ca="1" si="53"/>
        <v>-9500</v>
      </c>
      <c r="BB43" s="17">
        <f t="shared" ca="1" si="54"/>
        <v>2100</v>
      </c>
      <c r="BC43" s="17">
        <f t="shared" ca="1" si="17"/>
        <v>1900</v>
      </c>
      <c r="BD43" s="17" t="e">
        <f>#REF!</f>
        <v>#REF!</v>
      </c>
      <c r="BE43" s="17">
        <f t="shared" ca="1" si="18"/>
        <v>-9500</v>
      </c>
      <c r="BF43" s="17">
        <f t="shared" ca="1" si="19"/>
        <v>2100</v>
      </c>
      <c r="BG43" s="17">
        <f t="shared" ca="1" si="20"/>
        <v>2100</v>
      </c>
      <c r="BH43" s="17">
        <f t="shared" ca="1" si="21"/>
        <v>2100</v>
      </c>
      <c r="BI43" s="17" t="e">
        <f t="shared" si="22"/>
        <v>#REF!</v>
      </c>
      <c r="BJ43" s="17" t="e">
        <f t="shared" si="23"/>
        <v>#REF!</v>
      </c>
      <c r="BK43" s="17" t="e">
        <f t="shared" si="24"/>
        <v>#REF!</v>
      </c>
      <c r="BL43" s="17" t="e">
        <f t="shared" si="25"/>
        <v>#REF!</v>
      </c>
      <c r="BM43" s="18" t="e">
        <f t="shared" ca="1" si="26"/>
        <v>#VALUE!</v>
      </c>
      <c r="BN43" s="19" t="e">
        <f ca="1">IF(BM43&gt;=#REF!/100,"Yes","No")</f>
        <v>#VALUE!</v>
      </c>
      <c r="BO43" s="20">
        <f t="shared" si="55"/>
        <v>4</v>
      </c>
      <c r="BP43" s="20" t="e">
        <f t="shared" ca="1" si="27"/>
        <v>#VALUE!</v>
      </c>
      <c r="BQ43" s="16" t="e">
        <f t="shared" ca="1" si="28"/>
        <v>#VALUE!</v>
      </c>
      <c r="BR43" s="17" t="e">
        <f t="shared" ca="1" si="56"/>
        <v>#VALUE!</v>
      </c>
      <c r="BS43" s="17" t="e">
        <f t="shared" ca="1" si="57"/>
        <v>#VALUE!</v>
      </c>
      <c r="BT43" s="17" t="e">
        <f t="shared" ca="1" si="29"/>
        <v>#VALUE!</v>
      </c>
      <c r="BU43" s="17" t="e">
        <f>#REF!</f>
        <v>#REF!</v>
      </c>
      <c r="BV43" s="17" t="e">
        <f t="shared" ca="1" si="30"/>
        <v>#VALUE!</v>
      </c>
      <c r="BW43" s="17" t="e">
        <f t="shared" ca="1" si="31"/>
        <v>#VALUE!</v>
      </c>
      <c r="BX43" s="17" t="e">
        <f t="shared" ca="1" si="32"/>
        <v>#VALUE!</v>
      </c>
      <c r="BY43" s="17" t="e">
        <f t="shared" ca="1" si="33"/>
        <v>#VALUE!</v>
      </c>
      <c r="BZ43" s="17" t="e">
        <f t="shared" si="34"/>
        <v>#REF!</v>
      </c>
      <c r="CA43" s="17" t="e">
        <f t="shared" si="35"/>
        <v>#REF!</v>
      </c>
      <c r="CB43" s="17" t="e">
        <f t="shared" si="36"/>
        <v>#REF!</v>
      </c>
      <c r="CC43" s="17" t="e">
        <f t="shared" si="37"/>
        <v>#REF!</v>
      </c>
      <c r="CD43" s="18" t="e">
        <f t="shared" ca="1" si="38"/>
        <v>#VALUE!</v>
      </c>
      <c r="CE43" s="19" t="e">
        <f ca="1">IF(CD43&gt;=#REF!/100,"Yes","No")</f>
        <v>#VALUE!</v>
      </c>
      <c r="CF43" s="20">
        <f t="shared" si="58"/>
        <v>3</v>
      </c>
      <c r="CG43" s="20" t="e">
        <f t="shared" ca="1" si="39"/>
        <v>#VALUE!</v>
      </c>
      <c r="CH43" s="16" t="e">
        <f t="shared" ca="1" si="40"/>
        <v>#VALUE!</v>
      </c>
      <c r="CI43" s="17" t="e">
        <f t="shared" ca="1" si="59"/>
        <v>#VALUE!</v>
      </c>
      <c r="CJ43" s="17" t="e">
        <f t="shared" ca="1" si="60"/>
        <v>#VALUE!</v>
      </c>
      <c r="CK43" s="17" t="e">
        <f t="shared" ca="1" si="41"/>
        <v>#VALUE!</v>
      </c>
      <c r="CL43" s="17" t="e">
        <f>#REF!</f>
        <v>#REF!</v>
      </c>
      <c r="CM43" s="17" t="e">
        <f t="shared" ca="1" si="42"/>
        <v>#VALUE!</v>
      </c>
      <c r="CN43" s="17" t="e">
        <f t="shared" ca="1" si="43"/>
        <v>#VALUE!</v>
      </c>
      <c r="CO43" s="17" t="e">
        <f t="shared" ca="1" si="44"/>
        <v>#VALUE!</v>
      </c>
      <c r="CP43" s="17" t="e">
        <f t="shared" ca="1" si="45"/>
        <v>#VALUE!</v>
      </c>
      <c r="CQ43" s="17" t="e">
        <f t="shared" si="46"/>
        <v>#REF!</v>
      </c>
      <c r="CR43" s="17" t="e">
        <f t="shared" si="47"/>
        <v>#REF!</v>
      </c>
      <c r="CS43" s="17" t="e">
        <f t="shared" si="48"/>
        <v>#REF!</v>
      </c>
      <c r="CT43" s="17" t="e">
        <f t="shared" si="49"/>
        <v>#REF!</v>
      </c>
      <c r="CU43" s="18" t="e">
        <f t="shared" ca="1" si="50"/>
        <v>#VALUE!</v>
      </c>
      <c r="CV43" s="19" t="e">
        <f ca="1">IF(CU43&gt;=#REF!/100,"Yes","No")</f>
        <v>#VALUE!</v>
      </c>
    </row>
    <row r="44" spans="1:100" x14ac:dyDescent="0.25">
      <c r="A44" t="s">
        <v>106</v>
      </c>
      <c r="B44" t="s">
        <v>107</v>
      </c>
      <c r="C44">
        <v>116203201</v>
      </c>
      <c r="D44" t="str">
        <f t="shared" si="5"/>
        <v>Badr, Abdullah-116203201</v>
      </c>
      <c r="E44" s="22">
        <v>4</v>
      </c>
      <c r="F44" s="22">
        <v>3</v>
      </c>
      <c r="G44" s="22">
        <v>15</v>
      </c>
      <c r="H44" s="22">
        <v>4228058</v>
      </c>
      <c r="I44" s="22">
        <v>9896132</v>
      </c>
      <c r="J44" s="22">
        <v>8164049</v>
      </c>
      <c r="K44" s="22">
        <v>7716532</v>
      </c>
      <c r="L44" s="22">
        <v>100000</v>
      </c>
      <c r="M44" s="22">
        <v>108800</v>
      </c>
      <c r="N44" s="22">
        <v>117600</v>
      </c>
      <c r="O44" s="22">
        <v>126000</v>
      </c>
      <c r="P44" s="22">
        <v>108800</v>
      </c>
      <c r="Q44" s="22">
        <v>117600</v>
      </c>
      <c r="R44" s="22">
        <v>126000</v>
      </c>
      <c r="S44" s="22">
        <v>100000</v>
      </c>
      <c r="T44" s="24">
        <v>29000</v>
      </c>
      <c r="U44" s="22">
        <v>26640</v>
      </c>
      <c r="V44" s="22">
        <v>24240</v>
      </c>
      <c r="W44" s="22">
        <v>22040</v>
      </c>
      <c r="X44" s="22">
        <v>26640</v>
      </c>
      <c r="Y44" s="22">
        <v>24240</v>
      </c>
      <c r="Z44" s="22">
        <v>22040</v>
      </c>
      <c r="AA44" s="22">
        <v>29040</v>
      </c>
      <c r="AB44" s="24">
        <v>109000</v>
      </c>
      <c r="AC44" s="24">
        <v>111000</v>
      </c>
      <c r="AD44" s="24">
        <v>108000</v>
      </c>
      <c r="AE44" s="24">
        <v>106000</v>
      </c>
      <c r="AF44" s="24">
        <v>106500</v>
      </c>
      <c r="AG44" s="24">
        <v>107000</v>
      </c>
      <c r="AH44" s="24">
        <v>106500</v>
      </c>
      <c r="AI44" s="24">
        <v>103000</v>
      </c>
      <c r="AJ44" s="25">
        <v>3</v>
      </c>
      <c r="AK44" s="25">
        <v>9</v>
      </c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8">
        <f t="shared" si="51"/>
        <v>2</v>
      </c>
      <c r="AY44" s="8">
        <f t="shared" si="52"/>
        <v>4</v>
      </c>
      <c r="AZ44" s="13" t="str">
        <f t="shared" si="16"/>
        <v>∆(2-4)</v>
      </c>
      <c r="BA44" s="10">
        <f t="shared" ca="1" si="53"/>
        <v>-8200</v>
      </c>
      <c r="BB44" s="10">
        <f t="shared" ca="1" si="54"/>
        <v>2300</v>
      </c>
      <c r="BC44" s="10">
        <f t="shared" ca="1" si="17"/>
        <v>1640</v>
      </c>
      <c r="BD44" s="10" t="e">
        <f>#REF!</f>
        <v>#REF!</v>
      </c>
      <c r="BE44" s="10">
        <f t="shared" ca="1" si="18"/>
        <v>-8200</v>
      </c>
      <c r="BF44" s="10">
        <f t="shared" ca="1" si="19"/>
        <v>2300</v>
      </c>
      <c r="BG44" s="10">
        <f t="shared" ca="1" si="20"/>
        <v>2300</v>
      </c>
      <c r="BH44" s="10">
        <f t="shared" ca="1" si="21"/>
        <v>2300</v>
      </c>
      <c r="BI44" s="10" t="e">
        <f t="shared" si="22"/>
        <v>#REF!</v>
      </c>
      <c r="BJ44" s="10" t="e">
        <f t="shared" si="23"/>
        <v>#REF!</v>
      </c>
      <c r="BK44" s="10" t="e">
        <f t="shared" si="24"/>
        <v>#REF!</v>
      </c>
      <c r="BL44" s="10" t="e">
        <f t="shared" si="25"/>
        <v>#REF!</v>
      </c>
      <c r="BM44" s="14" t="e">
        <f t="shared" ca="1" si="26"/>
        <v>#VALUE!</v>
      </c>
      <c r="BN44" s="15" t="e">
        <f ca="1">IF(BM44&gt;=#REF!/100,"Yes","No")</f>
        <v>#VALUE!</v>
      </c>
      <c r="BO44" s="6">
        <f t="shared" si="55"/>
        <v>1</v>
      </c>
      <c r="BP44" s="6" t="e">
        <f t="shared" ca="1" si="27"/>
        <v>#VALUE!</v>
      </c>
      <c r="BQ44" s="13" t="e">
        <f t="shared" ca="1" si="28"/>
        <v>#VALUE!</v>
      </c>
      <c r="BR44" s="10" t="e">
        <f t="shared" ca="1" si="56"/>
        <v>#VALUE!</v>
      </c>
      <c r="BS44" s="10" t="e">
        <f t="shared" ca="1" si="57"/>
        <v>#VALUE!</v>
      </c>
      <c r="BT44" s="10" t="e">
        <f t="shared" ca="1" si="29"/>
        <v>#VALUE!</v>
      </c>
      <c r="BU44" s="10" t="e">
        <f>#REF!</f>
        <v>#REF!</v>
      </c>
      <c r="BV44" s="10" t="e">
        <f t="shared" ca="1" si="30"/>
        <v>#VALUE!</v>
      </c>
      <c r="BW44" s="10" t="e">
        <f t="shared" ca="1" si="31"/>
        <v>#VALUE!</v>
      </c>
      <c r="BX44" s="10" t="e">
        <f t="shared" ca="1" si="32"/>
        <v>#VALUE!</v>
      </c>
      <c r="BY44" s="10" t="e">
        <f t="shared" ca="1" si="33"/>
        <v>#VALUE!</v>
      </c>
      <c r="BZ44" s="10" t="e">
        <f t="shared" si="34"/>
        <v>#REF!</v>
      </c>
      <c r="CA44" s="10" t="e">
        <f t="shared" si="35"/>
        <v>#REF!</v>
      </c>
      <c r="CB44" s="10" t="e">
        <f t="shared" si="36"/>
        <v>#REF!</v>
      </c>
      <c r="CC44" s="10" t="e">
        <f t="shared" si="37"/>
        <v>#REF!</v>
      </c>
      <c r="CD44" s="14" t="e">
        <f t="shared" ca="1" si="38"/>
        <v>#VALUE!</v>
      </c>
      <c r="CE44" s="15" t="e">
        <f ca="1">IF(CD44&gt;=#REF!/100,"Yes","No")</f>
        <v>#VALUE!</v>
      </c>
      <c r="CF44" s="6">
        <f t="shared" si="58"/>
        <v>3</v>
      </c>
      <c r="CG44" s="6" t="e">
        <f t="shared" ca="1" si="39"/>
        <v>#VALUE!</v>
      </c>
      <c r="CH44" s="13" t="e">
        <f t="shared" ca="1" si="40"/>
        <v>#VALUE!</v>
      </c>
      <c r="CI44" s="10" t="e">
        <f t="shared" ca="1" si="59"/>
        <v>#VALUE!</v>
      </c>
      <c r="CJ44" s="10" t="e">
        <f t="shared" ca="1" si="60"/>
        <v>#VALUE!</v>
      </c>
      <c r="CK44" s="10" t="e">
        <f t="shared" ca="1" si="41"/>
        <v>#VALUE!</v>
      </c>
      <c r="CL44" s="10" t="e">
        <f>#REF!</f>
        <v>#REF!</v>
      </c>
      <c r="CM44" s="10" t="e">
        <f t="shared" ca="1" si="42"/>
        <v>#VALUE!</v>
      </c>
      <c r="CN44" s="10" t="e">
        <f t="shared" ca="1" si="43"/>
        <v>#VALUE!</v>
      </c>
      <c r="CO44" s="10" t="e">
        <f t="shared" ca="1" si="44"/>
        <v>#VALUE!</v>
      </c>
      <c r="CP44" s="10" t="e">
        <f t="shared" ca="1" si="45"/>
        <v>#VALUE!</v>
      </c>
      <c r="CQ44" s="10" t="e">
        <f t="shared" si="46"/>
        <v>#REF!</v>
      </c>
      <c r="CR44" s="10" t="e">
        <f t="shared" si="47"/>
        <v>#REF!</v>
      </c>
      <c r="CS44" s="10" t="e">
        <f t="shared" si="48"/>
        <v>#REF!</v>
      </c>
      <c r="CT44" s="10" t="e">
        <f t="shared" si="49"/>
        <v>#REF!</v>
      </c>
      <c r="CU44" s="14" t="e">
        <f t="shared" ca="1" si="50"/>
        <v>#VALUE!</v>
      </c>
      <c r="CV44" s="15" t="e">
        <f ca="1">IF(CU44&gt;=#REF!/100,"Yes","No")</f>
        <v>#VALUE!</v>
      </c>
    </row>
    <row r="45" spans="1:100" x14ac:dyDescent="0.25">
      <c r="A45" t="s">
        <v>108</v>
      </c>
      <c r="B45" t="s">
        <v>109</v>
      </c>
      <c r="C45">
        <v>113201012</v>
      </c>
      <c r="D45" t="str">
        <f t="shared" si="5"/>
        <v>Bakanoğlu, Mehmet-113201012</v>
      </c>
      <c r="E45" s="22">
        <v>6</v>
      </c>
      <c r="F45" s="22">
        <v>1</v>
      </c>
      <c r="G45" s="22">
        <v>8</v>
      </c>
      <c r="H45" s="22">
        <v>1055688</v>
      </c>
      <c r="I45" s="22">
        <v>7709426</v>
      </c>
      <c r="J45" s="22">
        <v>8414887</v>
      </c>
      <c r="K45" s="22">
        <v>9090493</v>
      </c>
      <c r="L45" s="22">
        <v>100000</v>
      </c>
      <c r="M45" s="22">
        <v>108500</v>
      </c>
      <c r="N45" s="22">
        <v>116900</v>
      </c>
      <c r="O45" s="22">
        <v>125100</v>
      </c>
      <c r="P45" s="22">
        <v>125100</v>
      </c>
      <c r="Q45" s="22">
        <v>116900</v>
      </c>
      <c r="R45" s="22">
        <v>108500</v>
      </c>
      <c r="S45" s="22">
        <v>100000</v>
      </c>
      <c r="T45" s="24">
        <v>29000</v>
      </c>
      <c r="U45" s="22">
        <v>26741</v>
      </c>
      <c r="V45" s="22">
        <v>24341</v>
      </c>
      <c r="W45" s="22">
        <v>22141</v>
      </c>
      <c r="X45" s="22">
        <v>22141</v>
      </c>
      <c r="Y45" s="22">
        <v>24341</v>
      </c>
      <c r="Z45" s="22">
        <v>26741</v>
      </c>
      <c r="AA45" s="22">
        <v>29041</v>
      </c>
      <c r="AB45" s="24">
        <v>99000</v>
      </c>
      <c r="AC45" s="24">
        <v>101000</v>
      </c>
      <c r="AD45" s="24">
        <v>105000</v>
      </c>
      <c r="AE45" s="24">
        <v>104000</v>
      </c>
      <c r="AF45" s="24">
        <v>97500</v>
      </c>
      <c r="AG45" s="24">
        <v>98000</v>
      </c>
      <c r="AH45" s="24">
        <v>103000</v>
      </c>
      <c r="AI45" s="24">
        <v>100500</v>
      </c>
      <c r="AJ45" s="25">
        <v>4.5999999999999996</v>
      </c>
      <c r="AK45" s="25">
        <v>9.1</v>
      </c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8">
        <f t="shared" si="51"/>
        <v>1</v>
      </c>
      <c r="AY45" s="8">
        <f t="shared" si="52"/>
        <v>4</v>
      </c>
      <c r="AZ45" s="16" t="str">
        <f t="shared" si="16"/>
        <v>∆(1-4)</v>
      </c>
      <c r="BA45" s="17">
        <f t="shared" ca="1" si="53"/>
        <v>-8800</v>
      </c>
      <c r="BB45" s="17">
        <f t="shared" ca="1" si="54"/>
        <v>2400</v>
      </c>
      <c r="BC45" s="17">
        <f t="shared" ca="1" si="17"/>
        <v>1760</v>
      </c>
      <c r="BD45" s="17" t="e">
        <f>#REF!</f>
        <v>#REF!</v>
      </c>
      <c r="BE45" s="17">
        <f t="shared" ca="1" si="18"/>
        <v>-8800</v>
      </c>
      <c r="BF45" s="17">
        <f t="shared" ca="1" si="19"/>
        <v>2400</v>
      </c>
      <c r="BG45" s="17">
        <f t="shared" ca="1" si="20"/>
        <v>2400</v>
      </c>
      <c r="BH45" s="17">
        <f t="shared" ca="1" si="21"/>
        <v>2400</v>
      </c>
      <c r="BI45" s="17" t="e">
        <f t="shared" si="22"/>
        <v>#REF!</v>
      </c>
      <c r="BJ45" s="17" t="e">
        <f t="shared" si="23"/>
        <v>#REF!</v>
      </c>
      <c r="BK45" s="17" t="e">
        <f t="shared" si="24"/>
        <v>#REF!</v>
      </c>
      <c r="BL45" s="17" t="e">
        <f t="shared" si="25"/>
        <v>#REF!</v>
      </c>
      <c r="BM45" s="18" t="e">
        <f t="shared" ca="1" si="26"/>
        <v>#VALUE!</v>
      </c>
      <c r="BN45" s="19" t="e">
        <f ca="1">IF(BM45&gt;=#REF!/100,"Yes","No")</f>
        <v>#VALUE!</v>
      </c>
      <c r="BO45" s="20">
        <f t="shared" si="55"/>
        <v>2</v>
      </c>
      <c r="BP45" s="20" t="e">
        <f t="shared" ca="1" si="27"/>
        <v>#VALUE!</v>
      </c>
      <c r="BQ45" s="16" t="e">
        <f t="shared" ca="1" si="28"/>
        <v>#VALUE!</v>
      </c>
      <c r="BR45" s="17" t="e">
        <f t="shared" ca="1" si="56"/>
        <v>#VALUE!</v>
      </c>
      <c r="BS45" s="17" t="e">
        <f t="shared" ca="1" si="57"/>
        <v>#VALUE!</v>
      </c>
      <c r="BT45" s="17" t="e">
        <f t="shared" ca="1" si="29"/>
        <v>#VALUE!</v>
      </c>
      <c r="BU45" s="17" t="e">
        <f>#REF!</f>
        <v>#REF!</v>
      </c>
      <c r="BV45" s="17" t="e">
        <f t="shared" ca="1" si="30"/>
        <v>#VALUE!</v>
      </c>
      <c r="BW45" s="17" t="e">
        <f t="shared" ca="1" si="31"/>
        <v>#VALUE!</v>
      </c>
      <c r="BX45" s="17" t="e">
        <f t="shared" ca="1" si="32"/>
        <v>#VALUE!</v>
      </c>
      <c r="BY45" s="17" t="e">
        <f t="shared" ca="1" si="33"/>
        <v>#VALUE!</v>
      </c>
      <c r="BZ45" s="17" t="e">
        <f t="shared" si="34"/>
        <v>#REF!</v>
      </c>
      <c r="CA45" s="17" t="e">
        <f t="shared" si="35"/>
        <v>#REF!</v>
      </c>
      <c r="CB45" s="17" t="e">
        <f t="shared" si="36"/>
        <v>#REF!</v>
      </c>
      <c r="CC45" s="17" t="e">
        <f t="shared" si="37"/>
        <v>#REF!</v>
      </c>
      <c r="CD45" s="18" t="e">
        <f t="shared" ca="1" si="38"/>
        <v>#VALUE!</v>
      </c>
      <c r="CE45" s="19" t="e">
        <f ca="1">IF(CD45&gt;=#REF!/100,"Yes","No")</f>
        <v>#VALUE!</v>
      </c>
      <c r="CF45" s="20">
        <f t="shared" si="58"/>
        <v>3</v>
      </c>
      <c r="CG45" s="20" t="e">
        <f t="shared" ca="1" si="39"/>
        <v>#VALUE!</v>
      </c>
      <c r="CH45" s="16" t="e">
        <f t="shared" ca="1" si="40"/>
        <v>#VALUE!</v>
      </c>
      <c r="CI45" s="17" t="e">
        <f t="shared" ca="1" si="59"/>
        <v>#VALUE!</v>
      </c>
      <c r="CJ45" s="17" t="e">
        <f t="shared" ca="1" si="60"/>
        <v>#VALUE!</v>
      </c>
      <c r="CK45" s="17" t="e">
        <f t="shared" ca="1" si="41"/>
        <v>#VALUE!</v>
      </c>
      <c r="CL45" s="17" t="e">
        <f>#REF!</f>
        <v>#REF!</v>
      </c>
      <c r="CM45" s="17" t="e">
        <f t="shared" ca="1" si="42"/>
        <v>#VALUE!</v>
      </c>
      <c r="CN45" s="17" t="e">
        <f t="shared" ca="1" si="43"/>
        <v>#VALUE!</v>
      </c>
      <c r="CO45" s="17" t="e">
        <f t="shared" ca="1" si="44"/>
        <v>#VALUE!</v>
      </c>
      <c r="CP45" s="17" t="e">
        <f t="shared" ca="1" si="45"/>
        <v>#VALUE!</v>
      </c>
      <c r="CQ45" s="17" t="e">
        <f t="shared" si="46"/>
        <v>#REF!</v>
      </c>
      <c r="CR45" s="17" t="e">
        <f t="shared" si="47"/>
        <v>#REF!</v>
      </c>
      <c r="CS45" s="17" t="e">
        <f t="shared" si="48"/>
        <v>#REF!</v>
      </c>
      <c r="CT45" s="17" t="e">
        <f t="shared" si="49"/>
        <v>#REF!</v>
      </c>
      <c r="CU45" s="18" t="e">
        <f t="shared" ca="1" si="50"/>
        <v>#VALUE!</v>
      </c>
      <c r="CV45" s="19" t="e">
        <f ca="1">IF(CU45&gt;=#REF!/100,"Yes","No")</f>
        <v>#VALUE!</v>
      </c>
    </row>
    <row r="46" spans="1:100" x14ac:dyDescent="0.25">
      <c r="A46" t="s">
        <v>110</v>
      </c>
      <c r="B46" t="s">
        <v>61</v>
      </c>
      <c r="C46">
        <v>116200101</v>
      </c>
      <c r="D46" t="str">
        <f t="shared" si="5"/>
        <v>Balasar, Furkan-116200101</v>
      </c>
      <c r="E46" s="22">
        <v>4</v>
      </c>
      <c r="F46" s="22">
        <v>1</v>
      </c>
      <c r="G46" s="22">
        <v>8</v>
      </c>
      <c r="H46" s="22">
        <v>1812879</v>
      </c>
      <c r="I46" s="22">
        <v>1387778</v>
      </c>
      <c r="J46" s="22">
        <v>663712</v>
      </c>
      <c r="K46" s="22">
        <v>840459</v>
      </c>
      <c r="L46" s="22">
        <v>100000</v>
      </c>
      <c r="M46" s="22">
        <v>108500</v>
      </c>
      <c r="N46" s="22">
        <v>117000</v>
      </c>
      <c r="O46" s="22">
        <v>125300</v>
      </c>
      <c r="P46" s="22">
        <v>100000</v>
      </c>
      <c r="Q46" s="22">
        <v>108500</v>
      </c>
      <c r="R46" s="22">
        <v>125300</v>
      </c>
      <c r="S46" s="22">
        <v>117000</v>
      </c>
      <c r="T46" s="24">
        <v>26000</v>
      </c>
      <c r="U46" s="22">
        <v>26942</v>
      </c>
      <c r="V46" s="22">
        <v>24842</v>
      </c>
      <c r="W46" s="22">
        <v>22542</v>
      </c>
      <c r="X46" s="22">
        <v>29042</v>
      </c>
      <c r="Y46" s="22">
        <v>26942</v>
      </c>
      <c r="Z46" s="22">
        <v>22542</v>
      </c>
      <c r="AA46" s="22">
        <v>24842</v>
      </c>
      <c r="AB46" s="24">
        <v>120000</v>
      </c>
      <c r="AC46" s="24">
        <v>121000</v>
      </c>
      <c r="AD46" s="24">
        <v>122000</v>
      </c>
      <c r="AE46" s="24">
        <v>120000</v>
      </c>
      <c r="AF46" s="24">
        <v>118500</v>
      </c>
      <c r="AG46" s="24">
        <v>118000</v>
      </c>
      <c r="AH46" s="24">
        <v>120000</v>
      </c>
      <c r="AI46" s="24">
        <v>117500</v>
      </c>
      <c r="AJ46" s="25">
        <v>5</v>
      </c>
      <c r="AK46" s="25">
        <v>8.5</v>
      </c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8">
        <f t="shared" si="51"/>
        <v>3</v>
      </c>
      <c r="AY46" s="8">
        <f t="shared" si="52"/>
        <v>4</v>
      </c>
      <c r="AZ46" s="13" t="str">
        <f t="shared" si="16"/>
        <v>∆(3-4)</v>
      </c>
      <c r="BA46" s="10">
        <f t="shared" ca="1" si="53"/>
        <v>-8500</v>
      </c>
      <c r="BB46" s="10">
        <f t="shared" ca="1" si="54"/>
        <v>2300</v>
      </c>
      <c r="BC46" s="10">
        <f t="shared" ca="1" si="17"/>
        <v>1700</v>
      </c>
      <c r="BD46" s="10" t="e">
        <f>#REF!</f>
        <v>#REF!</v>
      </c>
      <c r="BE46" s="10">
        <f t="shared" ca="1" si="18"/>
        <v>-8500</v>
      </c>
      <c r="BF46" s="10">
        <f t="shared" ca="1" si="19"/>
        <v>2300</v>
      </c>
      <c r="BG46" s="10">
        <f t="shared" ca="1" si="20"/>
        <v>2300</v>
      </c>
      <c r="BH46" s="10">
        <f t="shared" ca="1" si="21"/>
        <v>2300</v>
      </c>
      <c r="BI46" s="10" t="e">
        <f t="shared" si="22"/>
        <v>#REF!</v>
      </c>
      <c r="BJ46" s="10" t="e">
        <f t="shared" si="23"/>
        <v>#REF!</v>
      </c>
      <c r="BK46" s="10" t="e">
        <f t="shared" si="24"/>
        <v>#REF!</v>
      </c>
      <c r="BL46" s="10" t="e">
        <f t="shared" si="25"/>
        <v>#REF!</v>
      </c>
      <c r="BM46" s="14" t="e">
        <f t="shared" ca="1" si="26"/>
        <v>#VALUE!</v>
      </c>
      <c r="BN46" s="15" t="e">
        <f ca="1">IF(BM46&gt;=#REF!/100,"Yes","No")</f>
        <v>#VALUE!</v>
      </c>
      <c r="BO46" s="6">
        <f t="shared" si="55"/>
        <v>2</v>
      </c>
      <c r="BP46" s="6" t="e">
        <f t="shared" ca="1" si="27"/>
        <v>#VALUE!</v>
      </c>
      <c r="BQ46" s="13" t="e">
        <f t="shared" ca="1" si="28"/>
        <v>#VALUE!</v>
      </c>
      <c r="BR46" s="10" t="e">
        <f t="shared" ca="1" si="56"/>
        <v>#VALUE!</v>
      </c>
      <c r="BS46" s="10" t="e">
        <f t="shared" ca="1" si="57"/>
        <v>#VALUE!</v>
      </c>
      <c r="BT46" s="10" t="e">
        <f t="shared" ca="1" si="29"/>
        <v>#VALUE!</v>
      </c>
      <c r="BU46" s="10" t="e">
        <f>#REF!</f>
        <v>#REF!</v>
      </c>
      <c r="BV46" s="10" t="e">
        <f t="shared" ca="1" si="30"/>
        <v>#VALUE!</v>
      </c>
      <c r="BW46" s="10" t="e">
        <f t="shared" ca="1" si="31"/>
        <v>#VALUE!</v>
      </c>
      <c r="BX46" s="10" t="e">
        <f t="shared" ca="1" si="32"/>
        <v>#VALUE!</v>
      </c>
      <c r="BY46" s="10" t="e">
        <f t="shared" ca="1" si="33"/>
        <v>#VALUE!</v>
      </c>
      <c r="BZ46" s="10" t="e">
        <f t="shared" si="34"/>
        <v>#REF!</v>
      </c>
      <c r="CA46" s="10" t="e">
        <f t="shared" si="35"/>
        <v>#REF!</v>
      </c>
      <c r="CB46" s="10" t="e">
        <f t="shared" si="36"/>
        <v>#REF!</v>
      </c>
      <c r="CC46" s="10" t="e">
        <f t="shared" si="37"/>
        <v>#REF!</v>
      </c>
      <c r="CD46" s="14" t="e">
        <f t="shared" ca="1" si="38"/>
        <v>#VALUE!</v>
      </c>
      <c r="CE46" s="15" t="e">
        <f ca="1">IF(CD46&gt;=#REF!/100,"Yes","No")</f>
        <v>#VALUE!</v>
      </c>
      <c r="CF46" s="6">
        <f t="shared" si="58"/>
        <v>1</v>
      </c>
      <c r="CG46" s="6" t="e">
        <f t="shared" ca="1" si="39"/>
        <v>#VALUE!</v>
      </c>
      <c r="CH46" s="13" t="e">
        <f t="shared" ca="1" si="40"/>
        <v>#VALUE!</v>
      </c>
      <c r="CI46" s="10" t="e">
        <f t="shared" ca="1" si="59"/>
        <v>#VALUE!</v>
      </c>
      <c r="CJ46" s="10" t="e">
        <f t="shared" ca="1" si="60"/>
        <v>#VALUE!</v>
      </c>
      <c r="CK46" s="10" t="e">
        <f t="shared" ca="1" si="41"/>
        <v>#VALUE!</v>
      </c>
      <c r="CL46" s="10" t="e">
        <f>#REF!</f>
        <v>#REF!</v>
      </c>
      <c r="CM46" s="10" t="e">
        <f t="shared" ca="1" si="42"/>
        <v>#VALUE!</v>
      </c>
      <c r="CN46" s="10" t="e">
        <f t="shared" ca="1" si="43"/>
        <v>#VALUE!</v>
      </c>
      <c r="CO46" s="10" t="e">
        <f t="shared" ca="1" si="44"/>
        <v>#VALUE!</v>
      </c>
      <c r="CP46" s="10" t="e">
        <f t="shared" ca="1" si="45"/>
        <v>#VALUE!</v>
      </c>
      <c r="CQ46" s="10" t="e">
        <f t="shared" si="46"/>
        <v>#REF!</v>
      </c>
      <c r="CR46" s="10" t="e">
        <f t="shared" si="47"/>
        <v>#REF!</v>
      </c>
      <c r="CS46" s="10" t="e">
        <f t="shared" si="48"/>
        <v>#REF!</v>
      </c>
      <c r="CT46" s="10" t="e">
        <f t="shared" si="49"/>
        <v>#REF!</v>
      </c>
      <c r="CU46" s="14" t="e">
        <f t="shared" ca="1" si="50"/>
        <v>#VALUE!</v>
      </c>
      <c r="CV46" s="15" t="e">
        <f ca="1">IF(CU46&gt;=#REF!/100,"Yes","No")</f>
        <v>#VALUE!</v>
      </c>
    </row>
    <row r="47" spans="1:100" x14ac:dyDescent="0.25">
      <c r="A47" t="s">
        <v>111</v>
      </c>
      <c r="B47" t="s">
        <v>112</v>
      </c>
      <c r="C47">
        <v>115203051</v>
      </c>
      <c r="D47" t="str">
        <f t="shared" si="5"/>
        <v>Balay, Hakan-115203051</v>
      </c>
      <c r="E47" s="22">
        <v>7</v>
      </c>
      <c r="F47" s="22">
        <v>2</v>
      </c>
      <c r="G47" s="22">
        <v>10</v>
      </c>
      <c r="H47" s="22">
        <v>8031565</v>
      </c>
      <c r="I47" s="22">
        <v>9492363</v>
      </c>
      <c r="J47" s="22">
        <v>6169706</v>
      </c>
      <c r="K47" s="22">
        <v>7308451</v>
      </c>
      <c r="L47" s="22">
        <v>100000</v>
      </c>
      <c r="M47" s="22">
        <v>108500</v>
      </c>
      <c r="N47" s="22">
        <v>118300</v>
      </c>
      <c r="O47" s="22">
        <v>127700</v>
      </c>
      <c r="P47" s="22">
        <v>108500</v>
      </c>
      <c r="Q47" s="22">
        <v>100000</v>
      </c>
      <c r="R47" s="22">
        <v>127700</v>
      </c>
      <c r="S47" s="22">
        <v>118300</v>
      </c>
      <c r="T47" s="24">
        <v>23000</v>
      </c>
      <c r="U47" s="22">
        <v>27043</v>
      </c>
      <c r="V47" s="22">
        <v>24743</v>
      </c>
      <c r="W47" s="22">
        <v>22243</v>
      </c>
      <c r="X47" s="22">
        <v>27043</v>
      </c>
      <c r="Y47" s="22">
        <v>29043</v>
      </c>
      <c r="Z47" s="22">
        <v>22243</v>
      </c>
      <c r="AA47" s="22">
        <v>24743</v>
      </c>
      <c r="AB47" s="24">
        <v>119000</v>
      </c>
      <c r="AC47" s="24">
        <v>123000</v>
      </c>
      <c r="AD47" s="24">
        <v>124000</v>
      </c>
      <c r="AE47" s="24">
        <v>123000</v>
      </c>
      <c r="AF47" s="24">
        <v>115000</v>
      </c>
      <c r="AG47" s="24">
        <v>119000</v>
      </c>
      <c r="AH47" s="24">
        <v>122500</v>
      </c>
      <c r="AI47" s="24">
        <v>120500</v>
      </c>
      <c r="AJ47" s="25">
        <v>4.5999999999999996</v>
      </c>
      <c r="AK47" s="25">
        <v>6.8</v>
      </c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8">
        <f t="shared" si="51"/>
        <v>2</v>
      </c>
      <c r="AY47" s="8">
        <f t="shared" si="52"/>
        <v>1</v>
      </c>
      <c r="AZ47" s="16" t="str">
        <f t="shared" si="16"/>
        <v>∆(2-1)</v>
      </c>
      <c r="BA47" s="17">
        <f t="shared" ca="1" si="53"/>
        <v>-8500</v>
      </c>
      <c r="BB47" s="17">
        <f t="shared" ca="1" si="54"/>
        <v>2100</v>
      </c>
      <c r="BC47" s="17">
        <f t="shared" ca="1" si="17"/>
        <v>1700</v>
      </c>
      <c r="BD47" s="17" t="e">
        <f>#REF!</f>
        <v>#REF!</v>
      </c>
      <c r="BE47" s="17">
        <f t="shared" ca="1" si="18"/>
        <v>-8500</v>
      </c>
      <c r="BF47" s="17">
        <f t="shared" ca="1" si="19"/>
        <v>2100</v>
      </c>
      <c r="BG47" s="17">
        <f t="shared" ca="1" si="20"/>
        <v>2100</v>
      </c>
      <c r="BH47" s="17">
        <f t="shared" ca="1" si="21"/>
        <v>2100</v>
      </c>
      <c r="BI47" s="17" t="e">
        <f t="shared" si="22"/>
        <v>#REF!</v>
      </c>
      <c r="BJ47" s="17" t="e">
        <f t="shared" si="23"/>
        <v>#REF!</v>
      </c>
      <c r="BK47" s="17" t="e">
        <f t="shared" si="24"/>
        <v>#REF!</v>
      </c>
      <c r="BL47" s="17" t="e">
        <f t="shared" si="25"/>
        <v>#REF!</v>
      </c>
      <c r="BM47" s="18" t="e">
        <f t="shared" ca="1" si="26"/>
        <v>#VALUE!</v>
      </c>
      <c r="BN47" s="19" t="e">
        <f ca="1">IF(BM47&gt;=#REF!/100,"Yes","No")</f>
        <v>#VALUE!</v>
      </c>
      <c r="BO47" s="20">
        <f t="shared" si="55"/>
        <v>4</v>
      </c>
      <c r="BP47" s="20" t="e">
        <f t="shared" ca="1" si="27"/>
        <v>#VALUE!</v>
      </c>
      <c r="BQ47" s="16" t="e">
        <f t="shared" ca="1" si="28"/>
        <v>#VALUE!</v>
      </c>
      <c r="BR47" s="17" t="e">
        <f t="shared" ca="1" si="56"/>
        <v>#VALUE!</v>
      </c>
      <c r="BS47" s="17" t="e">
        <f t="shared" ca="1" si="57"/>
        <v>#VALUE!</v>
      </c>
      <c r="BT47" s="17" t="e">
        <f t="shared" ca="1" si="29"/>
        <v>#VALUE!</v>
      </c>
      <c r="BU47" s="17" t="e">
        <f>#REF!</f>
        <v>#REF!</v>
      </c>
      <c r="BV47" s="17" t="e">
        <f t="shared" ca="1" si="30"/>
        <v>#VALUE!</v>
      </c>
      <c r="BW47" s="17" t="e">
        <f t="shared" ca="1" si="31"/>
        <v>#VALUE!</v>
      </c>
      <c r="BX47" s="17" t="e">
        <f t="shared" ca="1" si="32"/>
        <v>#VALUE!</v>
      </c>
      <c r="BY47" s="17" t="e">
        <f t="shared" ca="1" si="33"/>
        <v>#VALUE!</v>
      </c>
      <c r="BZ47" s="17" t="e">
        <f t="shared" si="34"/>
        <v>#REF!</v>
      </c>
      <c r="CA47" s="17" t="e">
        <f t="shared" si="35"/>
        <v>#REF!</v>
      </c>
      <c r="CB47" s="17" t="e">
        <f t="shared" si="36"/>
        <v>#REF!</v>
      </c>
      <c r="CC47" s="17" t="e">
        <f t="shared" si="37"/>
        <v>#REF!</v>
      </c>
      <c r="CD47" s="18" t="e">
        <f t="shared" ca="1" si="38"/>
        <v>#VALUE!</v>
      </c>
      <c r="CE47" s="19" t="e">
        <f ca="1">IF(CD47&gt;=#REF!/100,"Yes","No")</f>
        <v>#VALUE!</v>
      </c>
      <c r="CF47" s="20">
        <f t="shared" si="58"/>
        <v>3</v>
      </c>
      <c r="CG47" s="20" t="e">
        <f t="shared" ca="1" si="39"/>
        <v>#VALUE!</v>
      </c>
      <c r="CH47" s="16" t="e">
        <f t="shared" ca="1" si="40"/>
        <v>#VALUE!</v>
      </c>
      <c r="CI47" s="17" t="e">
        <f t="shared" ca="1" si="59"/>
        <v>#VALUE!</v>
      </c>
      <c r="CJ47" s="17" t="e">
        <f t="shared" ca="1" si="60"/>
        <v>#VALUE!</v>
      </c>
      <c r="CK47" s="17" t="e">
        <f t="shared" ca="1" si="41"/>
        <v>#VALUE!</v>
      </c>
      <c r="CL47" s="17" t="e">
        <f>#REF!</f>
        <v>#REF!</v>
      </c>
      <c r="CM47" s="17" t="e">
        <f t="shared" ca="1" si="42"/>
        <v>#VALUE!</v>
      </c>
      <c r="CN47" s="17" t="e">
        <f t="shared" ca="1" si="43"/>
        <v>#VALUE!</v>
      </c>
      <c r="CO47" s="17" t="e">
        <f t="shared" ca="1" si="44"/>
        <v>#VALUE!</v>
      </c>
      <c r="CP47" s="17" t="e">
        <f t="shared" ca="1" si="45"/>
        <v>#VALUE!</v>
      </c>
      <c r="CQ47" s="17" t="e">
        <f t="shared" si="46"/>
        <v>#REF!</v>
      </c>
      <c r="CR47" s="17" t="e">
        <f t="shared" si="47"/>
        <v>#REF!</v>
      </c>
      <c r="CS47" s="17" t="e">
        <f t="shared" si="48"/>
        <v>#REF!</v>
      </c>
      <c r="CT47" s="17" t="e">
        <f t="shared" si="49"/>
        <v>#REF!</v>
      </c>
      <c r="CU47" s="18" t="e">
        <f t="shared" ca="1" si="50"/>
        <v>#VALUE!</v>
      </c>
      <c r="CV47" s="19" t="e">
        <f ca="1">IF(CU47&gt;=#REF!/100,"Yes","No")</f>
        <v>#VALUE!</v>
      </c>
    </row>
    <row r="48" spans="1:100" x14ac:dyDescent="0.25">
      <c r="A48" t="s">
        <v>113</v>
      </c>
      <c r="B48" t="s">
        <v>112</v>
      </c>
      <c r="C48">
        <v>114204044</v>
      </c>
      <c r="D48" t="str">
        <f t="shared" si="5"/>
        <v>Balcan, Hakan-114204044</v>
      </c>
      <c r="E48" s="22">
        <v>7</v>
      </c>
      <c r="F48" s="22">
        <v>2</v>
      </c>
      <c r="G48" s="22">
        <v>10</v>
      </c>
      <c r="H48" s="22">
        <v>1202569</v>
      </c>
      <c r="I48" s="22">
        <v>3059476</v>
      </c>
      <c r="J48" s="22">
        <v>2214449</v>
      </c>
      <c r="K48" s="22">
        <v>1108794</v>
      </c>
      <c r="L48" s="22">
        <v>100000</v>
      </c>
      <c r="M48" s="22">
        <v>109000</v>
      </c>
      <c r="N48" s="22">
        <v>117900</v>
      </c>
      <c r="O48" s="22">
        <v>126200</v>
      </c>
      <c r="P48" s="22">
        <v>109000</v>
      </c>
      <c r="Q48" s="22">
        <v>117900</v>
      </c>
      <c r="R48" s="22">
        <v>100000</v>
      </c>
      <c r="S48" s="22">
        <v>126200</v>
      </c>
      <c r="T48" s="24">
        <v>27000</v>
      </c>
      <c r="U48" s="22">
        <v>26944</v>
      </c>
      <c r="V48" s="22">
        <v>24444</v>
      </c>
      <c r="W48" s="22">
        <v>21944</v>
      </c>
      <c r="X48" s="22">
        <v>26944</v>
      </c>
      <c r="Y48" s="22">
        <v>24444</v>
      </c>
      <c r="Z48" s="22">
        <v>29044</v>
      </c>
      <c r="AA48" s="22">
        <v>21944</v>
      </c>
      <c r="AB48" s="24">
        <v>114000</v>
      </c>
      <c r="AC48" s="24">
        <v>114000</v>
      </c>
      <c r="AD48" s="24">
        <v>111000</v>
      </c>
      <c r="AE48" s="24">
        <v>114000</v>
      </c>
      <c r="AF48" s="24">
        <v>112500</v>
      </c>
      <c r="AG48" s="24">
        <v>112000</v>
      </c>
      <c r="AH48" s="24">
        <v>107500</v>
      </c>
      <c r="AI48" s="24">
        <v>112000</v>
      </c>
      <c r="AJ48" s="25">
        <v>3</v>
      </c>
      <c r="AK48" s="25">
        <v>8.5</v>
      </c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8">
        <f t="shared" si="51"/>
        <v>1</v>
      </c>
      <c r="AY48" s="8">
        <f t="shared" si="52"/>
        <v>2</v>
      </c>
      <c r="AZ48" s="13" t="str">
        <f t="shared" si="16"/>
        <v>∆(1-2)</v>
      </c>
      <c r="BA48" s="10">
        <f t="shared" ca="1" si="53"/>
        <v>-8500</v>
      </c>
      <c r="BB48" s="10">
        <f t="shared" ca="1" si="54"/>
        <v>2000</v>
      </c>
      <c r="BC48" s="10">
        <f t="shared" ca="1" si="17"/>
        <v>1700</v>
      </c>
      <c r="BD48" s="10" t="e">
        <f>#REF!</f>
        <v>#REF!</v>
      </c>
      <c r="BE48" s="10">
        <f t="shared" ca="1" si="18"/>
        <v>-8500</v>
      </c>
      <c r="BF48" s="10">
        <f t="shared" ca="1" si="19"/>
        <v>2000</v>
      </c>
      <c r="BG48" s="10">
        <f t="shared" ca="1" si="20"/>
        <v>2000</v>
      </c>
      <c r="BH48" s="10">
        <f t="shared" ca="1" si="21"/>
        <v>2000</v>
      </c>
      <c r="BI48" s="10" t="e">
        <f t="shared" si="22"/>
        <v>#REF!</v>
      </c>
      <c r="BJ48" s="10" t="e">
        <f t="shared" si="23"/>
        <v>#REF!</v>
      </c>
      <c r="BK48" s="10" t="e">
        <f t="shared" si="24"/>
        <v>#REF!</v>
      </c>
      <c r="BL48" s="10" t="e">
        <f t="shared" si="25"/>
        <v>#REF!</v>
      </c>
      <c r="BM48" s="14" t="e">
        <f t="shared" ca="1" si="26"/>
        <v>#VALUE!</v>
      </c>
      <c r="BN48" s="15" t="e">
        <f ca="1">IF(BM48&gt;=#REF!/100,"Yes","No")</f>
        <v>#VALUE!</v>
      </c>
      <c r="BO48" s="6">
        <f t="shared" si="55"/>
        <v>4</v>
      </c>
      <c r="BP48" s="6" t="e">
        <f t="shared" ca="1" si="27"/>
        <v>#VALUE!</v>
      </c>
      <c r="BQ48" s="13" t="e">
        <f t="shared" ca="1" si="28"/>
        <v>#VALUE!</v>
      </c>
      <c r="BR48" s="10" t="e">
        <f t="shared" ca="1" si="56"/>
        <v>#VALUE!</v>
      </c>
      <c r="BS48" s="10" t="e">
        <f t="shared" ca="1" si="57"/>
        <v>#VALUE!</v>
      </c>
      <c r="BT48" s="10" t="e">
        <f t="shared" ca="1" si="29"/>
        <v>#VALUE!</v>
      </c>
      <c r="BU48" s="10" t="e">
        <f>#REF!</f>
        <v>#REF!</v>
      </c>
      <c r="BV48" s="10" t="e">
        <f t="shared" ca="1" si="30"/>
        <v>#VALUE!</v>
      </c>
      <c r="BW48" s="10" t="e">
        <f t="shared" ca="1" si="31"/>
        <v>#VALUE!</v>
      </c>
      <c r="BX48" s="10" t="e">
        <f t="shared" ca="1" si="32"/>
        <v>#VALUE!</v>
      </c>
      <c r="BY48" s="10" t="e">
        <f t="shared" ca="1" si="33"/>
        <v>#VALUE!</v>
      </c>
      <c r="BZ48" s="10" t="e">
        <f t="shared" si="34"/>
        <v>#REF!</v>
      </c>
      <c r="CA48" s="10" t="e">
        <f t="shared" si="35"/>
        <v>#REF!</v>
      </c>
      <c r="CB48" s="10" t="e">
        <f t="shared" si="36"/>
        <v>#REF!</v>
      </c>
      <c r="CC48" s="10" t="e">
        <f t="shared" si="37"/>
        <v>#REF!</v>
      </c>
      <c r="CD48" s="14" t="e">
        <f t="shared" ca="1" si="38"/>
        <v>#VALUE!</v>
      </c>
      <c r="CE48" s="15" t="e">
        <f ca="1">IF(CD48&gt;=#REF!/100,"Yes","No")</f>
        <v>#VALUE!</v>
      </c>
      <c r="CF48" s="6">
        <f t="shared" si="58"/>
        <v>3</v>
      </c>
      <c r="CG48" s="6" t="e">
        <f t="shared" ca="1" si="39"/>
        <v>#VALUE!</v>
      </c>
      <c r="CH48" s="13" t="e">
        <f t="shared" ca="1" si="40"/>
        <v>#VALUE!</v>
      </c>
      <c r="CI48" s="10" t="e">
        <f t="shared" ca="1" si="59"/>
        <v>#VALUE!</v>
      </c>
      <c r="CJ48" s="10" t="e">
        <f t="shared" ca="1" si="60"/>
        <v>#VALUE!</v>
      </c>
      <c r="CK48" s="10" t="e">
        <f t="shared" ca="1" si="41"/>
        <v>#VALUE!</v>
      </c>
      <c r="CL48" s="10" t="e">
        <f>#REF!</f>
        <v>#REF!</v>
      </c>
      <c r="CM48" s="10" t="e">
        <f t="shared" ca="1" si="42"/>
        <v>#VALUE!</v>
      </c>
      <c r="CN48" s="10" t="e">
        <f t="shared" ca="1" si="43"/>
        <v>#VALUE!</v>
      </c>
      <c r="CO48" s="10" t="e">
        <f t="shared" ca="1" si="44"/>
        <v>#VALUE!</v>
      </c>
      <c r="CP48" s="10" t="e">
        <f t="shared" ca="1" si="45"/>
        <v>#VALUE!</v>
      </c>
      <c r="CQ48" s="10" t="e">
        <f t="shared" si="46"/>
        <v>#REF!</v>
      </c>
      <c r="CR48" s="10" t="e">
        <f t="shared" si="47"/>
        <v>#REF!</v>
      </c>
      <c r="CS48" s="10" t="e">
        <f t="shared" si="48"/>
        <v>#REF!</v>
      </c>
      <c r="CT48" s="10" t="e">
        <f t="shared" si="49"/>
        <v>#REF!</v>
      </c>
      <c r="CU48" s="14" t="e">
        <f t="shared" ca="1" si="50"/>
        <v>#VALUE!</v>
      </c>
      <c r="CV48" s="15" t="e">
        <f ca="1">IF(CU48&gt;=#REF!/100,"Yes","No")</f>
        <v>#VALUE!</v>
      </c>
    </row>
    <row r="49" spans="1:100" x14ac:dyDescent="0.25">
      <c r="A49" t="s">
        <v>114</v>
      </c>
      <c r="B49" t="s">
        <v>115</v>
      </c>
      <c r="C49">
        <v>116203056</v>
      </c>
      <c r="D49" t="str">
        <f t="shared" si="5"/>
        <v>Balcı, Diyar-116203056</v>
      </c>
      <c r="E49" s="22">
        <v>7</v>
      </c>
      <c r="F49" s="22">
        <v>1</v>
      </c>
      <c r="G49" s="22">
        <v>8</v>
      </c>
      <c r="H49" s="22">
        <v>5383716</v>
      </c>
      <c r="I49" s="22">
        <v>2464479</v>
      </c>
      <c r="J49" s="22">
        <v>9788564</v>
      </c>
      <c r="K49" s="22">
        <v>6659189</v>
      </c>
      <c r="L49" s="22">
        <v>100000</v>
      </c>
      <c r="M49" s="22">
        <v>108700</v>
      </c>
      <c r="N49" s="22">
        <v>116800</v>
      </c>
      <c r="O49" s="22">
        <v>125200</v>
      </c>
      <c r="P49" s="22">
        <v>116800</v>
      </c>
      <c r="Q49" s="22">
        <v>125200</v>
      </c>
      <c r="R49" s="22">
        <v>100000</v>
      </c>
      <c r="S49" s="22">
        <v>108700</v>
      </c>
      <c r="T49" s="24">
        <v>27000</v>
      </c>
      <c r="U49" s="22">
        <v>27045</v>
      </c>
      <c r="V49" s="22">
        <v>24645</v>
      </c>
      <c r="W49" s="22">
        <v>22645</v>
      </c>
      <c r="X49" s="22">
        <v>24645</v>
      </c>
      <c r="Y49" s="22">
        <v>22645</v>
      </c>
      <c r="Z49" s="22">
        <v>29045</v>
      </c>
      <c r="AA49" s="22">
        <v>27045</v>
      </c>
      <c r="AB49" s="24">
        <v>101000</v>
      </c>
      <c r="AC49" s="24">
        <v>105000</v>
      </c>
      <c r="AD49" s="24">
        <v>104000</v>
      </c>
      <c r="AE49" s="24">
        <v>103000</v>
      </c>
      <c r="AF49" s="24">
        <v>97000</v>
      </c>
      <c r="AG49" s="24">
        <v>103000</v>
      </c>
      <c r="AH49" s="24">
        <v>100500</v>
      </c>
      <c r="AI49" s="24">
        <v>100000</v>
      </c>
      <c r="AJ49" s="25">
        <v>4.5999999999999996</v>
      </c>
      <c r="AK49" s="25">
        <v>8.4</v>
      </c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8">
        <f t="shared" si="51"/>
        <v>1</v>
      </c>
      <c r="AY49" s="8">
        <f t="shared" si="52"/>
        <v>3</v>
      </c>
      <c r="AZ49" s="16" t="str">
        <f t="shared" si="16"/>
        <v>∆(1-3)</v>
      </c>
      <c r="BA49" s="17">
        <f t="shared" ca="1" si="53"/>
        <v>-9000</v>
      </c>
      <c r="BB49" s="17">
        <f t="shared" ca="1" si="54"/>
        <v>2100</v>
      </c>
      <c r="BC49" s="17">
        <f t="shared" ca="1" si="17"/>
        <v>1800</v>
      </c>
      <c r="BD49" s="17" t="e">
        <f>#REF!</f>
        <v>#REF!</v>
      </c>
      <c r="BE49" s="17">
        <f t="shared" ca="1" si="18"/>
        <v>-9000</v>
      </c>
      <c r="BF49" s="17">
        <f t="shared" ca="1" si="19"/>
        <v>2100</v>
      </c>
      <c r="BG49" s="17">
        <f t="shared" ca="1" si="20"/>
        <v>2100</v>
      </c>
      <c r="BH49" s="17">
        <f t="shared" ca="1" si="21"/>
        <v>2100</v>
      </c>
      <c r="BI49" s="17" t="e">
        <f t="shared" si="22"/>
        <v>#REF!</v>
      </c>
      <c r="BJ49" s="17" t="e">
        <f t="shared" si="23"/>
        <v>#REF!</v>
      </c>
      <c r="BK49" s="17" t="e">
        <f t="shared" si="24"/>
        <v>#REF!</v>
      </c>
      <c r="BL49" s="17" t="e">
        <f t="shared" si="25"/>
        <v>#REF!</v>
      </c>
      <c r="BM49" s="18" t="e">
        <f t="shared" ca="1" si="26"/>
        <v>#VALUE!</v>
      </c>
      <c r="BN49" s="19" t="e">
        <f ca="1">IF(BM49&gt;=#REF!/100,"Yes","No")</f>
        <v>#VALUE!</v>
      </c>
      <c r="BO49" s="20">
        <f t="shared" si="55"/>
        <v>2</v>
      </c>
      <c r="BP49" s="20" t="e">
        <f t="shared" ca="1" si="27"/>
        <v>#VALUE!</v>
      </c>
      <c r="BQ49" s="16" t="e">
        <f t="shared" ca="1" si="28"/>
        <v>#VALUE!</v>
      </c>
      <c r="BR49" s="17" t="e">
        <f t="shared" ca="1" si="56"/>
        <v>#VALUE!</v>
      </c>
      <c r="BS49" s="17" t="e">
        <f t="shared" ca="1" si="57"/>
        <v>#VALUE!</v>
      </c>
      <c r="BT49" s="17" t="e">
        <f t="shared" ca="1" si="29"/>
        <v>#VALUE!</v>
      </c>
      <c r="BU49" s="17" t="e">
        <f>#REF!</f>
        <v>#REF!</v>
      </c>
      <c r="BV49" s="17" t="e">
        <f t="shared" ca="1" si="30"/>
        <v>#VALUE!</v>
      </c>
      <c r="BW49" s="17" t="e">
        <f t="shared" ca="1" si="31"/>
        <v>#VALUE!</v>
      </c>
      <c r="BX49" s="17" t="e">
        <f t="shared" ca="1" si="32"/>
        <v>#VALUE!</v>
      </c>
      <c r="BY49" s="17" t="e">
        <f t="shared" ca="1" si="33"/>
        <v>#VALUE!</v>
      </c>
      <c r="BZ49" s="17" t="e">
        <f t="shared" si="34"/>
        <v>#REF!</v>
      </c>
      <c r="CA49" s="17" t="e">
        <f t="shared" si="35"/>
        <v>#REF!</v>
      </c>
      <c r="CB49" s="17" t="e">
        <f t="shared" si="36"/>
        <v>#REF!</v>
      </c>
      <c r="CC49" s="17" t="e">
        <f t="shared" si="37"/>
        <v>#REF!</v>
      </c>
      <c r="CD49" s="18" t="e">
        <f t="shared" ca="1" si="38"/>
        <v>#VALUE!</v>
      </c>
      <c r="CE49" s="19" t="e">
        <f ca="1">IF(CD49&gt;=#REF!/100,"Yes","No")</f>
        <v>#VALUE!</v>
      </c>
      <c r="CF49" s="20">
        <f t="shared" si="58"/>
        <v>4</v>
      </c>
      <c r="CG49" s="20" t="e">
        <f t="shared" ca="1" si="39"/>
        <v>#VALUE!</v>
      </c>
      <c r="CH49" s="16" t="e">
        <f t="shared" ca="1" si="40"/>
        <v>#VALUE!</v>
      </c>
      <c r="CI49" s="17" t="e">
        <f t="shared" ca="1" si="59"/>
        <v>#VALUE!</v>
      </c>
      <c r="CJ49" s="17" t="e">
        <f t="shared" ca="1" si="60"/>
        <v>#VALUE!</v>
      </c>
      <c r="CK49" s="17" t="e">
        <f t="shared" ca="1" si="41"/>
        <v>#VALUE!</v>
      </c>
      <c r="CL49" s="17" t="e">
        <f>#REF!</f>
        <v>#REF!</v>
      </c>
      <c r="CM49" s="17" t="e">
        <f t="shared" ca="1" si="42"/>
        <v>#VALUE!</v>
      </c>
      <c r="CN49" s="17" t="e">
        <f t="shared" ca="1" si="43"/>
        <v>#VALUE!</v>
      </c>
      <c r="CO49" s="17" t="e">
        <f t="shared" ca="1" si="44"/>
        <v>#VALUE!</v>
      </c>
      <c r="CP49" s="17" t="e">
        <f t="shared" ca="1" si="45"/>
        <v>#VALUE!</v>
      </c>
      <c r="CQ49" s="17" t="e">
        <f t="shared" si="46"/>
        <v>#REF!</v>
      </c>
      <c r="CR49" s="17" t="e">
        <f t="shared" si="47"/>
        <v>#REF!</v>
      </c>
      <c r="CS49" s="17" t="e">
        <f t="shared" si="48"/>
        <v>#REF!</v>
      </c>
      <c r="CT49" s="17" t="e">
        <f t="shared" si="49"/>
        <v>#REF!</v>
      </c>
      <c r="CU49" s="18" t="e">
        <f t="shared" ca="1" si="50"/>
        <v>#VALUE!</v>
      </c>
      <c r="CV49" s="19" t="e">
        <f ca="1">IF(CU49&gt;=#REF!/100,"Yes","No")</f>
        <v>#VALUE!</v>
      </c>
    </row>
    <row r="50" spans="1:100" x14ac:dyDescent="0.25">
      <c r="A50" t="s">
        <v>114</v>
      </c>
      <c r="B50" t="s">
        <v>116</v>
      </c>
      <c r="C50">
        <v>115206048</v>
      </c>
      <c r="D50" t="str">
        <f t="shared" si="5"/>
        <v>Balcı, Erdem-115206048</v>
      </c>
      <c r="E50" s="22">
        <v>6</v>
      </c>
      <c r="F50" s="22">
        <v>3</v>
      </c>
      <c r="G50" s="22">
        <v>15</v>
      </c>
      <c r="H50" s="22">
        <v>4984844</v>
      </c>
      <c r="I50" s="22">
        <v>1634702</v>
      </c>
      <c r="J50" s="22">
        <v>7591074</v>
      </c>
      <c r="K50" s="22">
        <v>6385546</v>
      </c>
      <c r="L50" s="22">
        <v>100000</v>
      </c>
      <c r="M50" s="22">
        <v>108100</v>
      </c>
      <c r="N50" s="22">
        <v>117100</v>
      </c>
      <c r="O50" s="22">
        <v>126500</v>
      </c>
      <c r="P50" s="22">
        <v>117100</v>
      </c>
      <c r="Q50" s="22">
        <v>126500</v>
      </c>
      <c r="R50" s="22">
        <v>100000</v>
      </c>
      <c r="S50" s="22">
        <v>108100</v>
      </c>
      <c r="T50" s="24">
        <v>29000</v>
      </c>
      <c r="U50" s="22">
        <v>27046</v>
      </c>
      <c r="V50" s="22">
        <v>24946</v>
      </c>
      <c r="W50" s="22">
        <v>22846</v>
      </c>
      <c r="X50" s="22">
        <v>24946</v>
      </c>
      <c r="Y50" s="22">
        <v>22846</v>
      </c>
      <c r="Z50" s="22">
        <v>29046</v>
      </c>
      <c r="AA50" s="22">
        <v>27046</v>
      </c>
      <c r="AB50" s="24">
        <v>94000</v>
      </c>
      <c r="AC50" s="24">
        <v>95000</v>
      </c>
      <c r="AD50" s="24">
        <v>96000</v>
      </c>
      <c r="AE50" s="24">
        <v>100000</v>
      </c>
      <c r="AF50" s="24">
        <v>91500</v>
      </c>
      <c r="AG50" s="24">
        <v>91500</v>
      </c>
      <c r="AH50" s="24">
        <v>93000</v>
      </c>
      <c r="AI50" s="24">
        <v>98500</v>
      </c>
      <c r="AJ50" s="25">
        <v>2.6</v>
      </c>
      <c r="AK50" s="25">
        <v>7.4</v>
      </c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8">
        <f t="shared" si="51"/>
        <v>4</v>
      </c>
      <c r="AY50" s="8">
        <f t="shared" si="52"/>
        <v>3</v>
      </c>
      <c r="AZ50" s="13" t="str">
        <f t="shared" si="16"/>
        <v>∆(4-3)</v>
      </c>
      <c r="BA50" s="10">
        <f t="shared" ca="1" si="53"/>
        <v>-8700</v>
      </c>
      <c r="BB50" s="10">
        <f t="shared" ca="1" si="54"/>
        <v>2000</v>
      </c>
      <c r="BC50" s="10">
        <f t="shared" ca="1" si="17"/>
        <v>1740</v>
      </c>
      <c r="BD50" s="10" t="e">
        <f>#REF!</f>
        <v>#REF!</v>
      </c>
      <c r="BE50" s="10">
        <f t="shared" ca="1" si="18"/>
        <v>-8700</v>
      </c>
      <c r="BF50" s="10">
        <f t="shared" ca="1" si="19"/>
        <v>2000</v>
      </c>
      <c r="BG50" s="10">
        <f t="shared" ca="1" si="20"/>
        <v>2000</v>
      </c>
      <c r="BH50" s="10">
        <f t="shared" ca="1" si="21"/>
        <v>2000</v>
      </c>
      <c r="BI50" s="10" t="e">
        <f t="shared" si="22"/>
        <v>#REF!</v>
      </c>
      <c r="BJ50" s="10" t="e">
        <f t="shared" si="23"/>
        <v>#REF!</v>
      </c>
      <c r="BK50" s="10" t="e">
        <f t="shared" si="24"/>
        <v>#REF!</v>
      </c>
      <c r="BL50" s="10" t="e">
        <f t="shared" si="25"/>
        <v>#REF!</v>
      </c>
      <c r="BM50" s="14" t="e">
        <f t="shared" ca="1" si="26"/>
        <v>#VALUE!</v>
      </c>
      <c r="BN50" s="15" t="e">
        <f ca="1">IF(BM50&gt;=#REF!/100,"Yes","No")</f>
        <v>#VALUE!</v>
      </c>
      <c r="BO50" s="6">
        <f t="shared" si="55"/>
        <v>1</v>
      </c>
      <c r="BP50" s="6" t="e">
        <f t="shared" ca="1" si="27"/>
        <v>#VALUE!</v>
      </c>
      <c r="BQ50" s="13" t="e">
        <f t="shared" ca="1" si="28"/>
        <v>#VALUE!</v>
      </c>
      <c r="BR50" s="10" t="e">
        <f t="shared" ca="1" si="56"/>
        <v>#VALUE!</v>
      </c>
      <c r="BS50" s="10" t="e">
        <f t="shared" ca="1" si="57"/>
        <v>#VALUE!</v>
      </c>
      <c r="BT50" s="10" t="e">
        <f t="shared" ca="1" si="29"/>
        <v>#VALUE!</v>
      </c>
      <c r="BU50" s="10" t="e">
        <f>#REF!</f>
        <v>#REF!</v>
      </c>
      <c r="BV50" s="10" t="e">
        <f t="shared" ca="1" si="30"/>
        <v>#VALUE!</v>
      </c>
      <c r="BW50" s="10" t="e">
        <f t="shared" ca="1" si="31"/>
        <v>#VALUE!</v>
      </c>
      <c r="BX50" s="10" t="e">
        <f t="shared" ca="1" si="32"/>
        <v>#VALUE!</v>
      </c>
      <c r="BY50" s="10" t="e">
        <f t="shared" ca="1" si="33"/>
        <v>#VALUE!</v>
      </c>
      <c r="BZ50" s="10" t="e">
        <f t="shared" si="34"/>
        <v>#REF!</v>
      </c>
      <c r="CA50" s="10" t="e">
        <f t="shared" si="35"/>
        <v>#REF!</v>
      </c>
      <c r="CB50" s="10" t="e">
        <f t="shared" si="36"/>
        <v>#REF!</v>
      </c>
      <c r="CC50" s="10" t="e">
        <f t="shared" si="37"/>
        <v>#REF!</v>
      </c>
      <c r="CD50" s="14" t="e">
        <f t="shared" ca="1" si="38"/>
        <v>#VALUE!</v>
      </c>
      <c r="CE50" s="15" t="e">
        <f ca="1">IF(CD50&gt;=#REF!/100,"Yes","No")</f>
        <v>#VALUE!</v>
      </c>
      <c r="CF50" s="6">
        <f t="shared" si="58"/>
        <v>2</v>
      </c>
      <c r="CG50" s="6" t="e">
        <f t="shared" ca="1" si="39"/>
        <v>#VALUE!</v>
      </c>
      <c r="CH50" s="13" t="e">
        <f t="shared" ca="1" si="40"/>
        <v>#VALUE!</v>
      </c>
      <c r="CI50" s="10" t="e">
        <f t="shared" ca="1" si="59"/>
        <v>#VALUE!</v>
      </c>
      <c r="CJ50" s="10" t="e">
        <f t="shared" ca="1" si="60"/>
        <v>#VALUE!</v>
      </c>
      <c r="CK50" s="10" t="e">
        <f t="shared" ca="1" si="41"/>
        <v>#VALUE!</v>
      </c>
      <c r="CL50" s="10" t="e">
        <f>#REF!</f>
        <v>#REF!</v>
      </c>
      <c r="CM50" s="10" t="e">
        <f t="shared" ca="1" si="42"/>
        <v>#VALUE!</v>
      </c>
      <c r="CN50" s="10" t="e">
        <f t="shared" ca="1" si="43"/>
        <v>#VALUE!</v>
      </c>
      <c r="CO50" s="10" t="e">
        <f t="shared" ca="1" si="44"/>
        <v>#VALUE!</v>
      </c>
      <c r="CP50" s="10" t="e">
        <f t="shared" ca="1" si="45"/>
        <v>#VALUE!</v>
      </c>
      <c r="CQ50" s="10" t="e">
        <f t="shared" si="46"/>
        <v>#REF!</v>
      </c>
      <c r="CR50" s="10" t="e">
        <f t="shared" si="47"/>
        <v>#REF!</v>
      </c>
      <c r="CS50" s="10" t="e">
        <f t="shared" si="48"/>
        <v>#REF!</v>
      </c>
      <c r="CT50" s="10" t="e">
        <f t="shared" si="49"/>
        <v>#REF!</v>
      </c>
      <c r="CU50" s="14" t="e">
        <f t="shared" ca="1" si="50"/>
        <v>#VALUE!</v>
      </c>
      <c r="CV50" s="15" t="e">
        <f ca="1">IF(CU50&gt;=#REF!/100,"Yes","No")</f>
        <v>#VALUE!</v>
      </c>
    </row>
    <row r="51" spans="1:100" x14ac:dyDescent="0.25">
      <c r="A51" t="s">
        <v>117</v>
      </c>
      <c r="B51" t="s">
        <v>118</v>
      </c>
      <c r="C51">
        <v>115206066</v>
      </c>
      <c r="D51" t="str">
        <f t="shared" si="5"/>
        <v>Baran, Yasin-115206066</v>
      </c>
      <c r="E51" s="22">
        <v>6</v>
      </c>
      <c r="F51" s="22">
        <v>3</v>
      </c>
      <c r="G51" s="22">
        <v>15</v>
      </c>
      <c r="H51" s="22">
        <v>4288296</v>
      </c>
      <c r="I51" s="22">
        <v>5818697</v>
      </c>
      <c r="J51" s="22">
        <v>3480170</v>
      </c>
      <c r="K51" s="22">
        <v>1679998</v>
      </c>
      <c r="L51" s="22">
        <v>100000</v>
      </c>
      <c r="M51" s="22">
        <v>108500</v>
      </c>
      <c r="N51" s="22">
        <v>117400</v>
      </c>
      <c r="O51" s="22">
        <v>126500</v>
      </c>
      <c r="P51" s="22">
        <v>108500</v>
      </c>
      <c r="Q51" s="22">
        <v>100000</v>
      </c>
      <c r="R51" s="22">
        <v>117400</v>
      </c>
      <c r="S51" s="22">
        <v>126500</v>
      </c>
      <c r="T51" s="24">
        <v>27000</v>
      </c>
      <c r="U51" s="22">
        <v>26647</v>
      </c>
      <c r="V51" s="22">
        <v>24147</v>
      </c>
      <c r="W51" s="22">
        <v>21947</v>
      </c>
      <c r="X51" s="22">
        <v>26647</v>
      </c>
      <c r="Y51" s="22">
        <v>29047</v>
      </c>
      <c r="Z51" s="22">
        <v>24147</v>
      </c>
      <c r="AA51" s="22">
        <v>21947</v>
      </c>
      <c r="AB51" s="24">
        <v>119000</v>
      </c>
      <c r="AC51" s="24">
        <v>123000</v>
      </c>
      <c r="AD51" s="24">
        <v>122000</v>
      </c>
      <c r="AE51" s="24">
        <v>124000</v>
      </c>
      <c r="AF51" s="24">
        <v>116500</v>
      </c>
      <c r="AG51" s="24">
        <v>120000</v>
      </c>
      <c r="AH51" s="24">
        <v>118000</v>
      </c>
      <c r="AI51" s="24">
        <v>121000</v>
      </c>
      <c r="AJ51" s="25">
        <v>4.5999999999999996</v>
      </c>
      <c r="AK51" s="25">
        <v>9.5</v>
      </c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8">
        <f t="shared" si="51"/>
        <v>4</v>
      </c>
      <c r="AY51" s="8">
        <f t="shared" si="52"/>
        <v>3</v>
      </c>
      <c r="AZ51" s="16" t="str">
        <f t="shared" si="16"/>
        <v>∆(4-3)</v>
      </c>
      <c r="BA51" s="17">
        <f t="shared" ca="1" si="53"/>
        <v>-8100</v>
      </c>
      <c r="BB51" s="17">
        <f t="shared" ca="1" si="54"/>
        <v>2000</v>
      </c>
      <c r="BC51" s="17">
        <f t="shared" ca="1" si="17"/>
        <v>1620</v>
      </c>
      <c r="BD51" s="17" t="e">
        <f>#REF!</f>
        <v>#REF!</v>
      </c>
      <c r="BE51" s="17">
        <f t="shared" ca="1" si="18"/>
        <v>-8100</v>
      </c>
      <c r="BF51" s="17">
        <f t="shared" ca="1" si="19"/>
        <v>2000</v>
      </c>
      <c r="BG51" s="17">
        <f t="shared" ca="1" si="20"/>
        <v>2000</v>
      </c>
      <c r="BH51" s="17">
        <f t="shared" ca="1" si="21"/>
        <v>2000</v>
      </c>
      <c r="BI51" s="17" t="e">
        <f t="shared" si="22"/>
        <v>#REF!</v>
      </c>
      <c r="BJ51" s="17" t="e">
        <f t="shared" si="23"/>
        <v>#REF!</v>
      </c>
      <c r="BK51" s="17" t="e">
        <f t="shared" si="24"/>
        <v>#REF!</v>
      </c>
      <c r="BL51" s="17" t="e">
        <f t="shared" si="25"/>
        <v>#REF!</v>
      </c>
      <c r="BM51" s="18" t="e">
        <f t="shared" ca="1" si="26"/>
        <v>#VALUE!</v>
      </c>
      <c r="BN51" s="19" t="e">
        <f ca="1">IF(BM51&gt;=#REF!/100,"Yes","No")</f>
        <v>#VALUE!</v>
      </c>
      <c r="BO51" s="20">
        <f t="shared" si="55"/>
        <v>1</v>
      </c>
      <c r="BP51" s="20" t="e">
        <f t="shared" ca="1" si="27"/>
        <v>#VALUE!</v>
      </c>
      <c r="BQ51" s="16" t="e">
        <f t="shared" ca="1" si="28"/>
        <v>#VALUE!</v>
      </c>
      <c r="BR51" s="17" t="e">
        <f t="shared" ca="1" si="56"/>
        <v>#VALUE!</v>
      </c>
      <c r="BS51" s="17" t="e">
        <f t="shared" ca="1" si="57"/>
        <v>#VALUE!</v>
      </c>
      <c r="BT51" s="17" t="e">
        <f t="shared" ca="1" si="29"/>
        <v>#VALUE!</v>
      </c>
      <c r="BU51" s="17" t="e">
        <f>#REF!</f>
        <v>#REF!</v>
      </c>
      <c r="BV51" s="17" t="e">
        <f t="shared" ca="1" si="30"/>
        <v>#VALUE!</v>
      </c>
      <c r="BW51" s="17" t="e">
        <f t="shared" ca="1" si="31"/>
        <v>#VALUE!</v>
      </c>
      <c r="BX51" s="17" t="e">
        <f t="shared" ca="1" si="32"/>
        <v>#VALUE!</v>
      </c>
      <c r="BY51" s="17" t="e">
        <f t="shared" ca="1" si="33"/>
        <v>#VALUE!</v>
      </c>
      <c r="BZ51" s="17" t="e">
        <f t="shared" si="34"/>
        <v>#REF!</v>
      </c>
      <c r="CA51" s="17" t="e">
        <f t="shared" si="35"/>
        <v>#REF!</v>
      </c>
      <c r="CB51" s="17" t="e">
        <f t="shared" si="36"/>
        <v>#REF!</v>
      </c>
      <c r="CC51" s="17" t="e">
        <f t="shared" si="37"/>
        <v>#REF!</v>
      </c>
      <c r="CD51" s="18" t="e">
        <f t="shared" ca="1" si="38"/>
        <v>#VALUE!</v>
      </c>
      <c r="CE51" s="19" t="e">
        <f ca="1">IF(CD51&gt;=#REF!/100,"Yes","No")</f>
        <v>#VALUE!</v>
      </c>
      <c r="CF51" s="20">
        <f t="shared" si="58"/>
        <v>2</v>
      </c>
      <c r="CG51" s="20" t="e">
        <f t="shared" ca="1" si="39"/>
        <v>#VALUE!</v>
      </c>
      <c r="CH51" s="16" t="e">
        <f t="shared" ca="1" si="40"/>
        <v>#VALUE!</v>
      </c>
      <c r="CI51" s="17" t="e">
        <f t="shared" ca="1" si="59"/>
        <v>#VALUE!</v>
      </c>
      <c r="CJ51" s="17" t="e">
        <f t="shared" ca="1" si="60"/>
        <v>#VALUE!</v>
      </c>
      <c r="CK51" s="17" t="e">
        <f t="shared" ca="1" si="41"/>
        <v>#VALUE!</v>
      </c>
      <c r="CL51" s="17" t="e">
        <f>#REF!</f>
        <v>#REF!</v>
      </c>
      <c r="CM51" s="17" t="e">
        <f t="shared" ca="1" si="42"/>
        <v>#VALUE!</v>
      </c>
      <c r="CN51" s="17" t="e">
        <f t="shared" ca="1" si="43"/>
        <v>#VALUE!</v>
      </c>
      <c r="CO51" s="17" t="e">
        <f t="shared" ca="1" si="44"/>
        <v>#VALUE!</v>
      </c>
      <c r="CP51" s="17" t="e">
        <f t="shared" ca="1" si="45"/>
        <v>#VALUE!</v>
      </c>
      <c r="CQ51" s="17" t="e">
        <f t="shared" si="46"/>
        <v>#REF!</v>
      </c>
      <c r="CR51" s="17" t="e">
        <f t="shared" si="47"/>
        <v>#REF!</v>
      </c>
      <c r="CS51" s="17" t="e">
        <f t="shared" si="48"/>
        <v>#REF!</v>
      </c>
      <c r="CT51" s="17" t="e">
        <f t="shared" si="49"/>
        <v>#REF!</v>
      </c>
      <c r="CU51" s="18" t="e">
        <f t="shared" ca="1" si="50"/>
        <v>#VALUE!</v>
      </c>
      <c r="CV51" s="19" t="e">
        <f ca="1">IF(CU51&gt;=#REF!/100,"Yes","No")</f>
        <v>#VALUE!</v>
      </c>
    </row>
    <row r="52" spans="1:100" x14ac:dyDescent="0.25">
      <c r="A52" t="s">
        <v>119</v>
      </c>
      <c r="B52" t="s">
        <v>120</v>
      </c>
      <c r="C52">
        <v>113206042</v>
      </c>
      <c r="D52" t="str">
        <f t="shared" si="5"/>
        <v>Barut, Uğurcan-113206042</v>
      </c>
      <c r="E52" s="22">
        <v>4</v>
      </c>
      <c r="F52" s="22">
        <v>1</v>
      </c>
      <c r="G52" s="22">
        <v>8</v>
      </c>
      <c r="H52" s="22">
        <v>8563969</v>
      </c>
      <c r="I52" s="22">
        <v>683411</v>
      </c>
      <c r="J52" s="22">
        <v>9472249</v>
      </c>
      <c r="K52" s="22">
        <v>2947532</v>
      </c>
      <c r="L52" s="22">
        <v>100000</v>
      </c>
      <c r="M52" s="22">
        <v>108600</v>
      </c>
      <c r="N52" s="22">
        <v>118200</v>
      </c>
      <c r="O52" s="22">
        <v>127000</v>
      </c>
      <c r="P52" s="22">
        <v>118200</v>
      </c>
      <c r="Q52" s="22">
        <v>100000</v>
      </c>
      <c r="R52" s="22">
        <v>127000</v>
      </c>
      <c r="S52" s="22">
        <v>108600</v>
      </c>
      <c r="T52" s="24">
        <v>24000</v>
      </c>
      <c r="U52" s="22">
        <v>26948</v>
      </c>
      <c r="V52" s="22">
        <v>24948</v>
      </c>
      <c r="W52" s="22">
        <v>22648</v>
      </c>
      <c r="X52" s="22">
        <v>24948</v>
      </c>
      <c r="Y52" s="22">
        <v>29048</v>
      </c>
      <c r="Z52" s="22">
        <v>22648</v>
      </c>
      <c r="AA52" s="22">
        <v>26948</v>
      </c>
      <c r="AB52" s="24">
        <v>99000</v>
      </c>
      <c r="AC52" s="24">
        <v>101000</v>
      </c>
      <c r="AD52" s="24">
        <v>100000</v>
      </c>
      <c r="AE52" s="24">
        <v>98000</v>
      </c>
      <c r="AF52" s="24">
        <v>95000</v>
      </c>
      <c r="AG52" s="24">
        <v>98000</v>
      </c>
      <c r="AH52" s="24">
        <v>97000</v>
      </c>
      <c r="AI52" s="24">
        <v>96000</v>
      </c>
      <c r="AJ52" s="25">
        <v>2.6</v>
      </c>
      <c r="AK52" s="25">
        <v>7.1</v>
      </c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8">
        <f t="shared" si="51"/>
        <v>1</v>
      </c>
      <c r="AY52" s="8">
        <f t="shared" si="52"/>
        <v>2</v>
      </c>
      <c r="AZ52" s="13" t="str">
        <f t="shared" si="16"/>
        <v>∆(1-2)</v>
      </c>
      <c r="BA52" s="10">
        <f t="shared" ca="1" si="53"/>
        <v>-8500</v>
      </c>
      <c r="BB52" s="10">
        <f t="shared" ca="1" si="54"/>
        <v>2400</v>
      </c>
      <c r="BC52" s="10">
        <f t="shared" ca="1" si="17"/>
        <v>1700</v>
      </c>
      <c r="BD52" s="10" t="e">
        <f>#REF!</f>
        <v>#REF!</v>
      </c>
      <c r="BE52" s="10">
        <f t="shared" ca="1" si="18"/>
        <v>-8500</v>
      </c>
      <c r="BF52" s="10">
        <f t="shared" ca="1" si="19"/>
        <v>2400</v>
      </c>
      <c r="BG52" s="10">
        <f t="shared" ca="1" si="20"/>
        <v>2400</v>
      </c>
      <c r="BH52" s="10">
        <f t="shared" ca="1" si="21"/>
        <v>2400</v>
      </c>
      <c r="BI52" s="10" t="e">
        <f t="shared" si="22"/>
        <v>#REF!</v>
      </c>
      <c r="BJ52" s="10" t="e">
        <f t="shared" si="23"/>
        <v>#REF!</v>
      </c>
      <c r="BK52" s="10" t="e">
        <f t="shared" si="24"/>
        <v>#REF!</v>
      </c>
      <c r="BL52" s="10" t="e">
        <f t="shared" si="25"/>
        <v>#REF!</v>
      </c>
      <c r="BM52" s="14" t="e">
        <f t="shared" ca="1" si="26"/>
        <v>#VALUE!</v>
      </c>
      <c r="BN52" s="15" t="e">
        <f ca="1">IF(BM52&gt;=#REF!/100,"Yes","No")</f>
        <v>#VALUE!</v>
      </c>
      <c r="BO52" s="6">
        <f t="shared" si="55"/>
        <v>3</v>
      </c>
      <c r="BP52" s="6" t="e">
        <f t="shared" ca="1" si="27"/>
        <v>#VALUE!</v>
      </c>
      <c r="BQ52" s="13" t="e">
        <f t="shared" ca="1" si="28"/>
        <v>#VALUE!</v>
      </c>
      <c r="BR52" s="10" t="e">
        <f t="shared" ca="1" si="56"/>
        <v>#VALUE!</v>
      </c>
      <c r="BS52" s="10" t="e">
        <f t="shared" ca="1" si="57"/>
        <v>#VALUE!</v>
      </c>
      <c r="BT52" s="10" t="e">
        <f t="shared" ca="1" si="29"/>
        <v>#VALUE!</v>
      </c>
      <c r="BU52" s="10" t="e">
        <f>#REF!</f>
        <v>#REF!</v>
      </c>
      <c r="BV52" s="10" t="e">
        <f t="shared" ca="1" si="30"/>
        <v>#VALUE!</v>
      </c>
      <c r="BW52" s="10" t="e">
        <f t="shared" ca="1" si="31"/>
        <v>#VALUE!</v>
      </c>
      <c r="BX52" s="10" t="e">
        <f t="shared" ca="1" si="32"/>
        <v>#VALUE!</v>
      </c>
      <c r="BY52" s="10" t="e">
        <f t="shared" ca="1" si="33"/>
        <v>#VALUE!</v>
      </c>
      <c r="BZ52" s="10" t="e">
        <f t="shared" si="34"/>
        <v>#REF!</v>
      </c>
      <c r="CA52" s="10" t="e">
        <f t="shared" si="35"/>
        <v>#REF!</v>
      </c>
      <c r="CB52" s="10" t="e">
        <f t="shared" si="36"/>
        <v>#REF!</v>
      </c>
      <c r="CC52" s="10" t="e">
        <f t="shared" si="37"/>
        <v>#REF!</v>
      </c>
      <c r="CD52" s="14" t="e">
        <f t="shared" ca="1" si="38"/>
        <v>#VALUE!</v>
      </c>
      <c r="CE52" s="15" t="e">
        <f ca="1">IF(CD52&gt;=#REF!/100,"Yes","No")</f>
        <v>#VALUE!</v>
      </c>
      <c r="CF52" s="6">
        <f t="shared" si="58"/>
        <v>4</v>
      </c>
      <c r="CG52" s="6" t="e">
        <f t="shared" ca="1" si="39"/>
        <v>#VALUE!</v>
      </c>
      <c r="CH52" s="13" t="e">
        <f t="shared" ca="1" si="40"/>
        <v>#VALUE!</v>
      </c>
      <c r="CI52" s="10" t="e">
        <f t="shared" ca="1" si="59"/>
        <v>#VALUE!</v>
      </c>
      <c r="CJ52" s="10" t="e">
        <f t="shared" ca="1" si="60"/>
        <v>#VALUE!</v>
      </c>
      <c r="CK52" s="10" t="e">
        <f t="shared" ca="1" si="41"/>
        <v>#VALUE!</v>
      </c>
      <c r="CL52" s="10" t="e">
        <f>#REF!</f>
        <v>#REF!</v>
      </c>
      <c r="CM52" s="10" t="e">
        <f t="shared" ca="1" si="42"/>
        <v>#VALUE!</v>
      </c>
      <c r="CN52" s="10" t="e">
        <f t="shared" ca="1" si="43"/>
        <v>#VALUE!</v>
      </c>
      <c r="CO52" s="10" t="e">
        <f t="shared" ca="1" si="44"/>
        <v>#VALUE!</v>
      </c>
      <c r="CP52" s="10" t="e">
        <f t="shared" ca="1" si="45"/>
        <v>#VALUE!</v>
      </c>
      <c r="CQ52" s="10" t="e">
        <f t="shared" si="46"/>
        <v>#REF!</v>
      </c>
      <c r="CR52" s="10" t="e">
        <f t="shared" si="47"/>
        <v>#REF!</v>
      </c>
      <c r="CS52" s="10" t="e">
        <f t="shared" si="48"/>
        <v>#REF!</v>
      </c>
      <c r="CT52" s="10" t="e">
        <f t="shared" si="49"/>
        <v>#REF!</v>
      </c>
      <c r="CU52" s="14" t="e">
        <f t="shared" ca="1" si="50"/>
        <v>#VALUE!</v>
      </c>
      <c r="CV52" s="15" t="e">
        <f ca="1">IF(CU52&gt;=#REF!/100,"Yes","No")</f>
        <v>#VALUE!</v>
      </c>
    </row>
    <row r="53" spans="1:100" x14ac:dyDescent="0.25">
      <c r="A53" t="s">
        <v>121</v>
      </c>
      <c r="B53" t="s">
        <v>122</v>
      </c>
      <c r="C53">
        <v>115206036</v>
      </c>
      <c r="D53" t="str">
        <f t="shared" si="5"/>
        <v>Bayezid, Elif-115206036</v>
      </c>
      <c r="E53" s="22">
        <v>5</v>
      </c>
      <c r="F53" s="22">
        <v>2</v>
      </c>
      <c r="G53" s="22">
        <v>10</v>
      </c>
      <c r="H53" s="22">
        <v>5702605</v>
      </c>
      <c r="I53" s="22">
        <v>2311677</v>
      </c>
      <c r="J53" s="22">
        <v>8979545</v>
      </c>
      <c r="K53" s="22">
        <v>8465405</v>
      </c>
      <c r="L53" s="22">
        <v>100000</v>
      </c>
      <c r="M53" s="22">
        <v>109600</v>
      </c>
      <c r="N53" s="22">
        <v>118500</v>
      </c>
      <c r="O53" s="22">
        <v>128400</v>
      </c>
      <c r="P53" s="22">
        <v>118500</v>
      </c>
      <c r="Q53" s="22">
        <v>128400</v>
      </c>
      <c r="R53" s="22">
        <v>100000</v>
      </c>
      <c r="S53" s="22">
        <v>109600</v>
      </c>
      <c r="T53" s="24">
        <v>27000</v>
      </c>
      <c r="U53" s="22">
        <v>26949</v>
      </c>
      <c r="V53" s="22">
        <v>24649</v>
      </c>
      <c r="W53" s="22">
        <v>22349</v>
      </c>
      <c r="X53" s="22">
        <v>24649</v>
      </c>
      <c r="Y53" s="22">
        <v>22349</v>
      </c>
      <c r="Z53" s="22">
        <v>29049</v>
      </c>
      <c r="AA53" s="22">
        <v>26949</v>
      </c>
      <c r="AB53" s="24">
        <v>112000</v>
      </c>
      <c r="AC53" s="24">
        <v>113000</v>
      </c>
      <c r="AD53" s="24">
        <v>114000</v>
      </c>
      <c r="AE53" s="24">
        <v>111000</v>
      </c>
      <c r="AF53" s="24">
        <v>108500</v>
      </c>
      <c r="AG53" s="24">
        <v>110000</v>
      </c>
      <c r="AH53" s="24">
        <v>112000</v>
      </c>
      <c r="AI53" s="24">
        <v>108000</v>
      </c>
      <c r="AJ53" s="25">
        <v>2.8</v>
      </c>
      <c r="AK53" s="25">
        <v>8.1999999999999993</v>
      </c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8">
        <f t="shared" si="51"/>
        <v>4</v>
      </c>
      <c r="AY53" s="8">
        <f t="shared" si="52"/>
        <v>2</v>
      </c>
      <c r="AZ53" s="16" t="str">
        <f t="shared" si="16"/>
        <v>∆(4-2)</v>
      </c>
      <c r="BA53" s="17">
        <f t="shared" ca="1" si="53"/>
        <v>-8600</v>
      </c>
      <c r="BB53" s="17">
        <f t="shared" ca="1" si="54"/>
        <v>2100</v>
      </c>
      <c r="BC53" s="17">
        <f t="shared" ca="1" si="17"/>
        <v>1720</v>
      </c>
      <c r="BD53" s="17" t="e">
        <f>#REF!</f>
        <v>#REF!</v>
      </c>
      <c r="BE53" s="17">
        <f t="shared" ca="1" si="18"/>
        <v>-8600</v>
      </c>
      <c r="BF53" s="17">
        <f t="shared" ca="1" si="19"/>
        <v>2100</v>
      </c>
      <c r="BG53" s="17">
        <f t="shared" ca="1" si="20"/>
        <v>2100</v>
      </c>
      <c r="BH53" s="17">
        <f t="shared" ca="1" si="21"/>
        <v>2100</v>
      </c>
      <c r="BI53" s="17" t="e">
        <f t="shared" si="22"/>
        <v>#REF!</v>
      </c>
      <c r="BJ53" s="17" t="e">
        <f t="shared" si="23"/>
        <v>#REF!</v>
      </c>
      <c r="BK53" s="17" t="e">
        <f t="shared" si="24"/>
        <v>#REF!</v>
      </c>
      <c r="BL53" s="17" t="e">
        <f t="shared" si="25"/>
        <v>#REF!</v>
      </c>
      <c r="BM53" s="18" t="e">
        <f t="shared" ca="1" si="26"/>
        <v>#VALUE!</v>
      </c>
      <c r="BN53" s="19" t="e">
        <f ca="1">IF(BM53&gt;=#REF!/100,"Yes","No")</f>
        <v>#VALUE!</v>
      </c>
      <c r="BO53" s="20">
        <f t="shared" si="55"/>
        <v>1</v>
      </c>
      <c r="BP53" s="20" t="e">
        <f t="shared" ca="1" si="27"/>
        <v>#VALUE!</v>
      </c>
      <c r="BQ53" s="16" t="e">
        <f t="shared" ca="1" si="28"/>
        <v>#VALUE!</v>
      </c>
      <c r="BR53" s="17" t="e">
        <f t="shared" ca="1" si="56"/>
        <v>#VALUE!</v>
      </c>
      <c r="BS53" s="17" t="e">
        <f t="shared" ca="1" si="57"/>
        <v>#VALUE!</v>
      </c>
      <c r="BT53" s="17" t="e">
        <f t="shared" ca="1" si="29"/>
        <v>#VALUE!</v>
      </c>
      <c r="BU53" s="17" t="e">
        <f>#REF!</f>
        <v>#REF!</v>
      </c>
      <c r="BV53" s="17" t="e">
        <f t="shared" ca="1" si="30"/>
        <v>#VALUE!</v>
      </c>
      <c r="BW53" s="17" t="e">
        <f t="shared" ca="1" si="31"/>
        <v>#VALUE!</v>
      </c>
      <c r="BX53" s="17" t="e">
        <f t="shared" ca="1" si="32"/>
        <v>#VALUE!</v>
      </c>
      <c r="BY53" s="17" t="e">
        <f t="shared" ca="1" si="33"/>
        <v>#VALUE!</v>
      </c>
      <c r="BZ53" s="17" t="e">
        <f t="shared" si="34"/>
        <v>#REF!</v>
      </c>
      <c r="CA53" s="17" t="e">
        <f t="shared" si="35"/>
        <v>#REF!</v>
      </c>
      <c r="CB53" s="17" t="e">
        <f t="shared" si="36"/>
        <v>#REF!</v>
      </c>
      <c r="CC53" s="17" t="e">
        <f t="shared" si="37"/>
        <v>#REF!</v>
      </c>
      <c r="CD53" s="18" t="e">
        <f t="shared" ca="1" si="38"/>
        <v>#VALUE!</v>
      </c>
      <c r="CE53" s="19" t="e">
        <f ca="1">IF(CD53&gt;=#REF!/100,"Yes","No")</f>
        <v>#VALUE!</v>
      </c>
      <c r="CF53" s="20">
        <f t="shared" si="58"/>
        <v>3</v>
      </c>
      <c r="CG53" s="20" t="e">
        <f t="shared" ca="1" si="39"/>
        <v>#VALUE!</v>
      </c>
      <c r="CH53" s="16" t="e">
        <f t="shared" ca="1" si="40"/>
        <v>#VALUE!</v>
      </c>
      <c r="CI53" s="17" t="e">
        <f t="shared" ca="1" si="59"/>
        <v>#VALUE!</v>
      </c>
      <c r="CJ53" s="17" t="e">
        <f t="shared" ca="1" si="60"/>
        <v>#VALUE!</v>
      </c>
      <c r="CK53" s="17" t="e">
        <f t="shared" ca="1" si="41"/>
        <v>#VALUE!</v>
      </c>
      <c r="CL53" s="17" t="e">
        <f>#REF!</f>
        <v>#REF!</v>
      </c>
      <c r="CM53" s="17" t="e">
        <f t="shared" ca="1" si="42"/>
        <v>#VALUE!</v>
      </c>
      <c r="CN53" s="17" t="e">
        <f t="shared" ca="1" si="43"/>
        <v>#VALUE!</v>
      </c>
      <c r="CO53" s="17" t="e">
        <f t="shared" ca="1" si="44"/>
        <v>#VALUE!</v>
      </c>
      <c r="CP53" s="17" t="e">
        <f t="shared" ca="1" si="45"/>
        <v>#VALUE!</v>
      </c>
      <c r="CQ53" s="17" t="e">
        <f t="shared" si="46"/>
        <v>#REF!</v>
      </c>
      <c r="CR53" s="17" t="e">
        <f t="shared" si="47"/>
        <v>#REF!</v>
      </c>
      <c r="CS53" s="17" t="e">
        <f t="shared" si="48"/>
        <v>#REF!</v>
      </c>
      <c r="CT53" s="17" t="e">
        <f t="shared" si="49"/>
        <v>#REF!</v>
      </c>
      <c r="CU53" s="18" t="e">
        <f t="shared" ca="1" si="50"/>
        <v>#VALUE!</v>
      </c>
      <c r="CV53" s="19" t="e">
        <f ca="1">IF(CU53&gt;=#REF!/100,"Yes","No")</f>
        <v>#VALUE!</v>
      </c>
    </row>
    <row r="54" spans="1:100" x14ac:dyDescent="0.25">
      <c r="A54" t="s">
        <v>123</v>
      </c>
      <c r="B54" t="s">
        <v>124</v>
      </c>
      <c r="C54">
        <v>115204037</v>
      </c>
      <c r="D54" t="str">
        <f t="shared" si="5"/>
        <v>Baykal, Kemal-115204037</v>
      </c>
      <c r="E54" s="22">
        <v>6</v>
      </c>
      <c r="F54" s="22">
        <v>1</v>
      </c>
      <c r="G54" s="22">
        <v>8</v>
      </c>
      <c r="H54" s="22">
        <v>1616625</v>
      </c>
      <c r="I54" s="22">
        <v>693372</v>
      </c>
      <c r="J54" s="22">
        <v>9725402</v>
      </c>
      <c r="K54" s="22">
        <v>1083418</v>
      </c>
      <c r="L54" s="22">
        <v>100000</v>
      </c>
      <c r="M54" s="22">
        <v>109600</v>
      </c>
      <c r="N54" s="22">
        <v>117800</v>
      </c>
      <c r="O54" s="22">
        <v>127300</v>
      </c>
      <c r="P54" s="22">
        <v>117800</v>
      </c>
      <c r="Q54" s="22">
        <v>100000</v>
      </c>
      <c r="R54" s="22">
        <v>127300</v>
      </c>
      <c r="S54" s="22">
        <v>109600</v>
      </c>
      <c r="T54" s="24">
        <v>28000</v>
      </c>
      <c r="U54" s="22">
        <v>26750</v>
      </c>
      <c r="V54" s="22">
        <v>24750</v>
      </c>
      <c r="W54" s="22">
        <v>22650</v>
      </c>
      <c r="X54" s="22">
        <v>24750</v>
      </c>
      <c r="Y54" s="22">
        <v>29050</v>
      </c>
      <c r="Z54" s="22">
        <v>22650</v>
      </c>
      <c r="AA54" s="22">
        <v>26750</v>
      </c>
      <c r="AB54" s="24">
        <v>91000</v>
      </c>
      <c r="AC54" s="24">
        <v>94000</v>
      </c>
      <c r="AD54" s="24">
        <v>92000</v>
      </c>
      <c r="AE54" s="24">
        <v>94000</v>
      </c>
      <c r="AF54" s="24">
        <v>88000</v>
      </c>
      <c r="AG54" s="24">
        <v>92500</v>
      </c>
      <c r="AH54" s="24">
        <v>89000</v>
      </c>
      <c r="AI54" s="24">
        <v>92000</v>
      </c>
      <c r="AJ54" s="25">
        <v>2.5</v>
      </c>
      <c r="AK54" s="25">
        <v>9.3000000000000007</v>
      </c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8">
        <f t="shared" si="51"/>
        <v>4</v>
      </c>
      <c r="AY54" s="8">
        <f t="shared" si="52"/>
        <v>3</v>
      </c>
      <c r="AZ54" s="13" t="str">
        <f t="shared" si="16"/>
        <v>∆(4-3)</v>
      </c>
      <c r="BA54" s="10">
        <f t="shared" ca="1" si="53"/>
        <v>-9600</v>
      </c>
      <c r="BB54" s="10">
        <f t="shared" ca="1" si="54"/>
        <v>2100</v>
      </c>
      <c r="BC54" s="10">
        <f t="shared" ca="1" si="17"/>
        <v>1920</v>
      </c>
      <c r="BD54" s="10" t="e">
        <f>#REF!</f>
        <v>#REF!</v>
      </c>
      <c r="BE54" s="10">
        <f t="shared" ca="1" si="18"/>
        <v>-9600</v>
      </c>
      <c r="BF54" s="10">
        <f t="shared" ca="1" si="19"/>
        <v>2100</v>
      </c>
      <c r="BG54" s="10">
        <f t="shared" ca="1" si="20"/>
        <v>2100</v>
      </c>
      <c r="BH54" s="10">
        <f t="shared" ca="1" si="21"/>
        <v>2100</v>
      </c>
      <c r="BI54" s="10" t="e">
        <f t="shared" si="22"/>
        <v>#REF!</v>
      </c>
      <c r="BJ54" s="10" t="e">
        <f t="shared" si="23"/>
        <v>#REF!</v>
      </c>
      <c r="BK54" s="10" t="e">
        <f t="shared" si="24"/>
        <v>#REF!</v>
      </c>
      <c r="BL54" s="10" t="e">
        <f t="shared" si="25"/>
        <v>#REF!</v>
      </c>
      <c r="BM54" s="14" t="e">
        <f t="shared" ca="1" si="26"/>
        <v>#VALUE!</v>
      </c>
      <c r="BN54" s="15" t="e">
        <f ca="1">IF(BM54&gt;=#REF!/100,"Yes","No")</f>
        <v>#VALUE!</v>
      </c>
      <c r="BO54" s="6">
        <f t="shared" si="55"/>
        <v>1</v>
      </c>
      <c r="BP54" s="6" t="e">
        <f t="shared" ca="1" si="27"/>
        <v>#VALUE!</v>
      </c>
      <c r="BQ54" s="13" t="e">
        <f t="shared" ca="1" si="28"/>
        <v>#VALUE!</v>
      </c>
      <c r="BR54" s="10" t="e">
        <f t="shared" ca="1" si="56"/>
        <v>#VALUE!</v>
      </c>
      <c r="BS54" s="10" t="e">
        <f t="shared" ca="1" si="57"/>
        <v>#VALUE!</v>
      </c>
      <c r="BT54" s="10" t="e">
        <f t="shared" ca="1" si="29"/>
        <v>#VALUE!</v>
      </c>
      <c r="BU54" s="10" t="e">
        <f>#REF!</f>
        <v>#REF!</v>
      </c>
      <c r="BV54" s="10" t="e">
        <f t="shared" ca="1" si="30"/>
        <v>#VALUE!</v>
      </c>
      <c r="BW54" s="10" t="e">
        <f t="shared" ca="1" si="31"/>
        <v>#VALUE!</v>
      </c>
      <c r="BX54" s="10" t="e">
        <f t="shared" ca="1" si="32"/>
        <v>#VALUE!</v>
      </c>
      <c r="BY54" s="10" t="e">
        <f t="shared" ca="1" si="33"/>
        <v>#VALUE!</v>
      </c>
      <c r="BZ54" s="10" t="e">
        <f t="shared" si="34"/>
        <v>#REF!</v>
      </c>
      <c r="CA54" s="10" t="e">
        <f t="shared" si="35"/>
        <v>#REF!</v>
      </c>
      <c r="CB54" s="10" t="e">
        <f t="shared" si="36"/>
        <v>#REF!</v>
      </c>
      <c r="CC54" s="10" t="e">
        <f t="shared" si="37"/>
        <v>#REF!</v>
      </c>
      <c r="CD54" s="14" t="e">
        <f t="shared" ca="1" si="38"/>
        <v>#VALUE!</v>
      </c>
      <c r="CE54" s="15" t="e">
        <f ca="1">IF(CD54&gt;=#REF!/100,"Yes","No")</f>
        <v>#VALUE!</v>
      </c>
      <c r="CF54" s="6">
        <f t="shared" si="58"/>
        <v>2</v>
      </c>
      <c r="CG54" s="6" t="e">
        <f t="shared" ca="1" si="39"/>
        <v>#VALUE!</v>
      </c>
      <c r="CH54" s="13" t="e">
        <f t="shared" ca="1" si="40"/>
        <v>#VALUE!</v>
      </c>
      <c r="CI54" s="10" t="e">
        <f t="shared" ca="1" si="59"/>
        <v>#VALUE!</v>
      </c>
      <c r="CJ54" s="10" t="e">
        <f t="shared" ca="1" si="60"/>
        <v>#VALUE!</v>
      </c>
      <c r="CK54" s="10" t="e">
        <f t="shared" ca="1" si="41"/>
        <v>#VALUE!</v>
      </c>
      <c r="CL54" s="10" t="e">
        <f>#REF!</f>
        <v>#REF!</v>
      </c>
      <c r="CM54" s="10" t="e">
        <f t="shared" ca="1" si="42"/>
        <v>#VALUE!</v>
      </c>
      <c r="CN54" s="10" t="e">
        <f t="shared" ca="1" si="43"/>
        <v>#VALUE!</v>
      </c>
      <c r="CO54" s="10" t="e">
        <f t="shared" ca="1" si="44"/>
        <v>#VALUE!</v>
      </c>
      <c r="CP54" s="10" t="e">
        <f t="shared" ca="1" si="45"/>
        <v>#VALUE!</v>
      </c>
      <c r="CQ54" s="10" t="e">
        <f t="shared" si="46"/>
        <v>#REF!</v>
      </c>
      <c r="CR54" s="10" t="e">
        <f t="shared" si="47"/>
        <v>#REF!</v>
      </c>
      <c r="CS54" s="10" t="e">
        <f t="shared" si="48"/>
        <v>#REF!</v>
      </c>
      <c r="CT54" s="10" t="e">
        <f t="shared" si="49"/>
        <v>#REF!</v>
      </c>
      <c r="CU54" s="14" t="e">
        <f t="shared" ca="1" si="50"/>
        <v>#VALUE!</v>
      </c>
      <c r="CV54" s="15" t="e">
        <f ca="1">IF(CU54&gt;=#REF!/100,"Yes","No")</f>
        <v>#VALUE!</v>
      </c>
    </row>
    <row r="55" spans="1:100" x14ac:dyDescent="0.25">
      <c r="A55" t="s">
        <v>125</v>
      </c>
      <c r="B55" t="s">
        <v>126</v>
      </c>
      <c r="C55">
        <v>115200043</v>
      </c>
      <c r="D55" t="str">
        <f t="shared" si="5"/>
        <v>Bayraktar, Ahmet Faruk-115200043</v>
      </c>
      <c r="E55" s="22">
        <v>6</v>
      </c>
      <c r="F55" s="22">
        <v>3</v>
      </c>
      <c r="G55" s="22">
        <v>15</v>
      </c>
      <c r="H55" s="22">
        <v>9588245</v>
      </c>
      <c r="I55" s="22">
        <v>2397437</v>
      </c>
      <c r="J55" s="22">
        <v>8126019</v>
      </c>
      <c r="K55" s="22">
        <v>2830712</v>
      </c>
      <c r="L55" s="22">
        <v>100000</v>
      </c>
      <c r="M55" s="22">
        <v>108800</v>
      </c>
      <c r="N55" s="22">
        <v>117100</v>
      </c>
      <c r="O55" s="22">
        <v>126300</v>
      </c>
      <c r="P55" s="22">
        <v>100000</v>
      </c>
      <c r="Q55" s="22">
        <v>117100</v>
      </c>
      <c r="R55" s="22">
        <v>126300</v>
      </c>
      <c r="S55" s="22">
        <v>108800</v>
      </c>
      <c r="T55" s="24">
        <v>23000</v>
      </c>
      <c r="U55" s="22">
        <v>26851</v>
      </c>
      <c r="V55" s="22">
        <v>24651</v>
      </c>
      <c r="W55" s="22">
        <v>22551</v>
      </c>
      <c r="X55" s="22">
        <v>29051</v>
      </c>
      <c r="Y55" s="22">
        <v>24651</v>
      </c>
      <c r="Z55" s="22">
        <v>22551</v>
      </c>
      <c r="AA55" s="22">
        <v>26851</v>
      </c>
      <c r="AB55" s="24">
        <v>100000</v>
      </c>
      <c r="AC55" s="24">
        <v>100000</v>
      </c>
      <c r="AD55" s="24">
        <v>97000</v>
      </c>
      <c r="AE55" s="24">
        <v>97000</v>
      </c>
      <c r="AF55" s="24">
        <v>97500</v>
      </c>
      <c r="AG55" s="24">
        <v>98500</v>
      </c>
      <c r="AH55" s="24">
        <v>93000</v>
      </c>
      <c r="AI55" s="24">
        <v>95000</v>
      </c>
      <c r="AJ55" s="25">
        <v>2.5</v>
      </c>
      <c r="AK55" s="25">
        <v>7.5</v>
      </c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8">
        <f t="shared" si="51"/>
        <v>4</v>
      </c>
      <c r="AY55" s="8">
        <f t="shared" si="52"/>
        <v>2</v>
      </c>
      <c r="AZ55" s="16" t="str">
        <f t="shared" si="16"/>
        <v>∆(4-2)</v>
      </c>
      <c r="BA55" s="17">
        <f t="shared" ca="1" si="53"/>
        <v>-9600</v>
      </c>
      <c r="BB55" s="17">
        <f t="shared" ca="1" si="54"/>
        <v>2300</v>
      </c>
      <c r="BC55" s="17">
        <f t="shared" ca="1" si="17"/>
        <v>1920</v>
      </c>
      <c r="BD55" s="17" t="e">
        <f>#REF!</f>
        <v>#REF!</v>
      </c>
      <c r="BE55" s="17">
        <f t="shared" ca="1" si="18"/>
        <v>-9600</v>
      </c>
      <c r="BF55" s="17">
        <f t="shared" ca="1" si="19"/>
        <v>2300</v>
      </c>
      <c r="BG55" s="17">
        <f t="shared" ca="1" si="20"/>
        <v>2300</v>
      </c>
      <c r="BH55" s="17">
        <f t="shared" ca="1" si="21"/>
        <v>2300</v>
      </c>
      <c r="BI55" s="17" t="e">
        <f t="shared" si="22"/>
        <v>#REF!</v>
      </c>
      <c r="BJ55" s="17" t="e">
        <f t="shared" si="23"/>
        <v>#REF!</v>
      </c>
      <c r="BK55" s="17" t="e">
        <f t="shared" si="24"/>
        <v>#REF!</v>
      </c>
      <c r="BL55" s="17" t="e">
        <f t="shared" si="25"/>
        <v>#REF!</v>
      </c>
      <c r="BM55" s="18" t="e">
        <f t="shared" ca="1" si="26"/>
        <v>#VALUE!</v>
      </c>
      <c r="BN55" s="19" t="e">
        <f ca="1">IF(BM55&gt;=#REF!/100,"Yes","No")</f>
        <v>#VALUE!</v>
      </c>
      <c r="BO55" s="20">
        <f t="shared" si="55"/>
        <v>1</v>
      </c>
      <c r="BP55" s="20" t="e">
        <f t="shared" ca="1" si="27"/>
        <v>#VALUE!</v>
      </c>
      <c r="BQ55" s="16" t="e">
        <f t="shared" ca="1" si="28"/>
        <v>#VALUE!</v>
      </c>
      <c r="BR55" s="17" t="e">
        <f t="shared" ca="1" si="56"/>
        <v>#VALUE!</v>
      </c>
      <c r="BS55" s="17" t="e">
        <f t="shared" ca="1" si="57"/>
        <v>#VALUE!</v>
      </c>
      <c r="BT55" s="17" t="e">
        <f t="shared" ca="1" si="29"/>
        <v>#VALUE!</v>
      </c>
      <c r="BU55" s="17" t="e">
        <f>#REF!</f>
        <v>#REF!</v>
      </c>
      <c r="BV55" s="17" t="e">
        <f t="shared" ca="1" si="30"/>
        <v>#VALUE!</v>
      </c>
      <c r="BW55" s="17" t="e">
        <f t="shared" ca="1" si="31"/>
        <v>#VALUE!</v>
      </c>
      <c r="BX55" s="17" t="e">
        <f t="shared" ca="1" si="32"/>
        <v>#VALUE!</v>
      </c>
      <c r="BY55" s="17" t="e">
        <f t="shared" ca="1" si="33"/>
        <v>#VALUE!</v>
      </c>
      <c r="BZ55" s="17" t="e">
        <f t="shared" si="34"/>
        <v>#REF!</v>
      </c>
      <c r="CA55" s="17" t="e">
        <f t="shared" si="35"/>
        <v>#REF!</v>
      </c>
      <c r="CB55" s="17" t="e">
        <f t="shared" si="36"/>
        <v>#REF!</v>
      </c>
      <c r="CC55" s="17" t="e">
        <f t="shared" si="37"/>
        <v>#REF!</v>
      </c>
      <c r="CD55" s="18" t="e">
        <f t="shared" ca="1" si="38"/>
        <v>#VALUE!</v>
      </c>
      <c r="CE55" s="19" t="e">
        <f ca="1">IF(CD55&gt;=#REF!/100,"Yes","No")</f>
        <v>#VALUE!</v>
      </c>
      <c r="CF55" s="20">
        <f t="shared" si="58"/>
        <v>3</v>
      </c>
      <c r="CG55" s="20" t="e">
        <f t="shared" ca="1" si="39"/>
        <v>#VALUE!</v>
      </c>
      <c r="CH55" s="16" t="e">
        <f t="shared" ca="1" si="40"/>
        <v>#VALUE!</v>
      </c>
      <c r="CI55" s="17" t="e">
        <f t="shared" ca="1" si="59"/>
        <v>#VALUE!</v>
      </c>
      <c r="CJ55" s="17" t="e">
        <f t="shared" ca="1" si="60"/>
        <v>#VALUE!</v>
      </c>
      <c r="CK55" s="17" t="e">
        <f t="shared" ca="1" si="41"/>
        <v>#VALUE!</v>
      </c>
      <c r="CL55" s="17" t="e">
        <f>#REF!</f>
        <v>#REF!</v>
      </c>
      <c r="CM55" s="17" t="e">
        <f t="shared" ca="1" si="42"/>
        <v>#VALUE!</v>
      </c>
      <c r="CN55" s="17" t="e">
        <f t="shared" ca="1" si="43"/>
        <v>#VALUE!</v>
      </c>
      <c r="CO55" s="17" t="e">
        <f t="shared" ca="1" si="44"/>
        <v>#VALUE!</v>
      </c>
      <c r="CP55" s="17" t="e">
        <f t="shared" ca="1" si="45"/>
        <v>#VALUE!</v>
      </c>
      <c r="CQ55" s="17" t="e">
        <f t="shared" si="46"/>
        <v>#REF!</v>
      </c>
      <c r="CR55" s="17" t="e">
        <f t="shared" si="47"/>
        <v>#REF!</v>
      </c>
      <c r="CS55" s="17" t="e">
        <f t="shared" si="48"/>
        <v>#REF!</v>
      </c>
      <c r="CT55" s="17" t="e">
        <f t="shared" si="49"/>
        <v>#REF!</v>
      </c>
      <c r="CU55" s="18" t="e">
        <f t="shared" ca="1" si="50"/>
        <v>#VALUE!</v>
      </c>
      <c r="CV55" s="19" t="e">
        <f ca="1">IF(CU55&gt;=#REF!/100,"Yes","No")</f>
        <v>#VALUE!</v>
      </c>
    </row>
    <row r="56" spans="1:100" x14ac:dyDescent="0.25">
      <c r="A56" t="s">
        <v>127</v>
      </c>
      <c r="B56" t="s">
        <v>91</v>
      </c>
      <c r="C56">
        <v>114202042</v>
      </c>
      <c r="D56" t="str">
        <f t="shared" si="5"/>
        <v>Bayram, Berkay-114202042</v>
      </c>
      <c r="E56" s="22">
        <v>6</v>
      </c>
      <c r="F56" s="22">
        <v>3</v>
      </c>
      <c r="G56" s="22">
        <v>15</v>
      </c>
      <c r="H56" s="22">
        <v>1453445</v>
      </c>
      <c r="I56" s="22">
        <v>3314401</v>
      </c>
      <c r="J56" s="22">
        <v>5702262</v>
      </c>
      <c r="K56" s="22">
        <v>1460384</v>
      </c>
      <c r="L56" s="22">
        <v>100000</v>
      </c>
      <c r="M56" s="22">
        <v>108700</v>
      </c>
      <c r="N56" s="22">
        <v>117600</v>
      </c>
      <c r="O56" s="22">
        <v>125900</v>
      </c>
      <c r="P56" s="22">
        <v>117600</v>
      </c>
      <c r="Q56" s="22">
        <v>108700</v>
      </c>
      <c r="R56" s="22">
        <v>125900</v>
      </c>
      <c r="S56" s="22">
        <v>100000</v>
      </c>
      <c r="T56" s="24">
        <v>28000</v>
      </c>
      <c r="U56" s="22">
        <v>26852</v>
      </c>
      <c r="V56" s="22">
        <v>24752</v>
      </c>
      <c r="W56" s="22">
        <v>22452</v>
      </c>
      <c r="X56" s="22">
        <v>24752</v>
      </c>
      <c r="Y56" s="22">
        <v>26852</v>
      </c>
      <c r="Z56" s="22">
        <v>22452</v>
      </c>
      <c r="AA56" s="22">
        <v>29052</v>
      </c>
      <c r="AB56" s="24">
        <v>110000</v>
      </c>
      <c r="AC56" s="24">
        <v>109000</v>
      </c>
      <c r="AD56" s="24">
        <v>106000</v>
      </c>
      <c r="AE56" s="24">
        <v>105000</v>
      </c>
      <c r="AF56" s="24">
        <v>106500</v>
      </c>
      <c r="AG56" s="24">
        <v>105000</v>
      </c>
      <c r="AH56" s="24">
        <v>103500</v>
      </c>
      <c r="AI56" s="24">
        <v>102500</v>
      </c>
      <c r="AJ56" s="25">
        <v>4.3</v>
      </c>
      <c r="AK56" s="25">
        <v>6.7</v>
      </c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8">
        <f t="shared" si="51"/>
        <v>4</v>
      </c>
      <c r="AY56" s="8">
        <f t="shared" si="52"/>
        <v>1</v>
      </c>
      <c r="AZ56" s="13" t="str">
        <f t="shared" si="16"/>
        <v>∆(4-1)</v>
      </c>
      <c r="BA56" s="10">
        <f t="shared" ca="1" si="53"/>
        <v>-8800</v>
      </c>
      <c r="BB56" s="10">
        <f t="shared" ca="1" si="54"/>
        <v>2200</v>
      </c>
      <c r="BC56" s="10">
        <f t="shared" ca="1" si="17"/>
        <v>1760</v>
      </c>
      <c r="BD56" s="10" t="e">
        <f>#REF!</f>
        <v>#REF!</v>
      </c>
      <c r="BE56" s="10">
        <f t="shared" ca="1" si="18"/>
        <v>-8800</v>
      </c>
      <c r="BF56" s="10">
        <f t="shared" ca="1" si="19"/>
        <v>2200</v>
      </c>
      <c r="BG56" s="10">
        <f t="shared" ca="1" si="20"/>
        <v>2200</v>
      </c>
      <c r="BH56" s="10">
        <f t="shared" ca="1" si="21"/>
        <v>2200</v>
      </c>
      <c r="BI56" s="10" t="e">
        <f t="shared" si="22"/>
        <v>#REF!</v>
      </c>
      <c r="BJ56" s="10" t="e">
        <f t="shared" si="23"/>
        <v>#REF!</v>
      </c>
      <c r="BK56" s="10" t="e">
        <f t="shared" si="24"/>
        <v>#REF!</v>
      </c>
      <c r="BL56" s="10" t="e">
        <f t="shared" si="25"/>
        <v>#REF!</v>
      </c>
      <c r="BM56" s="14" t="e">
        <f t="shared" ca="1" si="26"/>
        <v>#VALUE!</v>
      </c>
      <c r="BN56" s="15" t="e">
        <f ca="1">IF(BM56&gt;=#REF!/100,"Yes","No")</f>
        <v>#VALUE!</v>
      </c>
      <c r="BO56" s="6">
        <f t="shared" si="55"/>
        <v>2</v>
      </c>
      <c r="BP56" s="6" t="e">
        <f t="shared" ca="1" si="27"/>
        <v>#VALUE!</v>
      </c>
      <c r="BQ56" s="13" t="e">
        <f t="shared" ca="1" si="28"/>
        <v>#VALUE!</v>
      </c>
      <c r="BR56" s="10" t="e">
        <f t="shared" ca="1" si="56"/>
        <v>#VALUE!</v>
      </c>
      <c r="BS56" s="10" t="e">
        <f t="shared" ca="1" si="57"/>
        <v>#VALUE!</v>
      </c>
      <c r="BT56" s="10" t="e">
        <f t="shared" ca="1" si="29"/>
        <v>#VALUE!</v>
      </c>
      <c r="BU56" s="10" t="e">
        <f>#REF!</f>
        <v>#REF!</v>
      </c>
      <c r="BV56" s="10" t="e">
        <f t="shared" ca="1" si="30"/>
        <v>#VALUE!</v>
      </c>
      <c r="BW56" s="10" t="e">
        <f t="shared" ca="1" si="31"/>
        <v>#VALUE!</v>
      </c>
      <c r="BX56" s="10" t="e">
        <f t="shared" ca="1" si="32"/>
        <v>#VALUE!</v>
      </c>
      <c r="BY56" s="10" t="e">
        <f t="shared" ca="1" si="33"/>
        <v>#VALUE!</v>
      </c>
      <c r="BZ56" s="10" t="e">
        <f t="shared" si="34"/>
        <v>#REF!</v>
      </c>
      <c r="CA56" s="10" t="e">
        <f t="shared" si="35"/>
        <v>#REF!</v>
      </c>
      <c r="CB56" s="10" t="e">
        <f t="shared" si="36"/>
        <v>#REF!</v>
      </c>
      <c r="CC56" s="10" t="e">
        <f t="shared" si="37"/>
        <v>#REF!</v>
      </c>
      <c r="CD56" s="14" t="e">
        <f t="shared" ca="1" si="38"/>
        <v>#VALUE!</v>
      </c>
      <c r="CE56" s="15" t="e">
        <f ca="1">IF(CD56&gt;=#REF!/100,"Yes","No")</f>
        <v>#VALUE!</v>
      </c>
      <c r="CF56" s="6">
        <f t="shared" si="58"/>
        <v>3</v>
      </c>
      <c r="CG56" s="6" t="e">
        <f t="shared" ca="1" si="39"/>
        <v>#VALUE!</v>
      </c>
      <c r="CH56" s="13" t="e">
        <f t="shared" ca="1" si="40"/>
        <v>#VALUE!</v>
      </c>
      <c r="CI56" s="10" t="e">
        <f t="shared" ca="1" si="59"/>
        <v>#VALUE!</v>
      </c>
      <c r="CJ56" s="10" t="e">
        <f t="shared" ca="1" si="60"/>
        <v>#VALUE!</v>
      </c>
      <c r="CK56" s="10" t="e">
        <f t="shared" ca="1" si="41"/>
        <v>#VALUE!</v>
      </c>
      <c r="CL56" s="10" t="e">
        <f>#REF!</f>
        <v>#REF!</v>
      </c>
      <c r="CM56" s="10" t="e">
        <f t="shared" ca="1" si="42"/>
        <v>#VALUE!</v>
      </c>
      <c r="CN56" s="10" t="e">
        <f t="shared" ca="1" si="43"/>
        <v>#VALUE!</v>
      </c>
      <c r="CO56" s="10" t="e">
        <f t="shared" ca="1" si="44"/>
        <v>#VALUE!</v>
      </c>
      <c r="CP56" s="10" t="e">
        <f t="shared" ca="1" si="45"/>
        <v>#VALUE!</v>
      </c>
      <c r="CQ56" s="10" t="e">
        <f t="shared" si="46"/>
        <v>#REF!</v>
      </c>
      <c r="CR56" s="10" t="e">
        <f t="shared" si="47"/>
        <v>#REF!</v>
      </c>
      <c r="CS56" s="10" t="e">
        <f t="shared" si="48"/>
        <v>#REF!</v>
      </c>
      <c r="CT56" s="10" t="e">
        <f t="shared" si="49"/>
        <v>#REF!</v>
      </c>
      <c r="CU56" s="14" t="e">
        <f t="shared" ca="1" si="50"/>
        <v>#VALUE!</v>
      </c>
      <c r="CV56" s="15" t="e">
        <f ca="1">IF(CU56&gt;=#REF!/100,"Yes","No")</f>
        <v>#VALUE!</v>
      </c>
    </row>
    <row r="57" spans="1:100" x14ac:dyDescent="0.25">
      <c r="A57" t="s">
        <v>127</v>
      </c>
      <c r="B57" t="s">
        <v>128</v>
      </c>
      <c r="C57">
        <v>115200129</v>
      </c>
      <c r="D57" t="str">
        <f t="shared" si="5"/>
        <v>Bayram, Oğuzhan-115200129</v>
      </c>
      <c r="E57" s="22">
        <v>5</v>
      </c>
      <c r="F57" s="22">
        <v>3</v>
      </c>
      <c r="G57" s="22">
        <v>15</v>
      </c>
      <c r="H57" s="22">
        <v>3450045</v>
      </c>
      <c r="I57" s="22">
        <v>4331059</v>
      </c>
      <c r="J57" s="22">
        <v>3889609</v>
      </c>
      <c r="K57" s="22">
        <v>5618740</v>
      </c>
      <c r="L57" s="22">
        <v>100000</v>
      </c>
      <c r="M57" s="22">
        <v>109200</v>
      </c>
      <c r="N57" s="22">
        <v>117700</v>
      </c>
      <c r="O57" s="22">
        <v>125900</v>
      </c>
      <c r="P57" s="22">
        <v>125900</v>
      </c>
      <c r="Q57" s="22">
        <v>109200</v>
      </c>
      <c r="R57" s="22">
        <v>117700</v>
      </c>
      <c r="S57" s="22">
        <v>100000</v>
      </c>
      <c r="T57" s="24">
        <v>28000</v>
      </c>
      <c r="U57" s="22">
        <v>26853</v>
      </c>
      <c r="V57" s="22">
        <v>24853</v>
      </c>
      <c r="W57" s="22">
        <v>22653</v>
      </c>
      <c r="X57" s="22">
        <v>22653</v>
      </c>
      <c r="Y57" s="22">
        <v>26853</v>
      </c>
      <c r="Z57" s="22">
        <v>24853</v>
      </c>
      <c r="AA57" s="22">
        <v>29053</v>
      </c>
      <c r="AB57" s="24">
        <v>116000</v>
      </c>
      <c r="AC57" s="24">
        <v>114000</v>
      </c>
      <c r="AD57" s="24">
        <v>112000</v>
      </c>
      <c r="AE57" s="24">
        <v>115000</v>
      </c>
      <c r="AF57" s="24">
        <v>112500</v>
      </c>
      <c r="AG57" s="24">
        <v>110500</v>
      </c>
      <c r="AH57" s="24">
        <v>108000</v>
      </c>
      <c r="AI57" s="24">
        <v>113500</v>
      </c>
      <c r="AJ57" s="25">
        <v>2.7</v>
      </c>
      <c r="AK57" s="25">
        <v>9.8000000000000007</v>
      </c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8">
        <f t="shared" si="51"/>
        <v>2</v>
      </c>
      <c r="AY57" s="8">
        <f t="shared" si="52"/>
        <v>4</v>
      </c>
      <c r="AZ57" s="16" t="str">
        <f t="shared" si="16"/>
        <v>∆(2-4)</v>
      </c>
      <c r="BA57" s="17">
        <f t="shared" ca="1" si="53"/>
        <v>-8700</v>
      </c>
      <c r="BB57" s="17">
        <f t="shared" ca="1" si="54"/>
        <v>2200</v>
      </c>
      <c r="BC57" s="17">
        <f t="shared" ca="1" si="17"/>
        <v>1740</v>
      </c>
      <c r="BD57" s="17" t="e">
        <f>#REF!</f>
        <v>#REF!</v>
      </c>
      <c r="BE57" s="17">
        <f t="shared" ca="1" si="18"/>
        <v>-8700</v>
      </c>
      <c r="BF57" s="17">
        <f t="shared" ca="1" si="19"/>
        <v>2200</v>
      </c>
      <c r="BG57" s="17">
        <f t="shared" ca="1" si="20"/>
        <v>2200</v>
      </c>
      <c r="BH57" s="17">
        <f t="shared" ca="1" si="21"/>
        <v>2200</v>
      </c>
      <c r="BI57" s="17" t="e">
        <f t="shared" si="22"/>
        <v>#REF!</v>
      </c>
      <c r="BJ57" s="17" t="e">
        <f t="shared" si="23"/>
        <v>#REF!</v>
      </c>
      <c r="BK57" s="17" t="e">
        <f t="shared" si="24"/>
        <v>#REF!</v>
      </c>
      <c r="BL57" s="17" t="e">
        <f t="shared" si="25"/>
        <v>#REF!</v>
      </c>
      <c r="BM57" s="18" t="e">
        <f t="shared" ca="1" si="26"/>
        <v>#VALUE!</v>
      </c>
      <c r="BN57" s="19" t="e">
        <f ca="1">IF(BM57&gt;=#REF!/100,"Yes","No")</f>
        <v>#VALUE!</v>
      </c>
      <c r="BO57" s="20">
        <f t="shared" si="55"/>
        <v>1</v>
      </c>
      <c r="BP57" s="20" t="e">
        <f t="shared" ca="1" si="27"/>
        <v>#VALUE!</v>
      </c>
      <c r="BQ57" s="16" t="e">
        <f t="shared" ca="1" si="28"/>
        <v>#VALUE!</v>
      </c>
      <c r="BR57" s="17" t="e">
        <f t="shared" ca="1" si="56"/>
        <v>#VALUE!</v>
      </c>
      <c r="BS57" s="17" t="e">
        <f t="shared" ca="1" si="57"/>
        <v>#VALUE!</v>
      </c>
      <c r="BT57" s="17" t="e">
        <f t="shared" ca="1" si="29"/>
        <v>#VALUE!</v>
      </c>
      <c r="BU57" s="17" t="e">
        <f>#REF!</f>
        <v>#REF!</v>
      </c>
      <c r="BV57" s="17" t="e">
        <f t="shared" ca="1" si="30"/>
        <v>#VALUE!</v>
      </c>
      <c r="BW57" s="17" t="e">
        <f t="shared" ca="1" si="31"/>
        <v>#VALUE!</v>
      </c>
      <c r="BX57" s="17" t="e">
        <f t="shared" ca="1" si="32"/>
        <v>#VALUE!</v>
      </c>
      <c r="BY57" s="17" t="e">
        <f t="shared" ca="1" si="33"/>
        <v>#VALUE!</v>
      </c>
      <c r="BZ57" s="17" t="e">
        <f t="shared" si="34"/>
        <v>#REF!</v>
      </c>
      <c r="CA57" s="17" t="e">
        <f t="shared" si="35"/>
        <v>#REF!</v>
      </c>
      <c r="CB57" s="17" t="e">
        <f t="shared" si="36"/>
        <v>#REF!</v>
      </c>
      <c r="CC57" s="17" t="e">
        <f t="shared" si="37"/>
        <v>#REF!</v>
      </c>
      <c r="CD57" s="18" t="e">
        <f t="shared" ca="1" si="38"/>
        <v>#VALUE!</v>
      </c>
      <c r="CE57" s="19" t="e">
        <f ca="1">IF(CD57&gt;=#REF!/100,"Yes","No")</f>
        <v>#VALUE!</v>
      </c>
      <c r="CF57" s="20">
        <f t="shared" si="58"/>
        <v>3</v>
      </c>
      <c r="CG57" s="20" t="e">
        <f t="shared" ca="1" si="39"/>
        <v>#VALUE!</v>
      </c>
      <c r="CH57" s="16" t="e">
        <f t="shared" ca="1" si="40"/>
        <v>#VALUE!</v>
      </c>
      <c r="CI57" s="17" t="e">
        <f t="shared" ca="1" si="59"/>
        <v>#VALUE!</v>
      </c>
      <c r="CJ57" s="17" t="e">
        <f t="shared" ca="1" si="60"/>
        <v>#VALUE!</v>
      </c>
      <c r="CK57" s="17" t="e">
        <f t="shared" ca="1" si="41"/>
        <v>#VALUE!</v>
      </c>
      <c r="CL57" s="17" t="e">
        <f>#REF!</f>
        <v>#REF!</v>
      </c>
      <c r="CM57" s="17" t="e">
        <f t="shared" ca="1" si="42"/>
        <v>#VALUE!</v>
      </c>
      <c r="CN57" s="17" t="e">
        <f t="shared" ca="1" si="43"/>
        <v>#VALUE!</v>
      </c>
      <c r="CO57" s="17" t="e">
        <f t="shared" ca="1" si="44"/>
        <v>#VALUE!</v>
      </c>
      <c r="CP57" s="17" t="e">
        <f t="shared" ca="1" si="45"/>
        <v>#VALUE!</v>
      </c>
      <c r="CQ57" s="17" t="e">
        <f t="shared" si="46"/>
        <v>#REF!</v>
      </c>
      <c r="CR57" s="17" t="e">
        <f t="shared" si="47"/>
        <v>#REF!</v>
      </c>
      <c r="CS57" s="17" t="e">
        <f t="shared" si="48"/>
        <v>#REF!</v>
      </c>
      <c r="CT57" s="17" t="e">
        <f t="shared" si="49"/>
        <v>#REF!</v>
      </c>
      <c r="CU57" s="18" t="e">
        <f t="shared" ca="1" si="50"/>
        <v>#VALUE!</v>
      </c>
      <c r="CV57" s="19" t="e">
        <f ca="1">IF(CU57&gt;=#REF!/100,"Yes","No")</f>
        <v>#VALUE!</v>
      </c>
    </row>
    <row r="58" spans="1:100" x14ac:dyDescent="0.25">
      <c r="A58" t="s">
        <v>129</v>
      </c>
      <c r="B58" t="s">
        <v>130</v>
      </c>
      <c r="C58">
        <v>115203084</v>
      </c>
      <c r="D58" t="str">
        <f t="shared" si="5"/>
        <v>Bennani Ziatni, Dilara-115203084</v>
      </c>
      <c r="E58" s="22">
        <v>6</v>
      </c>
      <c r="F58" s="22">
        <v>3</v>
      </c>
      <c r="G58" s="22">
        <v>15</v>
      </c>
      <c r="H58" s="22">
        <v>3807506</v>
      </c>
      <c r="I58" s="22">
        <v>9683935</v>
      </c>
      <c r="J58" s="22">
        <v>3362994</v>
      </c>
      <c r="K58" s="22">
        <v>315276</v>
      </c>
      <c r="L58" s="22">
        <v>100000</v>
      </c>
      <c r="M58" s="22">
        <v>109700</v>
      </c>
      <c r="N58" s="22">
        <v>117800</v>
      </c>
      <c r="O58" s="22">
        <v>126500</v>
      </c>
      <c r="P58" s="22">
        <v>109700</v>
      </c>
      <c r="Q58" s="22">
        <v>100000</v>
      </c>
      <c r="R58" s="22">
        <v>117800</v>
      </c>
      <c r="S58" s="22">
        <v>126500</v>
      </c>
      <c r="T58" s="24">
        <v>24000</v>
      </c>
      <c r="U58" s="22">
        <v>26854</v>
      </c>
      <c r="V58" s="22">
        <v>24654</v>
      </c>
      <c r="W58" s="22">
        <v>22454</v>
      </c>
      <c r="X58" s="22">
        <v>26854</v>
      </c>
      <c r="Y58" s="22">
        <v>29054</v>
      </c>
      <c r="Z58" s="22">
        <v>24654</v>
      </c>
      <c r="AA58" s="22">
        <v>22454</v>
      </c>
      <c r="AB58" s="24">
        <v>104000</v>
      </c>
      <c r="AC58" s="24">
        <v>101000</v>
      </c>
      <c r="AD58" s="24">
        <v>100000</v>
      </c>
      <c r="AE58" s="24">
        <v>102000</v>
      </c>
      <c r="AF58" s="24">
        <v>101000</v>
      </c>
      <c r="AG58" s="24">
        <v>97000</v>
      </c>
      <c r="AH58" s="24">
        <v>96000</v>
      </c>
      <c r="AI58" s="24">
        <v>99000</v>
      </c>
      <c r="AJ58" s="25">
        <v>3</v>
      </c>
      <c r="AK58" s="25">
        <v>8.1</v>
      </c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8">
        <f t="shared" si="51"/>
        <v>2</v>
      </c>
      <c r="AY58" s="8">
        <f t="shared" si="52"/>
        <v>4</v>
      </c>
      <c r="AZ58" s="13" t="str">
        <f t="shared" si="16"/>
        <v>∆(2-4)</v>
      </c>
      <c r="BA58" s="10">
        <f t="shared" ca="1" si="53"/>
        <v>-9200</v>
      </c>
      <c r="BB58" s="10">
        <f t="shared" ca="1" si="54"/>
        <v>2200</v>
      </c>
      <c r="BC58" s="10">
        <f t="shared" ca="1" si="17"/>
        <v>1840</v>
      </c>
      <c r="BD58" s="10" t="e">
        <f>#REF!</f>
        <v>#REF!</v>
      </c>
      <c r="BE58" s="10">
        <f t="shared" ca="1" si="18"/>
        <v>-9200</v>
      </c>
      <c r="BF58" s="10">
        <f t="shared" ca="1" si="19"/>
        <v>2200</v>
      </c>
      <c r="BG58" s="10">
        <f t="shared" ca="1" si="20"/>
        <v>2200</v>
      </c>
      <c r="BH58" s="10">
        <f t="shared" ca="1" si="21"/>
        <v>2200</v>
      </c>
      <c r="BI58" s="10" t="e">
        <f t="shared" si="22"/>
        <v>#REF!</v>
      </c>
      <c r="BJ58" s="10" t="e">
        <f t="shared" si="23"/>
        <v>#REF!</v>
      </c>
      <c r="BK58" s="10" t="e">
        <f t="shared" si="24"/>
        <v>#REF!</v>
      </c>
      <c r="BL58" s="10" t="e">
        <f t="shared" si="25"/>
        <v>#REF!</v>
      </c>
      <c r="BM58" s="14" t="e">
        <f t="shared" ca="1" si="26"/>
        <v>#VALUE!</v>
      </c>
      <c r="BN58" s="15" t="e">
        <f ca="1">IF(BM58&gt;=#REF!/100,"Yes","No")</f>
        <v>#VALUE!</v>
      </c>
      <c r="BO58" s="6">
        <f t="shared" si="55"/>
        <v>3</v>
      </c>
      <c r="BP58" s="6" t="e">
        <f t="shared" ca="1" si="27"/>
        <v>#VALUE!</v>
      </c>
      <c r="BQ58" s="13" t="e">
        <f t="shared" ca="1" si="28"/>
        <v>#VALUE!</v>
      </c>
      <c r="BR58" s="10" t="e">
        <f t="shared" ca="1" si="56"/>
        <v>#VALUE!</v>
      </c>
      <c r="BS58" s="10" t="e">
        <f t="shared" ca="1" si="57"/>
        <v>#VALUE!</v>
      </c>
      <c r="BT58" s="10" t="e">
        <f t="shared" ca="1" si="29"/>
        <v>#VALUE!</v>
      </c>
      <c r="BU58" s="10" t="e">
        <f>#REF!</f>
        <v>#REF!</v>
      </c>
      <c r="BV58" s="10" t="e">
        <f t="shared" ca="1" si="30"/>
        <v>#VALUE!</v>
      </c>
      <c r="BW58" s="10" t="e">
        <f t="shared" ca="1" si="31"/>
        <v>#VALUE!</v>
      </c>
      <c r="BX58" s="10" t="e">
        <f t="shared" ca="1" si="32"/>
        <v>#VALUE!</v>
      </c>
      <c r="BY58" s="10" t="e">
        <f t="shared" ca="1" si="33"/>
        <v>#VALUE!</v>
      </c>
      <c r="BZ58" s="10" t="e">
        <f t="shared" si="34"/>
        <v>#REF!</v>
      </c>
      <c r="CA58" s="10" t="e">
        <f t="shared" si="35"/>
        <v>#REF!</v>
      </c>
      <c r="CB58" s="10" t="e">
        <f t="shared" si="36"/>
        <v>#REF!</v>
      </c>
      <c r="CC58" s="10" t="e">
        <f t="shared" si="37"/>
        <v>#REF!</v>
      </c>
      <c r="CD58" s="14" t="e">
        <f t="shared" ca="1" si="38"/>
        <v>#VALUE!</v>
      </c>
      <c r="CE58" s="15" t="e">
        <f ca="1">IF(CD58&gt;=#REF!/100,"Yes","No")</f>
        <v>#VALUE!</v>
      </c>
      <c r="CF58" s="6">
        <f t="shared" si="58"/>
        <v>1</v>
      </c>
      <c r="CG58" s="6" t="e">
        <f t="shared" ca="1" si="39"/>
        <v>#VALUE!</v>
      </c>
      <c r="CH58" s="13" t="e">
        <f t="shared" ca="1" si="40"/>
        <v>#VALUE!</v>
      </c>
      <c r="CI58" s="10" t="e">
        <f t="shared" ca="1" si="59"/>
        <v>#VALUE!</v>
      </c>
      <c r="CJ58" s="10" t="e">
        <f t="shared" ca="1" si="60"/>
        <v>#VALUE!</v>
      </c>
      <c r="CK58" s="10" t="e">
        <f t="shared" ca="1" si="41"/>
        <v>#VALUE!</v>
      </c>
      <c r="CL58" s="10" t="e">
        <f>#REF!</f>
        <v>#REF!</v>
      </c>
      <c r="CM58" s="10" t="e">
        <f t="shared" ca="1" si="42"/>
        <v>#VALUE!</v>
      </c>
      <c r="CN58" s="10" t="e">
        <f t="shared" ca="1" si="43"/>
        <v>#VALUE!</v>
      </c>
      <c r="CO58" s="10" t="e">
        <f t="shared" ca="1" si="44"/>
        <v>#VALUE!</v>
      </c>
      <c r="CP58" s="10" t="e">
        <f t="shared" ca="1" si="45"/>
        <v>#VALUE!</v>
      </c>
      <c r="CQ58" s="10" t="e">
        <f t="shared" si="46"/>
        <v>#REF!</v>
      </c>
      <c r="CR58" s="10" t="e">
        <f t="shared" si="47"/>
        <v>#REF!</v>
      </c>
      <c r="CS58" s="10" t="e">
        <f t="shared" si="48"/>
        <v>#REF!</v>
      </c>
      <c r="CT58" s="10" t="e">
        <f t="shared" si="49"/>
        <v>#REF!</v>
      </c>
      <c r="CU58" s="14" t="e">
        <f t="shared" ca="1" si="50"/>
        <v>#VALUE!</v>
      </c>
      <c r="CV58" s="15" t="e">
        <f ca="1">IF(CU58&gt;=#REF!/100,"Yes","No")</f>
        <v>#VALUE!</v>
      </c>
    </row>
    <row r="59" spans="1:100" x14ac:dyDescent="0.25">
      <c r="A59" t="s">
        <v>131</v>
      </c>
      <c r="B59" t="s">
        <v>132</v>
      </c>
      <c r="C59">
        <v>116203164</v>
      </c>
      <c r="D59" t="str">
        <f t="shared" si="5"/>
        <v>Biçer, Senanur-116203164</v>
      </c>
      <c r="E59" s="22">
        <v>6</v>
      </c>
      <c r="F59" s="22">
        <v>2</v>
      </c>
      <c r="G59" s="22">
        <v>10</v>
      </c>
      <c r="H59" s="22">
        <v>1019988</v>
      </c>
      <c r="I59" s="22">
        <v>4899641</v>
      </c>
      <c r="J59" s="22">
        <v>868672</v>
      </c>
      <c r="K59" s="22">
        <v>4025142</v>
      </c>
      <c r="L59" s="22">
        <v>100000</v>
      </c>
      <c r="M59" s="22">
        <v>108000</v>
      </c>
      <c r="N59" s="22">
        <v>116400</v>
      </c>
      <c r="O59" s="22">
        <v>125600</v>
      </c>
      <c r="P59" s="22">
        <v>108000</v>
      </c>
      <c r="Q59" s="22">
        <v>125600</v>
      </c>
      <c r="R59" s="22">
        <v>100000</v>
      </c>
      <c r="S59" s="22">
        <v>116400</v>
      </c>
      <c r="T59" s="24">
        <v>27000</v>
      </c>
      <c r="U59" s="22">
        <v>26855</v>
      </c>
      <c r="V59" s="22">
        <v>24755</v>
      </c>
      <c r="W59" s="22">
        <v>22455</v>
      </c>
      <c r="X59" s="22">
        <v>26855</v>
      </c>
      <c r="Y59" s="22">
        <v>22455</v>
      </c>
      <c r="Z59" s="22">
        <v>29055</v>
      </c>
      <c r="AA59" s="22">
        <v>24755</v>
      </c>
      <c r="AB59" s="24">
        <v>94000</v>
      </c>
      <c r="AC59" s="24">
        <v>91000</v>
      </c>
      <c r="AD59" s="24">
        <v>90000</v>
      </c>
      <c r="AE59" s="24">
        <v>92000</v>
      </c>
      <c r="AF59" s="24">
        <v>90000</v>
      </c>
      <c r="AG59" s="24">
        <v>88000</v>
      </c>
      <c r="AH59" s="24">
        <v>88500</v>
      </c>
      <c r="AI59" s="24">
        <v>89500</v>
      </c>
      <c r="AJ59" s="25">
        <v>2.8</v>
      </c>
      <c r="AK59" s="25">
        <v>8.8000000000000007</v>
      </c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8">
        <f t="shared" si="51"/>
        <v>1</v>
      </c>
      <c r="AY59" s="8">
        <f t="shared" si="52"/>
        <v>2</v>
      </c>
      <c r="AZ59" s="16" t="str">
        <f t="shared" si="16"/>
        <v>∆(1-2)</v>
      </c>
      <c r="BA59" s="17">
        <f t="shared" ca="1" si="53"/>
        <v>-9700</v>
      </c>
      <c r="BB59" s="17">
        <f t="shared" ca="1" si="54"/>
        <v>2200</v>
      </c>
      <c r="BC59" s="17">
        <f t="shared" ca="1" si="17"/>
        <v>1940</v>
      </c>
      <c r="BD59" s="17" t="e">
        <f>#REF!</f>
        <v>#REF!</v>
      </c>
      <c r="BE59" s="17">
        <f t="shared" ca="1" si="18"/>
        <v>-9700</v>
      </c>
      <c r="BF59" s="17">
        <f t="shared" ca="1" si="19"/>
        <v>2200</v>
      </c>
      <c r="BG59" s="17">
        <f t="shared" ca="1" si="20"/>
        <v>2200</v>
      </c>
      <c r="BH59" s="17">
        <f t="shared" ca="1" si="21"/>
        <v>2200</v>
      </c>
      <c r="BI59" s="17" t="e">
        <f t="shared" si="22"/>
        <v>#REF!</v>
      </c>
      <c r="BJ59" s="17" t="e">
        <f t="shared" si="23"/>
        <v>#REF!</v>
      </c>
      <c r="BK59" s="17" t="e">
        <f t="shared" si="24"/>
        <v>#REF!</v>
      </c>
      <c r="BL59" s="17" t="e">
        <f t="shared" si="25"/>
        <v>#REF!</v>
      </c>
      <c r="BM59" s="18" t="e">
        <f t="shared" ca="1" si="26"/>
        <v>#VALUE!</v>
      </c>
      <c r="BN59" s="19" t="e">
        <f ca="1">IF(BM59&gt;=#REF!/100,"Yes","No")</f>
        <v>#VALUE!</v>
      </c>
      <c r="BO59" s="20">
        <f t="shared" si="55"/>
        <v>3</v>
      </c>
      <c r="BP59" s="20" t="e">
        <f t="shared" ca="1" si="27"/>
        <v>#VALUE!</v>
      </c>
      <c r="BQ59" s="16" t="e">
        <f t="shared" ca="1" si="28"/>
        <v>#VALUE!</v>
      </c>
      <c r="BR59" s="17" t="e">
        <f t="shared" ca="1" si="56"/>
        <v>#VALUE!</v>
      </c>
      <c r="BS59" s="17" t="e">
        <f t="shared" ca="1" si="57"/>
        <v>#VALUE!</v>
      </c>
      <c r="BT59" s="17" t="e">
        <f t="shared" ca="1" si="29"/>
        <v>#VALUE!</v>
      </c>
      <c r="BU59" s="17" t="e">
        <f>#REF!</f>
        <v>#REF!</v>
      </c>
      <c r="BV59" s="17" t="e">
        <f t="shared" ca="1" si="30"/>
        <v>#VALUE!</v>
      </c>
      <c r="BW59" s="17" t="e">
        <f t="shared" ca="1" si="31"/>
        <v>#VALUE!</v>
      </c>
      <c r="BX59" s="17" t="e">
        <f t="shared" ca="1" si="32"/>
        <v>#VALUE!</v>
      </c>
      <c r="BY59" s="17" t="e">
        <f t="shared" ca="1" si="33"/>
        <v>#VALUE!</v>
      </c>
      <c r="BZ59" s="17" t="e">
        <f t="shared" si="34"/>
        <v>#REF!</v>
      </c>
      <c r="CA59" s="17" t="e">
        <f t="shared" si="35"/>
        <v>#REF!</v>
      </c>
      <c r="CB59" s="17" t="e">
        <f t="shared" si="36"/>
        <v>#REF!</v>
      </c>
      <c r="CC59" s="17" t="e">
        <f t="shared" si="37"/>
        <v>#REF!</v>
      </c>
      <c r="CD59" s="18" t="e">
        <f t="shared" ca="1" si="38"/>
        <v>#VALUE!</v>
      </c>
      <c r="CE59" s="19" t="e">
        <f ca="1">IF(CD59&gt;=#REF!/100,"Yes","No")</f>
        <v>#VALUE!</v>
      </c>
      <c r="CF59" s="20">
        <f t="shared" si="58"/>
        <v>4</v>
      </c>
      <c r="CG59" s="20" t="e">
        <f t="shared" ca="1" si="39"/>
        <v>#VALUE!</v>
      </c>
      <c r="CH59" s="16" t="e">
        <f t="shared" ca="1" si="40"/>
        <v>#VALUE!</v>
      </c>
      <c r="CI59" s="17" t="e">
        <f t="shared" ca="1" si="59"/>
        <v>#VALUE!</v>
      </c>
      <c r="CJ59" s="17" t="e">
        <f t="shared" ca="1" si="60"/>
        <v>#VALUE!</v>
      </c>
      <c r="CK59" s="17" t="e">
        <f t="shared" ca="1" si="41"/>
        <v>#VALUE!</v>
      </c>
      <c r="CL59" s="17" t="e">
        <f>#REF!</f>
        <v>#REF!</v>
      </c>
      <c r="CM59" s="17" t="e">
        <f t="shared" ca="1" si="42"/>
        <v>#VALUE!</v>
      </c>
      <c r="CN59" s="17" t="e">
        <f t="shared" ca="1" si="43"/>
        <v>#VALUE!</v>
      </c>
      <c r="CO59" s="17" t="e">
        <f t="shared" ca="1" si="44"/>
        <v>#VALUE!</v>
      </c>
      <c r="CP59" s="17" t="e">
        <f t="shared" ca="1" si="45"/>
        <v>#VALUE!</v>
      </c>
      <c r="CQ59" s="17" t="e">
        <f t="shared" si="46"/>
        <v>#REF!</v>
      </c>
      <c r="CR59" s="17" t="e">
        <f t="shared" si="47"/>
        <v>#REF!</v>
      </c>
      <c r="CS59" s="17" t="e">
        <f t="shared" si="48"/>
        <v>#REF!</v>
      </c>
      <c r="CT59" s="17" t="e">
        <f t="shared" si="49"/>
        <v>#REF!</v>
      </c>
      <c r="CU59" s="18" t="e">
        <f t="shared" ca="1" si="50"/>
        <v>#VALUE!</v>
      </c>
      <c r="CV59" s="19" t="e">
        <f ca="1">IF(CU59&gt;=#REF!/100,"Yes","No")</f>
        <v>#VALUE!</v>
      </c>
    </row>
    <row r="60" spans="1:100" x14ac:dyDescent="0.25">
      <c r="A60" t="s">
        <v>133</v>
      </c>
      <c r="B60" t="s">
        <v>134</v>
      </c>
      <c r="C60">
        <v>115203052</v>
      </c>
      <c r="D60" t="str">
        <f t="shared" si="5"/>
        <v>Bici, Şeyda Nur-115203052</v>
      </c>
      <c r="E60" s="22">
        <v>6</v>
      </c>
      <c r="F60" s="22">
        <v>3</v>
      </c>
      <c r="G60" s="22">
        <v>15</v>
      </c>
      <c r="H60" s="22">
        <v>9690245</v>
      </c>
      <c r="I60" s="22">
        <v>8705136</v>
      </c>
      <c r="J60" s="22">
        <v>9856996</v>
      </c>
      <c r="K60" s="22">
        <v>4702109</v>
      </c>
      <c r="L60" s="22">
        <v>100000</v>
      </c>
      <c r="M60" s="22">
        <v>108900</v>
      </c>
      <c r="N60" s="22">
        <v>117100</v>
      </c>
      <c r="O60" s="22">
        <v>125700</v>
      </c>
      <c r="P60" s="22">
        <v>117100</v>
      </c>
      <c r="Q60" s="22">
        <v>100000</v>
      </c>
      <c r="R60" s="22">
        <v>108900</v>
      </c>
      <c r="S60" s="22">
        <v>125700</v>
      </c>
      <c r="T60" s="24">
        <v>24000</v>
      </c>
      <c r="U60" s="22">
        <v>26756</v>
      </c>
      <c r="V60" s="22">
        <v>24456</v>
      </c>
      <c r="W60" s="22">
        <v>22256</v>
      </c>
      <c r="X60" s="22">
        <v>24456</v>
      </c>
      <c r="Y60" s="22">
        <v>29056</v>
      </c>
      <c r="Z60" s="22">
        <v>26756</v>
      </c>
      <c r="AA60" s="22">
        <v>22256</v>
      </c>
      <c r="AB60" s="24">
        <v>98000</v>
      </c>
      <c r="AC60" s="24">
        <v>95000</v>
      </c>
      <c r="AD60" s="24">
        <v>96000</v>
      </c>
      <c r="AE60" s="24">
        <v>100000</v>
      </c>
      <c r="AF60" s="24">
        <v>94000</v>
      </c>
      <c r="AG60" s="24">
        <v>91500</v>
      </c>
      <c r="AH60" s="24">
        <v>92000</v>
      </c>
      <c r="AI60" s="24">
        <v>96500</v>
      </c>
      <c r="AJ60" s="25">
        <v>3.7</v>
      </c>
      <c r="AK60" s="25">
        <v>8.5</v>
      </c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8">
        <f t="shared" si="51"/>
        <v>1</v>
      </c>
      <c r="AY60" s="8">
        <f t="shared" si="52"/>
        <v>3</v>
      </c>
      <c r="AZ60" s="13" t="str">
        <f t="shared" si="16"/>
        <v>∆(1-3)</v>
      </c>
      <c r="BA60" s="10">
        <f t="shared" ca="1" si="53"/>
        <v>-8000</v>
      </c>
      <c r="BB60" s="10">
        <f t="shared" ca="1" si="54"/>
        <v>2200</v>
      </c>
      <c r="BC60" s="10">
        <f t="shared" ca="1" si="17"/>
        <v>1600</v>
      </c>
      <c r="BD60" s="10" t="e">
        <f>#REF!</f>
        <v>#REF!</v>
      </c>
      <c r="BE60" s="10">
        <f t="shared" ca="1" si="18"/>
        <v>-8000</v>
      </c>
      <c r="BF60" s="10">
        <f t="shared" ca="1" si="19"/>
        <v>2200</v>
      </c>
      <c r="BG60" s="10">
        <f t="shared" ca="1" si="20"/>
        <v>2200</v>
      </c>
      <c r="BH60" s="10">
        <f t="shared" ca="1" si="21"/>
        <v>2200</v>
      </c>
      <c r="BI60" s="10" t="e">
        <f t="shared" si="22"/>
        <v>#REF!</v>
      </c>
      <c r="BJ60" s="10" t="e">
        <f t="shared" si="23"/>
        <v>#REF!</v>
      </c>
      <c r="BK60" s="10" t="e">
        <f t="shared" si="24"/>
        <v>#REF!</v>
      </c>
      <c r="BL60" s="10" t="e">
        <f t="shared" si="25"/>
        <v>#REF!</v>
      </c>
      <c r="BM60" s="14" t="e">
        <f t="shared" ca="1" si="26"/>
        <v>#VALUE!</v>
      </c>
      <c r="BN60" s="15" t="e">
        <f ca="1">IF(BM60&gt;=#REF!/100,"Yes","No")</f>
        <v>#VALUE!</v>
      </c>
      <c r="BO60" s="6">
        <f t="shared" si="55"/>
        <v>4</v>
      </c>
      <c r="BP60" s="6" t="e">
        <f t="shared" ca="1" si="27"/>
        <v>#VALUE!</v>
      </c>
      <c r="BQ60" s="13" t="e">
        <f t="shared" ca="1" si="28"/>
        <v>#VALUE!</v>
      </c>
      <c r="BR60" s="10" t="e">
        <f t="shared" ca="1" si="56"/>
        <v>#VALUE!</v>
      </c>
      <c r="BS60" s="10" t="e">
        <f t="shared" ca="1" si="57"/>
        <v>#VALUE!</v>
      </c>
      <c r="BT60" s="10" t="e">
        <f t="shared" ca="1" si="29"/>
        <v>#VALUE!</v>
      </c>
      <c r="BU60" s="10" t="e">
        <f>#REF!</f>
        <v>#REF!</v>
      </c>
      <c r="BV60" s="10" t="e">
        <f t="shared" ca="1" si="30"/>
        <v>#VALUE!</v>
      </c>
      <c r="BW60" s="10" t="e">
        <f t="shared" ca="1" si="31"/>
        <v>#VALUE!</v>
      </c>
      <c r="BX60" s="10" t="e">
        <f t="shared" ca="1" si="32"/>
        <v>#VALUE!</v>
      </c>
      <c r="BY60" s="10" t="e">
        <f t="shared" ca="1" si="33"/>
        <v>#VALUE!</v>
      </c>
      <c r="BZ60" s="10" t="e">
        <f t="shared" si="34"/>
        <v>#REF!</v>
      </c>
      <c r="CA60" s="10" t="e">
        <f t="shared" si="35"/>
        <v>#REF!</v>
      </c>
      <c r="CB60" s="10" t="e">
        <f t="shared" si="36"/>
        <v>#REF!</v>
      </c>
      <c r="CC60" s="10" t="e">
        <f t="shared" si="37"/>
        <v>#REF!</v>
      </c>
      <c r="CD60" s="14" t="e">
        <f t="shared" ca="1" si="38"/>
        <v>#VALUE!</v>
      </c>
      <c r="CE60" s="15" t="e">
        <f ca="1">IF(CD60&gt;=#REF!/100,"Yes","No")</f>
        <v>#VALUE!</v>
      </c>
      <c r="CF60" s="6">
        <f t="shared" si="58"/>
        <v>2</v>
      </c>
      <c r="CG60" s="6" t="e">
        <f t="shared" ca="1" si="39"/>
        <v>#VALUE!</v>
      </c>
      <c r="CH60" s="13" t="e">
        <f t="shared" ca="1" si="40"/>
        <v>#VALUE!</v>
      </c>
      <c r="CI60" s="10" t="e">
        <f t="shared" ca="1" si="59"/>
        <v>#VALUE!</v>
      </c>
      <c r="CJ60" s="10" t="e">
        <f t="shared" ca="1" si="60"/>
        <v>#VALUE!</v>
      </c>
      <c r="CK60" s="10" t="e">
        <f t="shared" ca="1" si="41"/>
        <v>#VALUE!</v>
      </c>
      <c r="CL60" s="10" t="e">
        <f>#REF!</f>
        <v>#REF!</v>
      </c>
      <c r="CM60" s="10" t="e">
        <f t="shared" ca="1" si="42"/>
        <v>#VALUE!</v>
      </c>
      <c r="CN60" s="10" t="e">
        <f t="shared" ca="1" si="43"/>
        <v>#VALUE!</v>
      </c>
      <c r="CO60" s="10" t="e">
        <f t="shared" ca="1" si="44"/>
        <v>#VALUE!</v>
      </c>
      <c r="CP60" s="10" t="e">
        <f t="shared" ca="1" si="45"/>
        <v>#VALUE!</v>
      </c>
      <c r="CQ60" s="10" t="e">
        <f t="shared" si="46"/>
        <v>#REF!</v>
      </c>
      <c r="CR60" s="10" t="e">
        <f t="shared" si="47"/>
        <v>#REF!</v>
      </c>
      <c r="CS60" s="10" t="e">
        <f t="shared" si="48"/>
        <v>#REF!</v>
      </c>
      <c r="CT60" s="10" t="e">
        <f t="shared" si="49"/>
        <v>#REF!</v>
      </c>
      <c r="CU60" s="14" t="e">
        <f t="shared" ca="1" si="50"/>
        <v>#VALUE!</v>
      </c>
      <c r="CV60" s="15" t="e">
        <f ca="1">IF(CU60&gt;=#REF!/100,"Yes","No")</f>
        <v>#VALUE!</v>
      </c>
    </row>
    <row r="61" spans="1:100" x14ac:dyDescent="0.25">
      <c r="A61" t="s">
        <v>135</v>
      </c>
      <c r="B61" t="s">
        <v>136</v>
      </c>
      <c r="C61">
        <v>113205043</v>
      </c>
      <c r="D61" t="str">
        <f t="shared" si="5"/>
        <v>Birkalan, Barış Can-113205043</v>
      </c>
      <c r="E61" s="22">
        <v>6</v>
      </c>
      <c r="F61" s="22">
        <v>3</v>
      </c>
      <c r="G61" s="22">
        <v>15</v>
      </c>
      <c r="H61" s="22">
        <v>6538456</v>
      </c>
      <c r="I61" s="22">
        <v>688876</v>
      </c>
      <c r="J61" s="22">
        <v>4342684</v>
      </c>
      <c r="K61" s="22">
        <v>3909129</v>
      </c>
      <c r="L61" s="22">
        <v>100000</v>
      </c>
      <c r="M61" s="22">
        <v>108300</v>
      </c>
      <c r="N61" s="22">
        <v>118000</v>
      </c>
      <c r="O61" s="22">
        <v>126900</v>
      </c>
      <c r="P61" s="22">
        <v>100000</v>
      </c>
      <c r="Q61" s="22">
        <v>118000</v>
      </c>
      <c r="R61" s="22">
        <v>126900</v>
      </c>
      <c r="S61" s="22">
        <v>108300</v>
      </c>
      <c r="T61" s="24">
        <v>28000</v>
      </c>
      <c r="U61" s="22">
        <v>26557</v>
      </c>
      <c r="V61" s="22">
        <v>24257</v>
      </c>
      <c r="W61" s="22">
        <v>21757</v>
      </c>
      <c r="X61" s="22">
        <v>29057</v>
      </c>
      <c r="Y61" s="22">
        <v>24257</v>
      </c>
      <c r="Z61" s="22">
        <v>21757</v>
      </c>
      <c r="AA61" s="22">
        <v>26557</v>
      </c>
      <c r="AB61" s="24">
        <v>98000</v>
      </c>
      <c r="AC61" s="24">
        <v>97000</v>
      </c>
      <c r="AD61" s="24">
        <v>100000</v>
      </c>
      <c r="AE61" s="24">
        <v>100000</v>
      </c>
      <c r="AF61" s="24">
        <v>95000</v>
      </c>
      <c r="AG61" s="24">
        <v>95500</v>
      </c>
      <c r="AH61" s="24">
        <v>96000</v>
      </c>
      <c r="AI61" s="24">
        <v>97500</v>
      </c>
      <c r="AJ61" s="25">
        <v>4.5</v>
      </c>
      <c r="AK61" s="25">
        <v>9.1</v>
      </c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8">
        <f t="shared" si="51"/>
        <v>3</v>
      </c>
      <c r="AY61" s="8">
        <f t="shared" si="52"/>
        <v>2</v>
      </c>
      <c r="AZ61" s="16" t="str">
        <f t="shared" si="16"/>
        <v>∆(3-2)</v>
      </c>
      <c r="BA61" s="17">
        <f t="shared" ca="1" si="53"/>
        <v>-8900</v>
      </c>
      <c r="BB61" s="17">
        <f t="shared" ca="1" si="54"/>
        <v>2300</v>
      </c>
      <c r="BC61" s="17">
        <f t="shared" ca="1" si="17"/>
        <v>1780</v>
      </c>
      <c r="BD61" s="17" t="e">
        <f>#REF!</f>
        <v>#REF!</v>
      </c>
      <c r="BE61" s="17">
        <f t="shared" ca="1" si="18"/>
        <v>-8900</v>
      </c>
      <c r="BF61" s="17">
        <f t="shared" ca="1" si="19"/>
        <v>2300</v>
      </c>
      <c r="BG61" s="17">
        <f t="shared" ca="1" si="20"/>
        <v>2300</v>
      </c>
      <c r="BH61" s="17">
        <f t="shared" ca="1" si="21"/>
        <v>2300</v>
      </c>
      <c r="BI61" s="17" t="e">
        <f t="shared" si="22"/>
        <v>#REF!</v>
      </c>
      <c r="BJ61" s="17" t="e">
        <f t="shared" si="23"/>
        <v>#REF!</v>
      </c>
      <c r="BK61" s="17" t="e">
        <f t="shared" si="24"/>
        <v>#REF!</v>
      </c>
      <c r="BL61" s="17" t="e">
        <f t="shared" si="25"/>
        <v>#REF!</v>
      </c>
      <c r="BM61" s="18" t="e">
        <f t="shared" ca="1" si="26"/>
        <v>#VALUE!</v>
      </c>
      <c r="BN61" s="19" t="e">
        <f ca="1">IF(BM61&gt;=#REF!/100,"Yes","No")</f>
        <v>#VALUE!</v>
      </c>
      <c r="BO61" s="20">
        <f t="shared" si="55"/>
        <v>1</v>
      </c>
      <c r="BP61" s="20" t="e">
        <f t="shared" ca="1" si="27"/>
        <v>#VALUE!</v>
      </c>
      <c r="BQ61" s="16" t="e">
        <f t="shared" ca="1" si="28"/>
        <v>#VALUE!</v>
      </c>
      <c r="BR61" s="17" t="e">
        <f t="shared" ca="1" si="56"/>
        <v>#VALUE!</v>
      </c>
      <c r="BS61" s="17" t="e">
        <f t="shared" ca="1" si="57"/>
        <v>#VALUE!</v>
      </c>
      <c r="BT61" s="17" t="e">
        <f t="shared" ca="1" si="29"/>
        <v>#VALUE!</v>
      </c>
      <c r="BU61" s="17" t="e">
        <f>#REF!</f>
        <v>#REF!</v>
      </c>
      <c r="BV61" s="17" t="e">
        <f t="shared" ca="1" si="30"/>
        <v>#VALUE!</v>
      </c>
      <c r="BW61" s="17" t="e">
        <f t="shared" ca="1" si="31"/>
        <v>#VALUE!</v>
      </c>
      <c r="BX61" s="17" t="e">
        <f t="shared" ca="1" si="32"/>
        <v>#VALUE!</v>
      </c>
      <c r="BY61" s="17" t="e">
        <f t="shared" ca="1" si="33"/>
        <v>#VALUE!</v>
      </c>
      <c r="BZ61" s="17" t="e">
        <f t="shared" si="34"/>
        <v>#REF!</v>
      </c>
      <c r="CA61" s="17" t="e">
        <f t="shared" si="35"/>
        <v>#REF!</v>
      </c>
      <c r="CB61" s="17" t="e">
        <f t="shared" si="36"/>
        <v>#REF!</v>
      </c>
      <c r="CC61" s="17" t="e">
        <f t="shared" si="37"/>
        <v>#REF!</v>
      </c>
      <c r="CD61" s="18" t="e">
        <f t="shared" ca="1" si="38"/>
        <v>#VALUE!</v>
      </c>
      <c r="CE61" s="19" t="e">
        <f ca="1">IF(CD61&gt;=#REF!/100,"Yes","No")</f>
        <v>#VALUE!</v>
      </c>
      <c r="CF61" s="20">
        <f t="shared" si="58"/>
        <v>4</v>
      </c>
      <c r="CG61" s="20" t="e">
        <f t="shared" ca="1" si="39"/>
        <v>#VALUE!</v>
      </c>
      <c r="CH61" s="16" t="e">
        <f t="shared" ca="1" si="40"/>
        <v>#VALUE!</v>
      </c>
      <c r="CI61" s="17" t="e">
        <f t="shared" ca="1" si="59"/>
        <v>#VALUE!</v>
      </c>
      <c r="CJ61" s="17" t="e">
        <f t="shared" ca="1" si="60"/>
        <v>#VALUE!</v>
      </c>
      <c r="CK61" s="17" t="e">
        <f t="shared" ca="1" si="41"/>
        <v>#VALUE!</v>
      </c>
      <c r="CL61" s="17" t="e">
        <f>#REF!</f>
        <v>#REF!</v>
      </c>
      <c r="CM61" s="17" t="e">
        <f t="shared" ca="1" si="42"/>
        <v>#VALUE!</v>
      </c>
      <c r="CN61" s="17" t="e">
        <f t="shared" ca="1" si="43"/>
        <v>#VALUE!</v>
      </c>
      <c r="CO61" s="17" t="e">
        <f t="shared" ca="1" si="44"/>
        <v>#VALUE!</v>
      </c>
      <c r="CP61" s="17" t="e">
        <f t="shared" ca="1" si="45"/>
        <v>#VALUE!</v>
      </c>
      <c r="CQ61" s="17" t="e">
        <f t="shared" si="46"/>
        <v>#REF!</v>
      </c>
      <c r="CR61" s="17" t="e">
        <f t="shared" si="47"/>
        <v>#REF!</v>
      </c>
      <c r="CS61" s="17" t="e">
        <f t="shared" si="48"/>
        <v>#REF!</v>
      </c>
      <c r="CT61" s="17" t="e">
        <f t="shared" si="49"/>
        <v>#REF!</v>
      </c>
      <c r="CU61" s="18" t="e">
        <f t="shared" ca="1" si="50"/>
        <v>#VALUE!</v>
      </c>
      <c r="CV61" s="19" t="e">
        <f ca="1">IF(CU61&gt;=#REF!/100,"Yes","No")</f>
        <v>#VALUE!</v>
      </c>
    </row>
    <row r="62" spans="1:100" x14ac:dyDescent="0.25">
      <c r="A62" t="s">
        <v>137</v>
      </c>
      <c r="B62" t="s">
        <v>43</v>
      </c>
      <c r="C62">
        <v>114205026</v>
      </c>
      <c r="D62" t="str">
        <f t="shared" si="5"/>
        <v>Bozbaş, Kerem-114205026</v>
      </c>
      <c r="E62" s="22">
        <v>7</v>
      </c>
      <c r="F62" s="22">
        <v>3</v>
      </c>
      <c r="G62" s="22">
        <v>15</v>
      </c>
      <c r="H62" s="22">
        <v>3767342</v>
      </c>
      <c r="I62" s="22">
        <v>931448</v>
      </c>
      <c r="J62" s="22">
        <v>4614205</v>
      </c>
      <c r="K62" s="22">
        <v>4118282</v>
      </c>
      <c r="L62" s="22">
        <v>100000</v>
      </c>
      <c r="M62" s="22">
        <v>108500</v>
      </c>
      <c r="N62" s="22">
        <v>116800</v>
      </c>
      <c r="O62" s="22">
        <v>126600</v>
      </c>
      <c r="P62" s="22">
        <v>116800</v>
      </c>
      <c r="Q62" s="22">
        <v>126600</v>
      </c>
      <c r="R62" s="22">
        <v>100000</v>
      </c>
      <c r="S62" s="22">
        <v>108500</v>
      </c>
      <c r="T62" s="24">
        <v>26000</v>
      </c>
      <c r="U62" s="22">
        <v>27058</v>
      </c>
      <c r="V62" s="22">
        <v>24658</v>
      </c>
      <c r="W62" s="22">
        <v>22358</v>
      </c>
      <c r="X62" s="22">
        <v>24658</v>
      </c>
      <c r="Y62" s="22">
        <v>22358</v>
      </c>
      <c r="Z62" s="22">
        <v>29058</v>
      </c>
      <c r="AA62" s="22">
        <v>27058</v>
      </c>
      <c r="AB62" s="24">
        <v>101000</v>
      </c>
      <c r="AC62" s="24">
        <v>98000</v>
      </c>
      <c r="AD62" s="24">
        <v>97000</v>
      </c>
      <c r="AE62" s="24">
        <v>95000</v>
      </c>
      <c r="AF62" s="24">
        <v>99500</v>
      </c>
      <c r="AG62" s="24">
        <v>94000</v>
      </c>
      <c r="AH62" s="24">
        <v>93500</v>
      </c>
      <c r="AI62" s="24">
        <v>91500</v>
      </c>
      <c r="AJ62" s="25">
        <v>5</v>
      </c>
      <c r="AK62" s="25">
        <v>9.1999999999999993</v>
      </c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8">
        <f t="shared" si="51"/>
        <v>4</v>
      </c>
      <c r="AY62" s="8">
        <f t="shared" si="52"/>
        <v>1</v>
      </c>
      <c r="AZ62" s="13" t="str">
        <f t="shared" si="16"/>
        <v>∆(4-1)</v>
      </c>
      <c r="BA62" s="10">
        <f t="shared" ca="1" si="53"/>
        <v>-8300</v>
      </c>
      <c r="BB62" s="10">
        <f t="shared" ca="1" si="54"/>
        <v>2500</v>
      </c>
      <c r="BC62" s="10">
        <f t="shared" ca="1" si="17"/>
        <v>1660</v>
      </c>
      <c r="BD62" s="10" t="e">
        <f>#REF!</f>
        <v>#REF!</v>
      </c>
      <c r="BE62" s="10">
        <f t="shared" ca="1" si="18"/>
        <v>-8300</v>
      </c>
      <c r="BF62" s="10">
        <f t="shared" ca="1" si="19"/>
        <v>2500</v>
      </c>
      <c r="BG62" s="10">
        <f t="shared" ca="1" si="20"/>
        <v>2500</v>
      </c>
      <c r="BH62" s="10">
        <f t="shared" ca="1" si="21"/>
        <v>2500</v>
      </c>
      <c r="BI62" s="10" t="e">
        <f t="shared" si="22"/>
        <v>#REF!</v>
      </c>
      <c r="BJ62" s="10" t="e">
        <f t="shared" si="23"/>
        <v>#REF!</v>
      </c>
      <c r="BK62" s="10" t="e">
        <f t="shared" si="24"/>
        <v>#REF!</v>
      </c>
      <c r="BL62" s="10" t="e">
        <f t="shared" si="25"/>
        <v>#REF!</v>
      </c>
      <c r="BM62" s="14" t="e">
        <f t="shared" ca="1" si="26"/>
        <v>#VALUE!</v>
      </c>
      <c r="BN62" s="15" t="e">
        <f ca="1">IF(BM62&gt;=#REF!/100,"Yes","No")</f>
        <v>#VALUE!</v>
      </c>
      <c r="BO62" s="6">
        <f t="shared" si="55"/>
        <v>2</v>
      </c>
      <c r="BP62" s="6" t="e">
        <f t="shared" ca="1" si="27"/>
        <v>#VALUE!</v>
      </c>
      <c r="BQ62" s="13" t="e">
        <f t="shared" ca="1" si="28"/>
        <v>#VALUE!</v>
      </c>
      <c r="BR62" s="10" t="e">
        <f t="shared" ca="1" si="56"/>
        <v>#VALUE!</v>
      </c>
      <c r="BS62" s="10" t="e">
        <f t="shared" ca="1" si="57"/>
        <v>#VALUE!</v>
      </c>
      <c r="BT62" s="10" t="e">
        <f t="shared" ca="1" si="29"/>
        <v>#VALUE!</v>
      </c>
      <c r="BU62" s="10" t="e">
        <f>#REF!</f>
        <v>#REF!</v>
      </c>
      <c r="BV62" s="10" t="e">
        <f t="shared" ca="1" si="30"/>
        <v>#VALUE!</v>
      </c>
      <c r="BW62" s="10" t="e">
        <f t="shared" ca="1" si="31"/>
        <v>#VALUE!</v>
      </c>
      <c r="BX62" s="10" t="e">
        <f t="shared" ca="1" si="32"/>
        <v>#VALUE!</v>
      </c>
      <c r="BY62" s="10" t="e">
        <f t="shared" ca="1" si="33"/>
        <v>#VALUE!</v>
      </c>
      <c r="BZ62" s="10" t="e">
        <f t="shared" si="34"/>
        <v>#REF!</v>
      </c>
      <c r="CA62" s="10" t="e">
        <f t="shared" si="35"/>
        <v>#REF!</v>
      </c>
      <c r="CB62" s="10" t="e">
        <f t="shared" si="36"/>
        <v>#REF!</v>
      </c>
      <c r="CC62" s="10" t="e">
        <f t="shared" si="37"/>
        <v>#REF!</v>
      </c>
      <c r="CD62" s="14" t="e">
        <f t="shared" ca="1" si="38"/>
        <v>#VALUE!</v>
      </c>
      <c r="CE62" s="15" t="e">
        <f ca="1">IF(CD62&gt;=#REF!/100,"Yes","No")</f>
        <v>#VALUE!</v>
      </c>
      <c r="CF62" s="6">
        <f t="shared" si="58"/>
        <v>3</v>
      </c>
      <c r="CG62" s="6" t="e">
        <f t="shared" ca="1" si="39"/>
        <v>#VALUE!</v>
      </c>
      <c r="CH62" s="13" t="e">
        <f t="shared" ca="1" si="40"/>
        <v>#VALUE!</v>
      </c>
      <c r="CI62" s="10" t="e">
        <f t="shared" ca="1" si="59"/>
        <v>#VALUE!</v>
      </c>
      <c r="CJ62" s="10" t="e">
        <f t="shared" ca="1" si="60"/>
        <v>#VALUE!</v>
      </c>
      <c r="CK62" s="10" t="e">
        <f t="shared" ca="1" si="41"/>
        <v>#VALUE!</v>
      </c>
      <c r="CL62" s="10" t="e">
        <f>#REF!</f>
        <v>#REF!</v>
      </c>
      <c r="CM62" s="10" t="e">
        <f t="shared" ca="1" si="42"/>
        <v>#VALUE!</v>
      </c>
      <c r="CN62" s="10" t="e">
        <f t="shared" ca="1" si="43"/>
        <v>#VALUE!</v>
      </c>
      <c r="CO62" s="10" t="e">
        <f t="shared" ca="1" si="44"/>
        <v>#VALUE!</v>
      </c>
      <c r="CP62" s="10" t="e">
        <f t="shared" ca="1" si="45"/>
        <v>#VALUE!</v>
      </c>
      <c r="CQ62" s="10" t="e">
        <f t="shared" si="46"/>
        <v>#REF!</v>
      </c>
      <c r="CR62" s="10" t="e">
        <f t="shared" si="47"/>
        <v>#REF!</v>
      </c>
      <c r="CS62" s="10" t="e">
        <f t="shared" si="48"/>
        <v>#REF!</v>
      </c>
      <c r="CT62" s="10" t="e">
        <f t="shared" si="49"/>
        <v>#REF!</v>
      </c>
      <c r="CU62" s="14" t="e">
        <f t="shared" ca="1" si="50"/>
        <v>#VALUE!</v>
      </c>
      <c r="CV62" s="15" t="e">
        <f ca="1">IF(CU62&gt;=#REF!/100,"Yes","No")</f>
        <v>#VALUE!</v>
      </c>
    </row>
    <row r="63" spans="1:100" x14ac:dyDescent="0.25">
      <c r="A63" t="s">
        <v>138</v>
      </c>
      <c r="B63" t="s">
        <v>139</v>
      </c>
      <c r="C63">
        <v>114200027</v>
      </c>
      <c r="D63" t="str">
        <f t="shared" si="5"/>
        <v>Bozkaya, Onur-114200027</v>
      </c>
      <c r="E63" s="22">
        <v>7</v>
      </c>
      <c r="F63" s="22">
        <v>3</v>
      </c>
      <c r="G63" s="22">
        <v>15</v>
      </c>
      <c r="H63" s="22">
        <v>8325630</v>
      </c>
      <c r="I63" s="22">
        <v>8474074</v>
      </c>
      <c r="J63" s="22">
        <v>9138820</v>
      </c>
      <c r="K63" s="22">
        <v>6998129</v>
      </c>
      <c r="L63" s="22">
        <v>100000</v>
      </c>
      <c r="M63" s="22">
        <v>108900</v>
      </c>
      <c r="N63" s="22">
        <v>117800</v>
      </c>
      <c r="O63" s="22">
        <v>126000</v>
      </c>
      <c r="P63" s="22">
        <v>117800</v>
      </c>
      <c r="Q63" s="22">
        <v>108900</v>
      </c>
      <c r="R63" s="22">
        <v>100000</v>
      </c>
      <c r="S63" s="22">
        <v>126000</v>
      </c>
      <c r="T63" s="24">
        <v>23000</v>
      </c>
      <c r="U63" s="22">
        <v>26659</v>
      </c>
      <c r="V63" s="22">
        <v>24159</v>
      </c>
      <c r="W63" s="22">
        <v>21759</v>
      </c>
      <c r="X63" s="22">
        <v>24159</v>
      </c>
      <c r="Y63" s="22">
        <v>26659</v>
      </c>
      <c r="Z63" s="22">
        <v>29059</v>
      </c>
      <c r="AA63" s="22">
        <v>21759</v>
      </c>
      <c r="AB63" s="24">
        <v>107000</v>
      </c>
      <c r="AC63" s="24">
        <v>106000</v>
      </c>
      <c r="AD63" s="24">
        <v>107000</v>
      </c>
      <c r="AE63" s="24">
        <v>106000</v>
      </c>
      <c r="AF63" s="24">
        <v>103500</v>
      </c>
      <c r="AG63" s="24">
        <v>103000</v>
      </c>
      <c r="AH63" s="24">
        <v>105500</v>
      </c>
      <c r="AI63" s="24">
        <v>104500</v>
      </c>
      <c r="AJ63" s="25">
        <v>4.8</v>
      </c>
      <c r="AK63" s="25">
        <v>8.9</v>
      </c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8">
        <f t="shared" si="51"/>
        <v>4</v>
      </c>
      <c r="AY63" s="8">
        <f t="shared" si="52"/>
        <v>3</v>
      </c>
      <c r="AZ63" s="16" t="str">
        <f t="shared" si="16"/>
        <v>∆(4-3)</v>
      </c>
      <c r="BA63" s="17">
        <f t="shared" ca="1" si="53"/>
        <v>-8500</v>
      </c>
      <c r="BB63" s="17">
        <f t="shared" ca="1" si="54"/>
        <v>2000</v>
      </c>
      <c r="BC63" s="17">
        <f t="shared" ca="1" si="17"/>
        <v>1700</v>
      </c>
      <c r="BD63" s="17" t="e">
        <f>#REF!</f>
        <v>#REF!</v>
      </c>
      <c r="BE63" s="17">
        <f t="shared" ca="1" si="18"/>
        <v>-8500</v>
      </c>
      <c r="BF63" s="17">
        <f t="shared" ca="1" si="19"/>
        <v>2000</v>
      </c>
      <c r="BG63" s="17">
        <f t="shared" ca="1" si="20"/>
        <v>2000</v>
      </c>
      <c r="BH63" s="17">
        <f t="shared" ca="1" si="21"/>
        <v>2000</v>
      </c>
      <c r="BI63" s="17" t="e">
        <f t="shared" si="22"/>
        <v>#REF!</v>
      </c>
      <c r="BJ63" s="17" t="e">
        <f t="shared" si="23"/>
        <v>#REF!</v>
      </c>
      <c r="BK63" s="17" t="e">
        <f t="shared" si="24"/>
        <v>#REF!</v>
      </c>
      <c r="BL63" s="17" t="e">
        <f t="shared" si="25"/>
        <v>#REF!</v>
      </c>
      <c r="BM63" s="18" t="e">
        <f t="shared" ca="1" si="26"/>
        <v>#VALUE!</v>
      </c>
      <c r="BN63" s="19" t="e">
        <f ca="1">IF(BM63&gt;=#REF!/100,"Yes","No")</f>
        <v>#VALUE!</v>
      </c>
      <c r="BO63" s="20">
        <f t="shared" si="55"/>
        <v>1</v>
      </c>
      <c r="BP63" s="20" t="e">
        <f t="shared" ca="1" si="27"/>
        <v>#VALUE!</v>
      </c>
      <c r="BQ63" s="16" t="e">
        <f t="shared" ca="1" si="28"/>
        <v>#VALUE!</v>
      </c>
      <c r="BR63" s="17" t="e">
        <f t="shared" ca="1" si="56"/>
        <v>#VALUE!</v>
      </c>
      <c r="BS63" s="17" t="e">
        <f t="shared" ca="1" si="57"/>
        <v>#VALUE!</v>
      </c>
      <c r="BT63" s="17" t="e">
        <f t="shared" ca="1" si="29"/>
        <v>#VALUE!</v>
      </c>
      <c r="BU63" s="17" t="e">
        <f>#REF!</f>
        <v>#REF!</v>
      </c>
      <c r="BV63" s="17" t="e">
        <f t="shared" ca="1" si="30"/>
        <v>#VALUE!</v>
      </c>
      <c r="BW63" s="17" t="e">
        <f t="shared" ca="1" si="31"/>
        <v>#VALUE!</v>
      </c>
      <c r="BX63" s="17" t="e">
        <f t="shared" ca="1" si="32"/>
        <v>#VALUE!</v>
      </c>
      <c r="BY63" s="17" t="e">
        <f t="shared" ca="1" si="33"/>
        <v>#VALUE!</v>
      </c>
      <c r="BZ63" s="17" t="e">
        <f t="shared" si="34"/>
        <v>#REF!</v>
      </c>
      <c r="CA63" s="17" t="e">
        <f t="shared" si="35"/>
        <v>#REF!</v>
      </c>
      <c r="CB63" s="17" t="e">
        <f t="shared" si="36"/>
        <v>#REF!</v>
      </c>
      <c r="CC63" s="17" t="e">
        <f t="shared" si="37"/>
        <v>#REF!</v>
      </c>
      <c r="CD63" s="18" t="e">
        <f t="shared" ca="1" si="38"/>
        <v>#VALUE!</v>
      </c>
      <c r="CE63" s="19" t="e">
        <f ca="1">IF(CD63&gt;=#REF!/100,"Yes","No")</f>
        <v>#VALUE!</v>
      </c>
      <c r="CF63" s="20">
        <f t="shared" si="58"/>
        <v>2</v>
      </c>
      <c r="CG63" s="20" t="e">
        <f t="shared" ca="1" si="39"/>
        <v>#VALUE!</v>
      </c>
      <c r="CH63" s="16" t="e">
        <f t="shared" ca="1" si="40"/>
        <v>#VALUE!</v>
      </c>
      <c r="CI63" s="17" t="e">
        <f t="shared" ca="1" si="59"/>
        <v>#VALUE!</v>
      </c>
      <c r="CJ63" s="17" t="e">
        <f t="shared" ca="1" si="60"/>
        <v>#VALUE!</v>
      </c>
      <c r="CK63" s="17" t="e">
        <f t="shared" ca="1" si="41"/>
        <v>#VALUE!</v>
      </c>
      <c r="CL63" s="17" t="e">
        <f>#REF!</f>
        <v>#REF!</v>
      </c>
      <c r="CM63" s="17" t="e">
        <f t="shared" ca="1" si="42"/>
        <v>#VALUE!</v>
      </c>
      <c r="CN63" s="17" t="e">
        <f t="shared" ca="1" si="43"/>
        <v>#VALUE!</v>
      </c>
      <c r="CO63" s="17" t="e">
        <f t="shared" ca="1" si="44"/>
        <v>#VALUE!</v>
      </c>
      <c r="CP63" s="17" t="e">
        <f t="shared" ca="1" si="45"/>
        <v>#VALUE!</v>
      </c>
      <c r="CQ63" s="17" t="e">
        <f t="shared" si="46"/>
        <v>#REF!</v>
      </c>
      <c r="CR63" s="17" t="e">
        <f t="shared" si="47"/>
        <v>#REF!</v>
      </c>
      <c r="CS63" s="17" t="e">
        <f t="shared" si="48"/>
        <v>#REF!</v>
      </c>
      <c r="CT63" s="17" t="e">
        <f t="shared" si="49"/>
        <v>#REF!</v>
      </c>
      <c r="CU63" s="18" t="e">
        <f t="shared" ca="1" si="50"/>
        <v>#VALUE!</v>
      </c>
      <c r="CV63" s="19" t="e">
        <f ca="1">IF(CU63&gt;=#REF!/100,"Yes","No")</f>
        <v>#VALUE!</v>
      </c>
    </row>
    <row r="64" spans="1:100" x14ac:dyDescent="0.25">
      <c r="A64" t="s">
        <v>140</v>
      </c>
      <c r="B64" t="s">
        <v>141</v>
      </c>
      <c r="C64">
        <v>116200055</v>
      </c>
      <c r="D64" t="str">
        <f t="shared" si="5"/>
        <v>Bozkurt, Selin-116200055</v>
      </c>
      <c r="E64" s="22">
        <v>6</v>
      </c>
      <c r="F64" s="22">
        <v>1</v>
      </c>
      <c r="G64" s="22">
        <v>8</v>
      </c>
      <c r="H64" s="22">
        <v>6944325</v>
      </c>
      <c r="I64" s="22">
        <v>4690651</v>
      </c>
      <c r="J64" s="22">
        <v>9540605</v>
      </c>
      <c r="K64" s="22">
        <v>5835566</v>
      </c>
      <c r="L64" s="22">
        <v>100000</v>
      </c>
      <c r="M64" s="22">
        <v>109500</v>
      </c>
      <c r="N64" s="22">
        <v>119100</v>
      </c>
      <c r="O64" s="22">
        <v>129000</v>
      </c>
      <c r="P64" s="22">
        <v>119100</v>
      </c>
      <c r="Q64" s="22">
        <v>100000</v>
      </c>
      <c r="R64" s="22">
        <v>129000</v>
      </c>
      <c r="S64" s="22">
        <v>109500</v>
      </c>
      <c r="T64" s="24">
        <v>27000</v>
      </c>
      <c r="U64" s="22">
        <v>26960</v>
      </c>
      <c r="V64" s="22">
        <v>24660</v>
      </c>
      <c r="W64" s="22">
        <v>22660</v>
      </c>
      <c r="X64" s="22">
        <v>24660</v>
      </c>
      <c r="Y64" s="22">
        <v>29060</v>
      </c>
      <c r="Z64" s="22">
        <v>22660</v>
      </c>
      <c r="AA64" s="22">
        <v>26960</v>
      </c>
      <c r="AB64" s="24">
        <v>99000</v>
      </c>
      <c r="AC64" s="24">
        <v>101000</v>
      </c>
      <c r="AD64" s="24">
        <v>102000</v>
      </c>
      <c r="AE64" s="24">
        <v>102000</v>
      </c>
      <c r="AF64" s="24">
        <v>95500</v>
      </c>
      <c r="AG64" s="24">
        <v>97500</v>
      </c>
      <c r="AH64" s="24">
        <v>98000</v>
      </c>
      <c r="AI64" s="24">
        <v>99000</v>
      </c>
      <c r="AJ64" s="25">
        <v>4.3</v>
      </c>
      <c r="AK64" s="25">
        <v>9.8000000000000007</v>
      </c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8">
        <f t="shared" si="51"/>
        <v>2</v>
      </c>
      <c r="AY64" s="8">
        <f t="shared" si="52"/>
        <v>3</v>
      </c>
      <c r="AZ64" s="13" t="str">
        <f t="shared" si="16"/>
        <v>∆(2-3)</v>
      </c>
      <c r="BA64" s="10">
        <f t="shared" ca="1" si="53"/>
        <v>-8900</v>
      </c>
      <c r="BB64" s="10">
        <f t="shared" ca="1" si="54"/>
        <v>2400</v>
      </c>
      <c r="BC64" s="10">
        <f t="shared" ca="1" si="17"/>
        <v>1780</v>
      </c>
      <c r="BD64" s="10" t="e">
        <f>#REF!</f>
        <v>#REF!</v>
      </c>
      <c r="BE64" s="10">
        <f t="shared" ca="1" si="18"/>
        <v>-8900</v>
      </c>
      <c r="BF64" s="10">
        <f t="shared" ca="1" si="19"/>
        <v>2400</v>
      </c>
      <c r="BG64" s="10">
        <f t="shared" ca="1" si="20"/>
        <v>2400</v>
      </c>
      <c r="BH64" s="10">
        <f t="shared" ca="1" si="21"/>
        <v>2400</v>
      </c>
      <c r="BI64" s="10" t="e">
        <f t="shared" si="22"/>
        <v>#REF!</v>
      </c>
      <c r="BJ64" s="10" t="e">
        <f t="shared" si="23"/>
        <v>#REF!</v>
      </c>
      <c r="BK64" s="10" t="e">
        <f t="shared" si="24"/>
        <v>#REF!</v>
      </c>
      <c r="BL64" s="10" t="e">
        <f t="shared" si="25"/>
        <v>#REF!</v>
      </c>
      <c r="BM64" s="14" t="e">
        <f t="shared" ca="1" si="26"/>
        <v>#VALUE!</v>
      </c>
      <c r="BN64" s="15" t="e">
        <f ca="1">IF(BM64&gt;=#REF!/100,"Yes","No")</f>
        <v>#VALUE!</v>
      </c>
      <c r="BO64" s="6">
        <f t="shared" si="55"/>
        <v>1</v>
      </c>
      <c r="BP64" s="6" t="e">
        <f t="shared" ca="1" si="27"/>
        <v>#VALUE!</v>
      </c>
      <c r="BQ64" s="13" t="e">
        <f t="shared" ca="1" si="28"/>
        <v>#VALUE!</v>
      </c>
      <c r="BR64" s="10" t="e">
        <f t="shared" ca="1" si="56"/>
        <v>#VALUE!</v>
      </c>
      <c r="BS64" s="10" t="e">
        <f t="shared" ca="1" si="57"/>
        <v>#VALUE!</v>
      </c>
      <c r="BT64" s="10" t="e">
        <f t="shared" ca="1" si="29"/>
        <v>#VALUE!</v>
      </c>
      <c r="BU64" s="10" t="e">
        <f>#REF!</f>
        <v>#REF!</v>
      </c>
      <c r="BV64" s="10" t="e">
        <f t="shared" ca="1" si="30"/>
        <v>#VALUE!</v>
      </c>
      <c r="BW64" s="10" t="e">
        <f t="shared" ca="1" si="31"/>
        <v>#VALUE!</v>
      </c>
      <c r="BX64" s="10" t="e">
        <f t="shared" ca="1" si="32"/>
        <v>#VALUE!</v>
      </c>
      <c r="BY64" s="10" t="e">
        <f t="shared" ca="1" si="33"/>
        <v>#VALUE!</v>
      </c>
      <c r="BZ64" s="10" t="e">
        <f t="shared" si="34"/>
        <v>#REF!</v>
      </c>
      <c r="CA64" s="10" t="e">
        <f t="shared" si="35"/>
        <v>#REF!</v>
      </c>
      <c r="CB64" s="10" t="e">
        <f t="shared" si="36"/>
        <v>#REF!</v>
      </c>
      <c r="CC64" s="10" t="e">
        <f t="shared" si="37"/>
        <v>#REF!</v>
      </c>
      <c r="CD64" s="14" t="e">
        <f t="shared" ca="1" si="38"/>
        <v>#VALUE!</v>
      </c>
      <c r="CE64" s="15" t="e">
        <f ca="1">IF(CD64&gt;=#REF!/100,"Yes","No")</f>
        <v>#VALUE!</v>
      </c>
      <c r="CF64" s="6">
        <f t="shared" si="58"/>
        <v>4</v>
      </c>
      <c r="CG64" s="6" t="e">
        <f t="shared" ca="1" si="39"/>
        <v>#VALUE!</v>
      </c>
      <c r="CH64" s="13" t="e">
        <f t="shared" ca="1" si="40"/>
        <v>#VALUE!</v>
      </c>
      <c r="CI64" s="10" t="e">
        <f t="shared" ca="1" si="59"/>
        <v>#VALUE!</v>
      </c>
      <c r="CJ64" s="10" t="e">
        <f t="shared" ca="1" si="60"/>
        <v>#VALUE!</v>
      </c>
      <c r="CK64" s="10" t="e">
        <f t="shared" ca="1" si="41"/>
        <v>#VALUE!</v>
      </c>
      <c r="CL64" s="10" t="e">
        <f>#REF!</f>
        <v>#REF!</v>
      </c>
      <c r="CM64" s="10" t="e">
        <f t="shared" ca="1" si="42"/>
        <v>#VALUE!</v>
      </c>
      <c r="CN64" s="10" t="e">
        <f t="shared" ca="1" si="43"/>
        <v>#VALUE!</v>
      </c>
      <c r="CO64" s="10" t="e">
        <f t="shared" ca="1" si="44"/>
        <v>#VALUE!</v>
      </c>
      <c r="CP64" s="10" t="e">
        <f t="shared" ca="1" si="45"/>
        <v>#VALUE!</v>
      </c>
      <c r="CQ64" s="10" t="e">
        <f t="shared" si="46"/>
        <v>#REF!</v>
      </c>
      <c r="CR64" s="10" t="e">
        <f t="shared" si="47"/>
        <v>#REF!</v>
      </c>
      <c r="CS64" s="10" t="e">
        <f t="shared" si="48"/>
        <v>#REF!</v>
      </c>
      <c r="CT64" s="10" t="e">
        <f t="shared" si="49"/>
        <v>#REF!</v>
      </c>
      <c r="CU64" s="14" t="e">
        <f t="shared" ca="1" si="50"/>
        <v>#VALUE!</v>
      </c>
      <c r="CV64" s="15" t="e">
        <f ca="1">IF(CU64&gt;=#REF!/100,"Yes","No")</f>
        <v>#VALUE!</v>
      </c>
    </row>
    <row r="65" spans="1:100" x14ac:dyDescent="0.25">
      <c r="A65" t="s">
        <v>142</v>
      </c>
      <c r="B65" t="s">
        <v>109</v>
      </c>
      <c r="C65">
        <v>115203075</v>
      </c>
      <c r="D65" t="str">
        <f t="shared" si="5"/>
        <v>Budak, Mehmet-115203075</v>
      </c>
      <c r="E65" s="22">
        <v>7</v>
      </c>
      <c r="F65" s="22">
        <v>1</v>
      </c>
      <c r="G65" s="22">
        <v>8</v>
      </c>
      <c r="H65" s="22">
        <v>7381267</v>
      </c>
      <c r="I65" s="22">
        <v>1139809</v>
      </c>
      <c r="J65" s="22">
        <v>8918797</v>
      </c>
      <c r="K65" s="22">
        <v>6655230</v>
      </c>
      <c r="L65" s="22">
        <v>100000</v>
      </c>
      <c r="M65" s="22">
        <v>109400</v>
      </c>
      <c r="N65" s="22">
        <v>118200</v>
      </c>
      <c r="O65" s="22">
        <v>126300</v>
      </c>
      <c r="P65" s="22">
        <v>118200</v>
      </c>
      <c r="Q65" s="22">
        <v>100000</v>
      </c>
      <c r="R65" s="22">
        <v>126300</v>
      </c>
      <c r="S65" s="22">
        <v>109400</v>
      </c>
      <c r="T65" s="24">
        <v>25000</v>
      </c>
      <c r="U65" s="22">
        <v>26561</v>
      </c>
      <c r="V65" s="22">
        <v>24561</v>
      </c>
      <c r="W65" s="22">
        <v>22261</v>
      </c>
      <c r="X65" s="22">
        <v>24561</v>
      </c>
      <c r="Y65" s="22">
        <v>29061</v>
      </c>
      <c r="Z65" s="22">
        <v>22261</v>
      </c>
      <c r="AA65" s="22">
        <v>26561</v>
      </c>
      <c r="AB65" s="24">
        <v>116000</v>
      </c>
      <c r="AC65" s="24">
        <v>113000</v>
      </c>
      <c r="AD65" s="24">
        <v>112000</v>
      </c>
      <c r="AE65" s="24">
        <v>110000</v>
      </c>
      <c r="AF65" s="24">
        <v>112500</v>
      </c>
      <c r="AG65" s="24">
        <v>110000</v>
      </c>
      <c r="AH65" s="24">
        <v>108500</v>
      </c>
      <c r="AI65" s="24">
        <v>107000</v>
      </c>
      <c r="AJ65" s="25">
        <v>4.2</v>
      </c>
      <c r="AK65" s="25">
        <v>8.1999999999999993</v>
      </c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8">
        <f t="shared" si="51"/>
        <v>4</v>
      </c>
      <c r="AY65" s="8">
        <f t="shared" si="52"/>
        <v>2</v>
      </c>
      <c r="AZ65" s="16" t="str">
        <f t="shared" si="16"/>
        <v>∆(4-2)</v>
      </c>
      <c r="BA65" s="17">
        <f t="shared" ca="1" si="53"/>
        <v>-9500</v>
      </c>
      <c r="BB65" s="17">
        <f t="shared" ca="1" si="54"/>
        <v>2100</v>
      </c>
      <c r="BC65" s="17">
        <f t="shared" ca="1" si="17"/>
        <v>1900</v>
      </c>
      <c r="BD65" s="17" t="e">
        <f>#REF!</f>
        <v>#REF!</v>
      </c>
      <c r="BE65" s="17">
        <f t="shared" ca="1" si="18"/>
        <v>-9500</v>
      </c>
      <c r="BF65" s="17">
        <f t="shared" ca="1" si="19"/>
        <v>2100</v>
      </c>
      <c r="BG65" s="17">
        <f t="shared" ca="1" si="20"/>
        <v>2100</v>
      </c>
      <c r="BH65" s="17">
        <f t="shared" ca="1" si="21"/>
        <v>2100</v>
      </c>
      <c r="BI65" s="17" t="e">
        <f t="shared" si="22"/>
        <v>#REF!</v>
      </c>
      <c r="BJ65" s="17" t="e">
        <f t="shared" si="23"/>
        <v>#REF!</v>
      </c>
      <c r="BK65" s="17" t="e">
        <f t="shared" si="24"/>
        <v>#REF!</v>
      </c>
      <c r="BL65" s="17" t="e">
        <f t="shared" si="25"/>
        <v>#REF!</v>
      </c>
      <c r="BM65" s="18" t="e">
        <f t="shared" ca="1" si="26"/>
        <v>#VALUE!</v>
      </c>
      <c r="BN65" s="19" t="e">
        <f ca="1">IF(BM65&gt;=#REF!/100,"Yes","No")</f>
        <v>#VALUE!</v>
      </c>
      <c r="BO65" s="20">
        <f t="shared" si="55"/>
        <v>1</v>
      </c>
      <c r="BP65" s="20" t="e">
        <f t="shared" ca="1" si="27"/>
        <v>#VALUE!</v>
      </c>
      <c r="BQ65" s="16" t="e">
        <f t="shared" ca="1" si="28"/>
        <v>#VALUE!</v>
      </c>
      <c r="BR65" s="17" t="e">
        <f t="shared" ca="1" si="56"/>
        <v>#VALUE!</v>
      </c>
      <c r="BS65" s="17" t="e">
        <f t="shared" ca="1" si="57"/>
        <v>#VALUE!</v>
      </c>
      <c r="BT65" s="17" t="e">
        <f t="shared" ca="1" si="29"/>
        <v>#VALUE!</v>
      </c>
      <c r="BU65" s="17" t="e">
        <f>#REF!</f>
        <v>#REF!</v>
      </c>
      <c r="BV65" s="17" t="e">
        <f t="shared" ca="1" si="30"/>
        <v>#VALUE!</v>
      </c>
      <c r="BW65" s="17" t="e">
        <f t="shared" ca="1" si="31"/>
        <v>#VALUE!</v>
      </c>
      <c r="BX65" s="17" t="e">
        <f t="shared" ca="1" si="32"/>
        <v>#VALUE!</v>
      </c>
      <c r="BY65" s="17" t="e">
        <f t="shared" ca="1" si="33"/>
        <v>#VALUE!</v>
      </c>
      <c r="BZ65" s="17" t="e">
        <f t="shared" si="34"/>
        <v>#REF!</v>
      </c>
      <c r="CA65" s="17" t="e">
        <f t="shared" si="35"/>
        <v>#REF!</v>
      </c>
      <c r="CB65" s="17" t="e">
        <f t="shared" si="36"/>
        <v>#REF!</v>
      </c>
      <c r="CC65" s="17" t="e">
        <f t="shared" si="37"/>
        <v>#REF!</v>
      </c>
      <c r="CD65" s="18" t="e">
        <f t="shared" ca="1" si="38"/>
        <v>#VALUE!</v>
      </c>
      <c r="CE65" s="19" t="e">
        <f ca="1">IF(CD65&gt;=#REF!/100,"Yes","No")</f>
        <v>#VALUE!</v>
      </c>
      <c r="CF65" s="20">
        <f t="shared" si="58"/>
        <v>3</v>
      </c>
      <c r="CG65" s="20" t="e">
        <f t="shared" ca="1" si="39"/>
        <v>#VALUE!</v>
      </c>
      <c r="CH65" s="16" t="e">
        <f t="shared" ca="1" si="40"/>
        <v>#VALUE!</v>
      </c>
      <c r="CI65" s="17" t="e">
        <f t="shared" ca="1" si="59"/>
        <v>#VALUE!</v>
      </c>
      <c r="CJ65" s="17" t="e">
        <f t="shared" ca="1" si="60"/>
        <v>#VALUE!</v>
      </c>
      <c r="CK65" s="17" t="e">
        <f t="shared" ca="1" si="41"/>
        <v>#VALUE!</v>
      </c>
      <c r="CL65" s="17" t="e">
        <f>#REF!</f>
        <v>#REF!</v>
      </c>
      <c r="CM65" s="17" t="e">
        <f t="shared" ca="1" si="42"/>
        <v>#VALUE!</v>
      </c>
      <c r="CN65" s="17" t="e">
        <f t="shared" ca="1" si="43"/>
        <v>#VALUE!</v>
      </c>
      <c r="CO65" s="17" t="e">
        <f t="shared" ca="1" si="44"/>
        <v>#VALUE!</v>
      </c>
      <c r="CP65" s="17" t="e">
        <f t="shared" ca="1" si="45"/>
        <v>#VALUE!</v>
      </c>
      <c r="CQ65" s="17" t="e">
        <f t="shared" si="46"/>
        <v>#REF!</v>
      </c>
      <c r="CR65" s="17" t="e">
        <f t="shared" si="47"/>
        <v>#REF!</v>
      </c>
      <c r="CS65" s="17" t="e">
        <f t="shared" si="48"/>
        <v>#REF!</v>
      </c>
      <c r="CT65" s="17" t="e">
        <f t="shared" si="49"/>
        <v>#REF!</v>
      </c>
      <c r="CU65" s="18" t="e">
        <f t="shared" ca="1" si="50"/>
        <v>#VALUE!</v>
      </c>
      <c r="CV65" s="19" t="e">
        <f ca="1">IF(CU65&gt;=#REF!/100,"Yes","No")</f>
        <v>#VALUE!</v>
      </c>
    </row>
    <row r="66" spans="1:100" x14ac:dyDescent="0.25">
      <c r="A66" t="s">
        <v>143</v>
      </c>
      <c r="B66" t="s">
        <v>144</v>
      </c>
      <c r="C66">
        <v>115206025</v>
      </c>
      <c r="D66" t="str">
        <f t="shared" si="5"/>
        <v>Buğdaycı, Merihcan-115206025</v>
      </c>
      <c r="E66" s="22">
        <v>5</v>
      </c>
      <c r="F66" s="22">
        <v>2</v>
      </c>
      <c r="G66" s="22">
        <v>10</v>
      </c>
      <c r="H66" s="22">
        <v>4457187</v>
      </c>
      <c r="I66" s="22">
        <v>4330794</v>
      </c>
      <c r="J66" s="22">
        <v>235397</v>
      </c>
      <c r="K66" s="22">
        <v>7188795</v>
      </c>
      <c r="L66" s="22">
        <v>100000</v>
      </c>
      <c r="M66" s="22">
        <v>109500</v>
      </c>
      <c r="N66" s="22">
        <v>117600</v>
      </c>
      <c r="O66" s="22">
        <v>126300</v>
      </c>
      <c r="P66" s="22">
        <v>126300</v>
      </c>
      <c r="Q66" s="22">
        <v>100000</v>
      </c>
      <c r="R66" s="22">
        <v>109500</v>
      </c>
      <c r="S66" s="22">
        <v>117600</v>
      </c>
      <c r="T66" s="24">
        <v>26000</v>
      </c>
      <c r="U66" s="22">
        <v>26762</v>
      </c>
      <c r="V66" s="22">
        <v>24662</v>
      </c>
      <c r="W66" s="22">
        <v>22262</v>
      </c>
      <c r="X66" s="22">
        <v>22262</v>
      </c>
      <c r="Y66" s="22">
        <v>29062</v>
      </c>
      <c r="Z66" s="22">
        <v>26762</v>
      </c>
      <c r="AA66" s="22">
        <v>24662</v>
      </c>
      <c r="AB66" s="24">
        <v>116000</v>
      </c>
      <c r="AC66" s="24">
        <v>119000</v>
      </c>
      <c r="AD66" s="24">
        <v>117000</v>
      </c>
      <c r="AE66" s="24">
        <v>120000</v>
      </c>
      <c r="AF66" s="24">
        <v>114500</v>
      </c>
      <c r="AG66" s="24">
        <v>115000</v>
      </c>
      <c r="AH66" s="24">
        <v>113500</v>
      </c>
      <c r="AI66" s="24">
        <v>118500</v>
      </c>
      <c r="AJ66" s="25">
        <v>3.7</v>
      </c>
      <c r="AK66" s="25">
        <v>9.1999999999999993</v>
      </c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8">
        <f t="shared" si="51"/>
        <v>4</v>
      </c>
      <c r="AY66" s="8">
        <f t="shared" si="52"/>
        <v>2</v>
      </c>
      <c r="AZ66" s="13" t="str">
        <f t="shared" si="16"/>
        <v>∆(4-2)</v>
      </c>
      <c r="BA66" s="10">
        <f t="shared" ca="1" si="53"/>
        <v>-9400</v>
      </c>
      <c r="BB66" s="10">
        <f t="shared" ca="1" si="54"/>
        <v>2500</v>
      </c>
      <c r="BC66" s="10">
        <f t="shared" ca="1" si="17"/>
        <v>1880</v>
      </c>
      <c r="BD66" s="10" t="e">
        <f>#REF!</f>
        <v>#REF!</v>
      </c>
      <c r="BE66" s="10">
        <f t="shared" ca="1" si="18"/>
        <v>-9400</v>
      </c>
      <c r="BF66" s="10">
        <f t="shared" ca="1" si="19"/>
        <v>2500</v>
      </c>
      <c r="BG66" s="10">
        <f t="shared" ca="1" si="20"/>
        <v>2500</v>
      </c>
      <c r="BH66" s="10">
        <f t="shared" ca="1" si="21"/>
        <v>2500</v>
      </c>
      <c r="BI66" s="10" t="e">
        <f t="shared" si="22"/>
        <v>#REF!</v>
      </c>
      <c r="BJ66" s="10" t="e">
        <f t="shared" si="23"/>
        <v>#REF!</v>
      </c>
      <c r="BK66" s="10" t="e">
        <f t="shared" si="24"/>
        <v>#REF!</v>
      </c>
      <c r="BL66" s="10" t="e">
        <f t="shared" si="25"/>
        <v>#REF!</v>
      </c>
      <c r="BM66" s="14" t="e">
        <f t="shared" ca="1" si="26"/>
        <v>#VALUE!</v>
      </c>
      <c r="BN66" s="15" t="e">
        <f ca="1">IF(BM66&gt;=#REF!/100,"Yes","No")</f>
        <v>#VALUE!</v>
      </c>
      <c r="BO66" s="6">
        <f t="shared" si="55"/>
        <v>1</v>
      </c>
      <c r="BP66" s="6" t="e">
        <f t="shared" ca="1" si="27"/>
        <v>#VALUE!</v>
      </c>
      <c r="BQ66" s="13" t="e">
        <f t="shared" ca="1" si="28"/>
        <v>#VALUE!</v>
      </c>
      <c r="BR66" s="10" t="e">
        <f t="shared" ca="1" si="56"/>
        <v>#VALUE!</v>
      </c>
      <c r="BS66" s="10" t="e">
        <f t="shared" ca="1" si="57"/>
        <v>#VALUE!</v>
      </c>
      <c r="BT66" s="10" t="e">
        <f t="shared" ca="1" si="29"/>
        <v>#VALUE!</v>
      </c>
      <c r="BU66" s="10" t="e">
        <f>#REF!</f>
        <v>#REF!</v>
      </c>
      <c r="BV66" s="10" t="e">
        <f t="shared" ca="1" si="30"/>
        <v>#VALUE!</v>
      </c>
      <c r="BW66" s="10" t="e">
        <f t="shared" ca="1" si="31"/>
        <v>#VALUE!</v>
      </c>
      <c r="BX66" s="10" t="e">
        <f t="shared" ca="1" si="32"/>
        <v>#VALUE!</v>
      </c>
      <c r="BY66" s="10" t="e">
        <f t="shared" ca="1" si="33"/>
        <v>#VALUE!</v>
      </c>
      <c r="BZ66" s="10" t="e">
        <f t="shared" si="34"/>
        <v>#REF!</v>
      </c>
      <c r="CA66" s="10" t="e">
        <f t="shared" si="35"/>
        <v>#REF!</v>
      </c>
      <c r="CB66" s="10" t="e">
        <f t="shared" si="36"/>
        <v>#REF!</v>
      </c>
      <c r="CC66" s="10" t="e">
        <f t="shared" si="37"/>
        <v>#REF!</v>
      </c>
      <c r="CD66" s="14" t="e">
        <f t="shared" ca="1" si="38"/>
        <v>#VALUE!</v>
      </c>
      <c r="CE66" s="15" t="e">
        <f ca="1">IF(CD66&gt;=#REF!/100,"Yes","No")</f>
        <v>#VALUE!</v>
      </c>
      <c r="CF66" s="6">
        <f t="shared" si="58"/>
        <v>3</v>
      </c>
      <c r="CG66" s="6" t="e">
        <f t="shared" ca="1" si="39"/>
        <v>#VALUE!</v>
      </c>
      <c r="CH66" s="13" t="e">
        <f t="shared" ca="1" si="40"/>
        <v>#VALUE!</v>
      </c>
      <c r="CI66" s="10" t="e">
        <f t="shared" ca="1" si="59"/>
        <v>#VALUE!</v>
      </c>
      <c r="CJ66" s="10" t="e">
        <f t="shared" ca="1" si="60"/>
        <v>#VALUE!</v>
      </c>
      <c r="CK66" s="10" t="e">
        <f t="shared" ca="1" si="41"/>
        <v>#VALUE!</v>
      </c>
      <c r="CL66" s="10" t="e">
        <f>#REF!</f>
        <v>#REF!</v>
      </c>
      <c r="CM66" s="10" t="e">
        <f t="shared" ca="1" si="42"/>
        <v>#VALUE!</v>
      </c>
      <c r="CN66" s="10" t="e">
        <f t="shared" ca="1" si="43"/>
        <v>#VALUE!</v>
      </c>
      <c r="CO66" s="10" t="e">
        <f t="shared" ca="1" si="44"/>
        <v>#VALUE!</v>
      </c>
      <c r="CP66" s="10" t="e">
        <f t="shared" ca="1" si="45"/>
        <v>#VALUE!</v>
      </c>
      <c r="CQ66" s="10" t="e">
        <f t="shared" si="46"/>
        <v>#REF!</v>
      </c>
      <c r="CR66" s="10" t="e">
        <f t="shared" si="47"/>
        <v>#REF!</v>
      </c>
      <c r="CS66" s="10" t="e">
        <f t="shared" si="48"/>
        <v>#REF!</v>
      </c>
      <c r="CT66" s="10" t="e">
        <f t="shared" si="49"/>
        <v>#REF!</v>
      </c>
      <c r="CU66" s="14" t="e">
        <f t="shared" ca="1" si="50"/>
        <v>#VALUE!</v>
      </c>
      <c r="CV66" s="15" t="e">
        <f ca="1">IF(CU66&gt;=#REF!/100,"Yes","No")</f>
        <v>#VALUE!</v>
      </c>
    </row>
    <row r="67" spans="1:100" x14ac:dyDescent="0.25">
      <c r="A67" t="s">
        <v>145</v>
      </c>
      <c r="B67" t="s">
        <v>146</v>
      </c>
      <c r="C67">
        <v>116203017</v>
      </c>
      <c r="D67" t="str">
        <f t="shared" si="5"/>
        <v>Büyüközkan, Alp-116203017</v>
      </c>
      <c r="E67" s="22">
        <v>5</v>
      </c>
      <c r="F67" s="22">
        <v>1</v>
      </c>
      <c r="G67" s="22">
        <v>8</v>
      </c>
      <c r="H67" s="22">
        <v>2208922</v>
      </c>
      <c r="I67" s="22">
        <v>9758424</v>
      </c>
      <c r="J67" s="22">
        <v>1251547</v>
      </c>
      <c r="K67" s="22">
        <v>1531738</v>
      </c>
      <c r="L67" s="22">
        <v>100000</v>
      </c>
      <c r="M67" s="22">
        <v>109500</v>
      </c>
      <c r="N67" s="22">
        <v>118300</v>
      </c>
      <c r="O67" s="22">
        <v>127500</v>
      </c>
      <c r="P67" s="22">
        <v>109500</v>
      </c>
      <c r="Q67" s="22">
        <v>100000</v>
      </c>
      <c r="R67" s="22">
        <v>127500</v>
      </c>
      <c r="S67" s="22">
        <v>118300</v>
      </c>
      <c r="T67" s="24">
        <v>28000</v>
      </c>
      <c r="U67" s="22">
        <v>27063</v>
      </c>
      <c r="V67" s="22">
        <v>24863</v>
      </c>
      <c r="W67" s="22">
        <v>22463</v>
      </c>
      <c r="X67" s="22">
        <v>27063</v>
      </c>
      <c r="Y67" s="22">
        <v>29063</v>
      </c>
      <c r="Z67" s="22">
        <v>22463</v>
      </c>
      <c r="AA67" s="22">
        <v>24863</v>
      </c>
      <c r="AB67" s="24">
        <v>115000</v>
      </c>
      <c r="AC67" s="24">
        <v>114000</v>
      </c>
      <c r="AD67" s="24">
        <v>112000</v>
      </c>
      <c r="AE67" s="24">
        <v>112000</v>
      </c>
      <c r="AF67" s="24">
        <v>111000</v>
      </c>
      <c r="AG67" s="24">
        <v>110000</v>
      </c>
      <c r="AH67" s="24">
        <v>110500</v>
      </c>
      <c r="AI67" s="24">
        <v>110500</v>
      </c>
      <c r="AJ67" s="25">
        <v>2.5</v>
      </c>
      <c r="AK67" s="25">
        <v>7</v>
      </c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8">
        <f t="shared" si="51"/>
        <v>3</v>
      </c>
      <c r="AY67" s="8">
        <f t="shared" si="52"/>
        <v>2</v>
      </c>
      <c r="AZ67" s="16" t="str">
        <f t="shared" si="16"/>
        <v>∆(3-2)</v>
      </c>
      <c r="BA67" s="17">
        <f t="shared" ca="1" si="53"/>
        <v>-9500</v>
      </c>
      <c r="BB67" s="17">
        <f t="shared" ca="1" si="54"/>
        <v>2300</v>
      </c>
      <c r="BC67" s="17">
        <f t="shared" ca="1" si="17"/>
        <v>1900</v>
      </c>
      <c r="BD67" s="17" t="e">
        <f>#REF!</f>
        <v>#REF!</v>
      </c>
      <c r="BE67" s="17">
        <f t="shared" ca="1" si="18"/>
        <v>-9500</v>
      </c>
      <c r="BF67" s="17">
        <f t="shared" ca="1" si="19"/>
        <v>2300</v>
      </c>
      <c r="BG67" s="17">
        <f t="shared" ca="1" si="20"/>
        <v>2300</v>
      </c>
      <c r="BH67" s="17">
        <f t="shared" ca="1" si="21"/>
        <v>2300</v>
      </c>
      <c r="BI67" s="17" t="e">
        <f t="shared" si="22"/>
        <v>#REF!</v>
      </c>
      <c r="BJ67" s="17" t="e">
        <f t="shared" si="23"/>
        <v>#REF!</v>
      </c>
      <c r="BK67" s="17" t="e">
        <f t="shared" si="24"/>
        <v>#REF!</v>
      </c>
      <c r="BL67" s="17" t="e">
        <f t="shared" si="25"/>
        <v>#REF!</v>
      </c>
      <c r="BM67" s="18" t="e">
        <f t="shared" ca="1" si="26"/>
        <v>#VALUE!</v>
      </c>
      <c r="BN67" s="19" t="e">
        <f ca="1">IF(BM67&gt;=#REF!/100,"Yes","No")</f>
        <v>#VALUE!</v>
      </c>
      <c r="BO67" s="20">
        <f t="shared" si="55"/>
        <v>4</v>
      </c>
      <c r="BP67" s="20" t="e">
        <f t="shared" ca="1" si="27"/>
        <v>#VALUE!</v>
      </c>
      <c r="BQ67" s="16" t="e">
        <f t="shared" ca="1" si="28"/>
        <v>#VALUE!</v>
      </c>
      <c r="BR67" s="17" t="e">
        <f t="shared" ca="1" si="56"/>
        <v>#VALUE!</v>
      </c>
      <c r="BS67" s="17" t="e">
        <f t="shared" ca="1" si="57"/>
        <v>#VALUE!</v>
      </c>
      <c r="BT67" s="17" t="e">
        <f t="shared" ca="1" si="29"/>
        <v>#VALUE!</v>
      </c>
      <c r="BU67" s="17" t="e">
        <f>#REF!</f>
        <v>#REF!</v>
      </c>
      <c r="BV67" s="17" t="e">
        <f t="shared" ca="1" si="30"/>
        <v>#VALUE!</v>
      </c>
      <c r="BW67" s="17" t="e">
        <f t="shared" ca="1" si="31"/>
        <v>#VALUE!</v>
      </c>
      <c r="BX67" s="17" t="e">
        <f t="shared" ca="1" si="32"/>
        <v>#VALUE!</v>
      </c>
      <c r="BY67" s="17" t="e">
        <f t="shared" ca="1" si="33"/>
        <v>#VALUE!</v>
      </c>
      <c r="BZ67" s="17" t="e">
        <f t="shared" si="34"/>
        <v>#REF!</v>
      </c>
      <c r="CA67" s="17" t="e">
        <f t="shared" si="35"/>
        <v>#REF!</v>
      </c>
      <c r="CB67" s="17" t="e">
        <f t="shared" si="36"/>
        <v>#REF!</v>
      </c>
      <c r="CC67" s="17" t="e">
        <f t="shared" si="37"/>
        <v>#REF!</v>
      </c>
      <c r="CD67" s="18" t="e">
        <f t="shared" ca="1" si="38"/>
        <v>#VALUE!</v>
      </c>
      <c r="CE67" s="19" t="e">
        <f ca="1">IF(CD67&gt;=#REF!/100,"Yes","No")</f>
        <v>#VALUE!</v>
      </c>
      <c r="CF67" s="20">
        <f t="shared" si="58"/>
        <v>1</v>
      </c>
      <c r="CG67" s="20" t="e">
        <f t="shared" ca="1" si="39"/>
        <v>#VALUE!</v>
      </c>
      <c r="CH67" s="16" t="e">
        <f t="shared" ca="1" si="40"/>
        <v>#VALUE!</v>
      </c>
      <c r="CI67" s="17" t="e">
        <f t="shared" ca="1" si="59"/>
        <v>#VALUE!</v>
      </c>
      <c r="CJ67" s="17" t="e">
        <f t="shared" ca="1" si="60"/>
        <v>#VALUE!</v>
      </c>
      <c r="CK67" s="17" t="e">
        <f t="shared" ca="1" si="41"/>
        <v>#VALUE!</v>
      </c>
      <c r="CL67" s="17" t="e">
        <f>#REF!</f>
        <v>#REF!</v>
      </c>
      <c r="CM67" s="17" t="e">
        <f t="shared" ca="1" si="42"/>
        <v>#VALUE!</v>
      </c>
      <c r="CN67" s="17" t="e">
        <f t="shared" ca="1" si="43"/>
        <v>#VALUE!</v>
      </c>
      <c r="CO67" s="17" t="e">
        <f t="shared" ca="1" si="44"/>
        <v>#VALUE!</v>
      </c>
      <c r="CP67" s="17" t="e">
        <f t="shared" ca="1" si="45"/>
        <v>#VALUE!</v>
      </c>
      <c r="CQ67" s="17" t="e">
        <f t="shared" si="46"/>
        <v>#REF!</v>
      </c>
      <c r="CR67" s="17" t="e">
        <f t="shared" si="47"/>
        <v>#REF!</v>
      </c>
      <c r="CS67" s="17" t="e">
        <f t="shared" si="48"/>
        <v>#REF!</v>
      </c>
      <c r="CT67" s="17" t="e">
        <f t="shared" si="49"/>
        <v>#REF!</v>
      </c>
      <c r="CU67" s="18" t="e">
        <f t="shared" ca="1" si="50"/>
        <v>#VALUE!</v>
      </c>
      <c r="CV67" s="19" t="e">
        <f ca="1">IF(CU67&gt;=#REF!/100,"Yes","No")</f>
        <v>#VALUE!</v>
      </c>
    </row>
    <row r="68" spans="1:100" x14ac:dyDescent="0.25">
      <c r="A68" t="s">
        <v>147</v>
      </c>
      <c r="B68" t="s">
        <v>148</v>
      </c>
      <c r="C68">
        <v>115203014</v>
      </c>
      <c r="D68" t="str">
        <f t="shared" ref="D68:D131" si="61">A68&amp;", "&amp;B68&amp;"-"&amp;C68</f>
        <v>Çağlar, Mehmet Fatih-115203014</v>
      </c>
      <c r="E68" s="22">
        <v>5</v>
      </c>
      <c r="F68" s="22">
        <v>2</v>
      </c>
      <c r="G68" s="22">
        <v>10</v>
      </c>
      <c r="H68" s="22">
        <v>8448156</v>
      </c>
      <c r="I68" s="22">
        <v>926507</v>
      </c>
      <c r="J68" s="22">
        <v>9019313</v>
      </c>
      <c r="K68" s="22">
        <v>9015081</v>
      </c>
      <c r="L68" s="22">
        <v>100000</v>
      </c>
      <c r="M68" s="22">
        <v>108400</v>
      </c>
      <c r="N68" s="22">
        <v>116600</v>
      </c>
      <c r="O68" s="22">
        <v>126000</v>
      </c>
      <c r="P68" s="22">
        <v>116600</v>
      </c>
      <c r="Q68" s="22">
        <v>126000</v>
      </c>
      <c r="R68" s="22">
        <v>100000</v>
      </c>
      <c r="S68" s="22">
        <v>108400</v>
      </c>
      <c r="T68" s="24">
        <v>25000</v>
      </c>
      <c r="U68" s="22">
        <v>26764</v>
      </c>
      <c r="V68" s="22">
        <v>24264</v>
      </c>
      <c r="W68" s="22">
        <v>21764</v>
      </c>
      <c r="X68" s="22">
        <v>24264</v>
      </c>
      <c r="Y68" s="22">
        <v>21764</v>
      </c>
      <c r="Z68" s="22">
        <v>29064</v>
      </c>
      <c r="AA68" s="22">
        <v>26764</v>
      </c>
      <c r="AB68" s="24">
        <v>117000</v>
      </c>
      <c r="AC68" s="24">
        <v>119000</v>
      </c>
      <c r="AD68" s="24">
        <v>121000</v>
      </c>
      <c r="AE68" s="24">
        <v>122000</v>
      </c>
      <c r="AF68" s="24">
        <v>115000</v>
      </c>
      <c r="AG68" s="24">
        <v>117500</v>
      </c>
      <c r="AH68" s="24">
        <v>119000</v>
      </c>
      <c r="AI68" s="24">
        <v>119000</v>
      </c>
      <c r="AJ68" s="25">
        <v>3</v>
      </c>
      <c r="AK68" s="25">
        <v>8.5</v>
      </c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8">
        <f t="shared" si="51"/>
        <v>1</v>
      </c>
      <c r="AY68" s="8">
        <f t="shared" si="52"/>
        <v>2</v>
      </c>
      <c r="AZ68" s="13" t="str">
        <f t="shared" si="16"/>
        <v>∆(1-2)</v>
      </c>
      <c r="BA68" s="10">
        <f t="shared" ca="1" si="53"/>
        <v>-9500</v>
      </c>
      <c r="BB68" s="10">
        <f t="shared" ca="1" si="54"/>
        <v>2000</v>
      </c>
      <c r="BC68" s="10">
        <f t="shared" ca="1" si="17"/>
        <v>1900</v>
      </c>
      <c r="BD68" s="10" t="e">
        <f>#REF!</f>
        <v>#REF!</v>
      </c>
      <c r="BE68" s="10">
        <f t="shared" ca="1" si="18"/>
        <v>-9500</v>
      </c>
      <c r="BF68" s="10">
        <f t="shared" ca="1" si="19"/>
        <v>2000</v>
      </c>
      <c r="BG68" s="10">
        <f t="shared" ca="1" si="20"/>
        <v>2000</v>
      </c>
      <c r="BH68" s="10">
        <f t="shared" ca="1" si="21"/>
        <v>2000</v>
      </c>
      <c r="BI68" s="10" t="e">
        <f t="shared" si="22"/>
        <v>#REF!</v>
      </c>
      <c r="BJ68" s="10" t="e">
        <f t="shared" si="23"/>
        <v>#REF!</v>
      </c>
      <c r="BK68" s="10" t="e">
        <f t="shared" si="24"/>
        <v>#REF!</v>
      </c>
      <c r="BL68" s="10" t="e">
        <f t="shared" si="25"/>
        <v>#REF!</v>
      </c>
      <c r="BM68" s="14" t="e">
        <f t="shared" ca="1" si="26"/>
        <v>#VALUE!</v>
      </c>
      <c r="BN68" s="15" t="e">
        <f ca="1">IF(BM68&gt;=#REF!/100,"Yes","No")</f>
        <v>#VALUE!</v>
      </c>
      <c r="BO68" s="6">
        <f t="shared" si="55"/>
        <v>4</v>
      </c>
      <c r="BP68" s="6" t="e">
        <f t="shared" ca="1" si="27"/>
        <v>#VALUE!</v>
      </c>
      <c r="BQ68" s="13" t="e">
        <f t="shared" ca="1" si="28"/>
        <v>#VALUE!</v>
      </c>
      <c r="BR68" s="10" t="e">
        <f t="shared" ca="1" si="56"/>
        <v>#VALUE!</v>
      </c>
      <c r="BS68" s="10" t="e">
        <f t="shared" ca="1" si="57"/>
        <v>#VALUE!</v>
      </c>
      <c r="BT68" s="10" t="e">
        <f t="shared" ca="1" si="29"/>
        <v>#VALUE!</v>
      </c>
      <c r="BU68" s="10" t="e">
        <f>#REF!</f>
        <v>#REF!</v>
      </c>
      <c r="BV68" s="10" t="e">
        <f t="shared" ca="1" si="30"/>
        <v>#VALUE!</v>
      </c>
      <c r="BW68" s="10" t="e">
        <f t="shared" ca="1" si="31"/>
        <v>#VALUE!</v>
      </c>
      <c r="BX68" s="10" t="e">
        <f t="shared" ca="1" si="32"/>
        <v>#VALUE!</v>
      </c>
      <c r="BY68" s="10" t="e">
        <f t="shared" ca="1" si="33"/>
        <v>#VALUE!</v>
      </c>
      <c r="BZ68" s="10" t="e">
        <f t="shared" si="34"/>
        <v>#REF!</v>
      </c>
      <c r="CA68" s="10" t="e">
        <f t="shared" si="35"/>
        <v>#REF!</v>
      </c>
      <c r="CB68" s="10" t="e">
        <f t="shared" si="36"/>
        <v>#REF!</v>
      </c>
      <c r="CC68" s="10" t="e">
        <f t="shared" si="37"/>
        <v>#REF!</v>
      </c>
      <c r="CD68" s="14" t="e">
        <f t="shared" ca="1" si="38"/>
        <v>#VALUE!</v>
      </c>
      <c r="CE68" s="15" t="e">
        <f ca="1">IF(CD68&gt;=#REF!/100,"Yes","No")</f>
        <v>#VALUE!</v>
      </c>
      <c r="CF68" s="6">
        <f t="shared" si="58"/>
        <v>3</v>
      </c>
      <c r="CG68" s="6" t="e">
        <f t="shared" ca="1" si="39"/>
        <v>#VALUE!</v>
      </c>
      <c r="CH68" s="13" t="e">
        <f t="shared" ca="1" si="40"/>
        <v>#VALUE!</v>
      </c>
      <c r="CI68" s="10" t="e">
        <f t="shared" ca="1" si="59"/>
        <v>#VALUE!</v>
      </c>
      <c r="CJ68" s="10" t="e">
        <f t="shared" ca="1" si="60"/>
        <v>#VALUE!</v>
      </c>
      <c r="CK68" s="10" t="e">
        <f t="shared" ca="1" si="41"/>
        <v>#VALUE!</v>
      </c>
      <c r="CL68" s="10" t="e">
        <f>#REF!</f>
        <v>#REF!</v>
      </c>
      <c r="CM68" s="10" t="e">
        <f t="shared" ca="1" si="42"/>
        <v>#VALUE!</v>
      </c>
      <c r="CN68" s="10" t="e">
        <f t="shared" ca="1" si="43"/>
        <v>#VALUE!</v>
      </c>
      <c r="CO68" s="10" t="e">
        <f t="shared" ca="1" si="44"/>
        <v>#VALUE!</v>
      </c>
      <c r="CP68" s="10" t="e">
        <f t="shared" ca="1" si="45"/>
        <v>#VALUE!</v>
      </c>
      <c r="CQ68" s="10" t="e">
        <f t="shared" si="46"/>
        <v>#REF!</v>
      </c>
      <c r="CR68" s="10" t="e">
        <f t="shared" si="47"/>
        <v>#REF!</v>
      </c>
      <c r="CS68" s="10" t="e">
        <f t="shared" si="48"/>
        <v>#REF!</v>
      </c>
      <c r="CT68" s="10" t="e">
        <f t="shared" si="49"/>
        <v>#REF!</v>
      </c>
      <c r="CU68" s="14" t="e">
        <f t="shared" ca="1" si="50"/>
        <v>#VALUE!</v>
      </c>
      <c r="CV68" s="15" t="e">
        <f ca="1">IF(CU68&gt;=#REF!/100,"Yes","No")</f>
        <v>#VALUE!</v>
      </c>
    </row>
    <row r="69" spans="1:100" x14ac:dyDescent="0.25">
      <c r="A69" t="s">
        <v>149</v>
      </c>
      <c r="B69" t="s">
        <v>150</v>
      </c>
      <c r="C69">
        <v>114201012</v>
      </c>
      <c r="D69" t="str">
        <f t="shared" si="61"/>
        <v>Çakırsoy, Didem-114201012</v>
      </c>
      <c r="E69" s="22">
        <v>5</v>
      </c>
      <c r="F69" s="22">
        <v>2</v>
      </c>
      <c r="G69" s="22">
        <v>10</v>
      </c>
      <c r="H69" s="22">
        <v>6514032</v>
      </c>
      <c r="I69" s="22">
        <v>6433913</v>
      </c>
      <c r="J69" s="22">
        <v>7178983</v>
      </c>
      <c r="K69" s="22">
        <v>8188828</v>
      </c>
      <c r="L69" s="22">
        <v>100000</v>
      </c>
      <c r="M69" s="22">
        <v>108700</v>
      </c>
      <c r="N69" s="22">
        <v>117600</v>
      </c>
      <c r="O69" s="22">
        <v>126300</v>
      </c>
      <c r="P69" s="22">
        <v>126300</v>
      </c>
      <c r="Q69" s="22">
        <v>117600</v>
      </c>
      <c r="R69" s="22">
        <v>100000</v>
      </c>
      <c r="S69" s="22">
        <v>108700</v>
      </c>
      <c r="T69" s="24">
        <v>25000</v>
      </c>
      <c r="U69" s="22">
        <v>27065</v>
      </c>
      <c r="V69" s="22">
        <v>24565</v>
      </c>
      <c r="W69" s="22">
        <v>22565</v>
      </c>
      <c r="X69" s="22">
        <v>22565</v>
      </c>
      <c r="Y69" s="22">
        <v>24565</v>
      </c>
      <c r="Z69" s="22">
        <v>29065</v>
      </c>
      <c r="AA69" s="22">
        <v>27065</v>
      </c>
      <c r="AB69" s="24">
        <v>106000</v>
      </c>
      <c r="AC69" s="24">
        <v>110000</v>
      </c>
      <c r="AD69" s="24">
        <v>114000</v>
      </c>
      <c r="AE69" s="24">
        <v>115000</v>
      </c>
      <c r="AF69" s="24">
        <v>104500</v>
      </c>
      <c r="AG69" s="24">
        <v>107500</v>
      </c>
      <c r="AH69" s="24">
        <v>112000</v>
      </c>
      <c r="AI69" s="24">
        <v>112500</v>
      </c>
      <c r="AJ69" s="25">
        <v>3.9</v>
      </c>
      <c r="AK69" s="25">
        <v>8.8000000000000007</v>
      </c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8">
        <f t="shared" ref="AX69:AX100" si="62">MATCH(SMALL(P68:S68,2),P68:S68,0)</f>
        <v>4</v>
      </c>
      <c r="AY69" s="8">
        <f t="shared" ref="AY69:AY100" si="63">MATCH(SMALL(P68:S68,1),P68:S68,0)</f>
        <v>3</v>
      </c>
      <c r="AZ69" s="16" t="str">
        <f t="shared" si="16"/>
        <v>∆(4-3)</v>
      </c>
      <c r="BA69" s="17">
        <f t="shared" ref="BA69:BA100" ca="1" si="64">-OFFSET($O68,,AX69)+OFFSET($O68,,AY69)</f>
        <v>-8400</v>
      </c>
      <c r="BB69" s="17">
        <f t="shared" ref="BB69:BB100" ca="1" si="65">-OFFSET($W68,,AX69)+OFFSET($W68,,AY69)</f>
        <v>2300</v>
      </c>
      <c r="BC69" s="17">
        <f t="shared" ca="1" si="17"/>
        <v>1680</v>
      </c>
      <c r="BD69" s="17" t="e">
        <f>#REF!</f>
        <v>#REF!</v>
      </c>
      <c r="BE69" s="17">
        <f t="shared" ca="1" si="18"/>
        <v>-8400</v>
      </c>
      <c r="BF69" s="17">
        <f t="shared" ca="1" si="19"/>
        <v>2300</v>
      </c>
      <c r="BG69" s="17">
        <f t="shared" ca="1" si="20"/>
        <v>2300</v>
      </c>
      <c r="BH69" s="17">
        <f t="shared" ca="1" si="21"/>
        <v>2300</v>
      </c>
      <c r="BI69" s="17" t="e">
        <f t="shared" si="22"/>
        <v>#REF!</v>
      </c>
      <c r="BJ69" s="17" t="e">
        <f t="shared" si="23"/>
        <v>#REF!</v>
      </c>
      <c r="BK69" s="17" t="e">
        <f t="shared" si="24"/>
        <v>#REF!</v>
      </c>
      <c r="BL69" s="17" t="e">
        <f t="shared" si="25"/>
        <v>#REF!</v>
      </c>
      <c r="BM69" s="18" t="e">
        <f t="shared" ca="1" si="26"/>
        <v>#VALUE!</v>
      </c>
      <c r="BN69" s="19" t="e">
        <f ca="1">IF(BM69&gt;=#REF!/100,"Yes","No")</f>
        <v>#VALUE!</v>
      </c>
      <c r="BO69" s="20">
        <f t="shared" ref="BO69:BO100" si="66">MATCH(SMALL(P68:S68,3),P68:S68,0)</f>
        <v>1</v>
      </c>
      <c r="BP69" s="20" t="e">
        <f t="shared" ca="1" si="27"/>
        <v>#VALUE!</v>
      </c>
      <c r="BQ69" s="16" t="e">
        <f t="shared" ca="1" si="28"/>
        <v>#VALUE!</v>
      </c>
      <c r="BR69" s="17" t="e">
        <f t="shared" ref="BR69:BR100" ca="1" si="67">-OFFSET($O68,,BO69)+OFFSET($O68,,BP69)</f>
        <v>#VALUE!</v>
      </c>
      <c r="BS69" s="17" t="e">
        <f t="shared" ref="BS69:BS100" ca="1" si="68">-OFFSET($W68,,BO69)+OFFSET($W68,,BP69)</f>
        <v>#VALUE!</v>
      </c>
      <c r="BT69" s="17" t="e">
        <f t="shared" ca="1" si="29"/>
        <v>#VALUE!</v>
      </c>
      <c r="BU69" s="17" t="e">
        <f>#REF!</f>
        <v>#REF!</v>
      </c>
      <c r="BV69" s="17" t="e">
        <f t="shared" ca="1" si="30"/>
        <v>#VALUE!</v>
      </c>
      <c r="BW69" s="17" t="e">
        <f t="shared" ca="1" si="31"/>
        <v>#VALUE!</v>
      </c>
      <c r="BX69" s="17" t="e">
        <f t="shared" ca="1" si="32"/>
        <v>#VALUE!</v>
      </c>
      <c r="BY69" s="17" t="e">
        <f t="shared" ca="1" si="33"/>
        <v>#VALUE!</v>
      </c>
      <c r="BZ69" s="17" t="e">
        <f t="shared" si="34"/>
        <v>#REF!</v>
      </c>
      <c r="CA69" s="17" t="e">
        <f t="shared" si="35"/>
        <v>#REF!</v>
      </c>
      <c r="CB69" s="17" t="e">
        <f t="shared" si="36"/>
        <v>#REF!</v>
      </c>
      <c r="CC69" s="17" t="e">
        <f t="shared" si="37"/>
        <v>#REF!</v>
      </c>
      <c r="CD69" s="18" t="e">
        <f t="shared" ca="1" si="38"/>
        <v>#VALUE!</v>
      </c>
      <c r="CE69" s="19" t="e">
        <f ca="1">IF(CD69&gt;=#REF!/100,"Yes","No")</f>
        <v>#VALUE!</v>
      </c>
      <c r="CF69" s="20">
        <f t="shared" ref="CF69:CF100" si="69">MATCH(SMALL(P68:S68,4),P68:S68,0)</f>
        <v>2</v>
      </c>
      <c r="CG69" s="20" t="e">
        <f t="shared" ca="1" si="39"/>
        <v>#VALUE!</v>
      </c>
      <c r="CH69" s="16" t="e">
        <f t="shared" ca="1" si="40"/>
        <v>#VALUE!</v>
      </c>
      <c r="CI69" s="17" t="e">
        <f t="shared" ref="CI69:CI100" ca="1" si="70">-OFFSET($O68,,CF69)+OFFSET($O68,,CG69)</f>
        <v>#VALUE!</v>
      </c>
      <c r="CJ69" s="17" t="e">
        <f t="shared" ref="CJ69:CJ100" ca="1" si="71">-OFFSET($W68,,CF69)+OFFSET($W68,,CG69)</f>
        <v>#VALUE!</v>
      </c>
      <c r="CK69" s="17" t="e">
        <f t="shared" ca="1" si="41"/>
        <v>#VALUE!</v>
      </c>
      <c r="CL69" s="17" t="e">
        <f>#REF!</f>
        <v>#REF!</v>
      </c>
      <c r="CM69" s="17" t="e">
        <f t="shared" ca="1" si="42"/>
        <v>#VALUE!</v>
      </c>
      <c r="CN69" s="17" t="e">
        <f t="shared" ca="1" si="43"/>
        <v>#VALUE!</v>
      </c>
      <c r="CO69" s="17" t="e">
        <f t="shared" ca="1" si="44"/>
        <v>#VALUE!</v>
      </c>
      <c r="CP69" s="17" t="e">
        <f t="shared" ca="1" si="45"/>
        <v>#VALUE!</v>
      </c>
      <c r="CQ69" s="17" t="e">
        <f t="shared" si="46"/>
        <v>#REF!</v>
      </c>
      <c r="CR69" s="17" t="e">
        <f t="shared" si="47"/>
        <v>#REF!</v>
      </c>
      <c r="CS69" s="17" t="e">
        <f t="shared" si="48"/>
        <v>#REF!</v>
      </c>
      <c r="CT69" s="17" t="e">
        <f t="shared" si="49"/>
        <v>#REF!</v>
      </c>
      <c r="CU69" s="18" t="e">
        <f t="shared" ca="1" si="50"/>
        <v>#VALUE!</v>
      </c>
      <c r="CV69" s="19" t="e">
        <f ca="1">IF(CU69&gt;=#REF!/100,"Yes","No")</f>
        <v>#VALUE!</v>
      </c>
    </row>
    <row r="70" spans="1:100" x14ac:dyDescent="0.25">
      <c r="A70" t="s">
        <v>151</v>
      </c>
      <c r="B70" t="s">
        <v>152</v>
      </c>
      <c r="C70">
        <v>115204043</v>
      </c>
      <c r="D70" t="str">
        <f t="shared" si="61"/>
        <v>Çalışır, Eymen-115204043</v>
      </c>
      <c r="E70" s="22">
        <v>5</v>
      </c>
      <c r="F70" s="22">
        <v>2</v>
      </c>
      <c r="G70" s="22">
        <v>10</v>
      </c>
      <c r="H70" s="22">
        <v>9827595</v>
      </c>
      <c r="I70" s="22">
        <v>8079818</v>
      </c>
      <c r="J70" s="22">
        <v>6478752</v>
      </c>
      <c r="K70" s="22">
        <v>8876260</v>
      </c>
      <c r="L70" s="22">
        <v>100000</v>
      </c>
      <c r="M70" s="22">
        <v>109400</v>
      </c>
      <c r="N70" s="22">
        <v>117700</v>
      </c>
      <c r="O70" s="22">
        <v>127300</v>
      </c>
      <c r="P70" s="22">
        <v>100000</v>
      </c>
      <c r="Q70" s="22">
        <v>127300</v>
      </c>
      <c r="R70" s="22">
        <v>109400</v>
      </c>
      <c r="S70" s="22">
        <v>117700</v>
      </c>
      <c r="T70" s="24">
        <v>23000</v>
      </c>
      <c r="U70" s="22">
        <v>26766</v>
      </c>
      <c r="V70" s="22">
        <v>24266</v>
      </c>
      <c r="W70" s="22">
        <v>21866</v>
      </c>
      <c r="X70" s="22">
        <v>29066</v>
      </c>
      <c r="Y70" s="22">
        <v>21866</v>
      </c>
      <c r="Z70" s="22">
        <v>26766</v>
      </c>
      <c r="AA70" s="22">
        <v>24266</v>
      </c>
      <c r="AB70" s="24">
        <v>119000</v>
      </c>
      <c r="AC70" s="24">
        <v>117000</v>
      </c>
      <c r="AD70" s="24">
        <v>118000</v>
      </c>
      <c r="AE70" s="24">
        <v>117000</v>
      </c>
      <c r="AF70" s="24">
        <v>117500</v>
      </c>
      <c r="AG70" s="24">
        <v>115000</v>
      </c>
      <c r="AH70" s="24">
        <v>114000</v>
      </c>
      <c r="AI70" s="24">
        <v>115500</v>
      </c>
      <c r="AJ70" s="25">
        <v>4.5999999999999996</v>
      </c>
      <c r="AK70" s="25">
        <v>7.8</v>
      </c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8">
        <f t="shared" si="62"/>
        <v>4</v>
      </c>
      <c r="AY70" s="8">
        <f t="shared" si="63"/>
        <v>3</v>
      </c>
      <c r="AZ70" s="13" t="str">
        <f t="shared" ref="AZ70:AZ130" si="72">"∆("&amp;AX70&amp;"-"&amp;AY70&amp;")"</f>
        <v>∆(4-3)</v>
      </c>
      <c r="BA70" s="10">
        <f t="shared" ca="1" si="64"/>
        <v>-8700</v>
      </c>
      <c r="BB70" s="10">
        <f t="shared" ca="1" si="65"/>
        <v>2000</v>
      </c>
      <c r="BC70" s="10">
        <f t="shared" ref="BC70:BC130" ca="1" si="73">-0.2*BA70</f>
        <v>1740</v>
      </c>
      <c r="BD70" s="10" t="e">
        <f>#REF!</f>
        <v>#REF!</v>
      </c>
      <c r="BE70" s="10">
        <f t="shared" ref="BE70:BE130" ca="1" si="74">BA70</f>
        <v>-8700</v>
      </c>
      <c r="BF70" s="10">
        <f t="shared" ref="BF70:BF130" ca="1" si="75">BB70</f>
        <v>2000</v>
      </c>
      <c r="BG70" s="10">
        <f t="shared" ref="BG70:BG130" ca="1" si="76">BB70</f>
        <v>2000</v>
      </c>
      <c r="BH70" s="10">
        <f t="shared" ref="BH70:BH130" ca="1" si="77">BB70</f>
        <v>2000</v>
      </c>
      <c r="BI70" s="10" t="e">
        <f t="shared" ref="BI70:BI130" si="78">IF(BD70=4,BC70+BB70,BB70)</f>
        <v>#REF!</v>
      </c>
      <c r="BJ70" s="10" t="e">
        <f t="shared" ref="BJ70:BJ130" si="79">IF(BD70&lt;5,"",IF(BD70=5,BB70+BC70,BB70))</f>
        <v>#REF!</v>
      </c>
      <c r="BK70" s="10" t="e">
        <f t="shared" ref="BK70:BK130" si="80">IF(BD70&lt;6,"",IF(BD70=6,BB70+BC70,BB70))</f>
        <v>#REF!</v>
      </c>
      <c r="BL70" s="10" t="e">
        <f t="shared" ref="BL70:BL130" si="81">IF(BD70&lt;7,"",BB70+BC70)</f>
        <v>#REF!</v>
      </c>
      <c r="BM70" s="14" t="e">
        <f t="shared" ref="BM70:BM130" ca="1" si="82">IRR(BE70:BL70)</f>
        <v>#VALUE!</v>
      </c>
      <c r="BN70" s="15" t="e">
        <f ca="1">IF(BM70&gt;=#REF!/100,"Yes","No")</f>
        <v>#VALUE!</v>
      </c>
      <c r="BO70" s="6">
        <f t="shared" si="66"/>
        <v>2</v>
      </c>
      <c r="BP70" s="6" t="e">
        <f t="shared" ref="BP70:BP130" ca="1" si="83">IF(BN70="Yes",AX70,AY70)</f>
        <v>#VALUE!</v>
      </c>
      <c r="BQ70" s="13" t="e">
        <f t="shared" ref="BQ70:BQ130" ca="1" si="84">"∆("&amp;BO70&amp;"-"&amp;BP70&amp;")"</f>
        <v>#VALUE!</v>
      </c>
      <c r="BR70" s="10" t="e">
        <f t="shared" ca="1" si="67"/>
        <v>#VALUE!</v>
      </c>
      <c r="BS70" s="10" t="e">
        <f t="shared" ca="1" si="68"/>
        <v>#VALUE!</v>
      </c>
      <c r="BT70" s="10" t="e">
        <f t="shared" ref="BT70:BT130" ca="1" si="85">-0.2*BR70</f>
        <v>#VALUE!</v>
      </c>
      <c r="BU70" s="10" t="e">
        <f>#REF!</f>
        <v>#REF!</v>
      </c>
      <c r="BV70" s="10" t="e">
        <f t="shared" ref="BV70:BV130" ca="1" si="86">BR70</f>
        <v>#VALUE!</v>
      </c>
      <c r="BW70" s="10" t="e">
        <f t="shared" ref="BW70:BW130" ca="1" si="87">BS70</f>
        <v>#VALUE!</v>
      </c>
      <c r="BX70" s="10" t="e">
        <f t="shared" ref="BX70:BX130" ca="1" si="88">BS70</f>
        <v>#VALUE!</v>
      </c>
      <c r="BY70" s="10" t="e">
        <f t="shared" ref="BY70:BY130" ca="1" si="89">BS70</f>
        <v>#VALUE!</v>
      </c>
      <c r="BZ70" s="10" t="e">
        <f t="shared" ref="BZ70:BZ130" si="90">IF(BU70=4,BT70+BS70,BS70)</f>
        <v>#REF!</v>
      </c>
      <c r="CA70" s="10" t="e">
        <f t="shared" ref="CA70:CA130" si="91">IF(BU70&lt;5,"",IF(BU70=5,BS70+BT70,BS70))</f>
        <v>#REF!</v>
      </c>
      <c r="CB70" s="10" t="e">
        <f t="shared" ref="CB70:CB130" si="92">IF(BU70&lt;6,"",IF(BU70=6,BS70+BT70,BS70))</f>
        <v>#REF!</v>
      </c>
      <c r="CC70" s="10" t="e">
        <f t="shared" ref="CC70:CC130" si="93">IF(BU70&lt;7,"",BS70+BT70)</f>
        <v>#REF!</v>
      </c>
      <c r="CD70" s="14" t="e">
        <f t="shared" ref="CD70:CD130" ca="1" si="94">IRR(BV70:CC70)</f>
        <v>#VALUE!</v>
      </c>
      <c r="CE70" s="15" t="e">
        <f ca="1">IF(CD70&gt;=#REF!/100,"Yes","No")</f>
        <v>#VALUE!</v>
      </c>
      <c r="CF70" s="6">
        <f t="shared" si="69"/>
        <v>1</v>
      </c>
      <c r="CG70" s="6" t="e">
        <f t="shared" ref="CG70:CG130" ca="1" si="95">IF(CE70="Yes",BO70,BP70)</f>
        <v>#VALUE!</v>
      </c>
      <c r="CH70" s="13" t="e">
        <f t="shared" ref="CH70:CH130" ca="1" si="96">"∆("&amp;CF70&amp;"-"&amp;CG70&amp;")"</f>
        <v>#VALUE!</v>
      </c>
      <c r="CI70" s="10" t="e">
        <f t="shared" ca="1" si="70"/>
        <v>#VALUE!</v>
      </c>
      <c r="CJ70" s="10" t="e">
        <f t="shared" ca="1" si="71"/>
        <v>#VALUE!</v>
      </c>
      <c r="CK70" s="10" t="e">
        <f t="shared" ref="CK70:CK130" ca="1" si="97">-0.2*CI70</f>
        <v>#VALUE!</v>
      </c>
      <c r="CL70" s="10" t="e">
        <f>#REF!</f>
        <v>#REF!</v>
      </c>
      <c r="CM70" s="10" t="e">
        <f t="shared" ref="CM70:CM130" ca="1" si="98">CI70</f>
        <v>#VALUE!</v>
      </c>
      <c r="CN70" s="10" t="e">
        <f t="shared" ref="CN70:CN130" ca="1" si="99">CJ70</f>
        <v>#VALUE!</v>
      </c>
      <c r="CO70" s="10" t="e">
        <f t="shared" ref="CO70:CO130" ca="1" si="100">CJ70</f>
        <v>#VALUE!</v>
      </c>
      <c r="CP70" s="10" t="e">
        <f t="shared" ref="CP70:CP130" ca="1" si="101">CJ70</f>
        <v>#VALUE!</v>
      </c>
      <c r="CQ70" s="10" t="e">
        <f t="shared" ref="CQ70:CQ130" si="102">IF(CL70=4,CK70+CJ70,CJ70)</f>
        <v>#REF!</v>
      </c>
      <c r="CR70" s="10" t="e">
        <f t="shared" ref="CR70:CR130" si="103">IF(CL70&lt;5,"",IF(CL70=5,CJ70+CK70,CJ70))</f>
        <v>#REF!</v>
      </c>
      <c r="CS70" s="10" t="e">
        <f t="shared" ref="CS70:CS130" si="104">IF(CL70&lt;6,"",IF(CL70=6,CJ70+CK70,CJ70))</f>
        <v>#REF!</v>
      </c>
      <c r="CT70" s="10" t="e">
        <f t="shared" ref="CT70:CT130" si="105">IF(CL70&lt;7,"",CJ70+CK70)</f>
        <v>#REF!</v>
      </c>
      <c r="CU70" s="14" t="e">
        <f t="shared" ref="CU70:CU130" ca="1" si="106">IRR(CM70:CT70)</f>
        <v>#VALUE!</v>
      </c>
      <c r="CV70" s="15" t="e">
        <f ca="1">IF(CU70&gt;=#REF!/100,"Yes","No")</f>
        <v>#VALUE!</v>
      </c>
    </row>
    <row r="71" spans="1:100" x14ac:dyDescent="0.25">
      <c r="A71" t="s">
        <v>153</v>
      </c>
      <c r="B71" t="s">
        <v>154</v>
      </c>
      <c r="C71">
        <v>115203078</v>
      </c>
      <c r="D71" t="str">
        <f t="shared" si="61"/>
        <v>Çalışkan, Damla-115203078</v>
      </c>
      <c r="E71" s="22">
        <v>4</v>
      </c>
      <c r="F71" s="22">
        <v>2</v>
      </c>
      <c r="G71" s="22">
        <v>10</v>
      </c>
      <c r="H71" s="22">
        <v>8172929</v>
      </c>
      <c r="I71" s="22">
        <v>8622027</v>
      </c>
      <c r="J71" s="22">
        <v>8808356</v>
      </c>
      <c r="K71" s="22">
        <v>3218114</v>
      </c>
      <c r="L71" s="22">
        <v>100000</v>
      </c>
      <c r="M71" s="22">
        <v>109200</v>
      </c>
      <c r="N71" s="22">
        <v>117900</v>
      </c>
      <c r="O71" s="22">
        <v>126200</v>
      </c>
      <c r="P71" s="22">
        <v>117900</v>
      </c>
      <c r="Q71" s="22">
        <v>109200</v>
      </c>
      <c r="R71" s="22">
        <v>100000</v>
      </c>
      <c r="S71" s="22">
        <v>126200</v>
      </c>
      <c r="T71" s="24">
        <v>28000</v>
      </c>
      <c r="U71" s="22">
        <v>26767</v>
      </c>
      <c r="V71" s="22">
        <v>24667</v>
      </c>
      <c r="W71" s="22">
        <v>22367</v>
      </c>
      <c r="X71" s="22">
        <v>24667</v>
      </c>
      <c r="Y71" s="22">
        <v>26767</v>
      </c>
      <c r="Z71" s="22">
        <v>29067</v>
      </c>
      <c r="AA71" s="22">
        <v>22367</v>
      </c>
      <c r="AB71" s="24">
        <v>109000</v>
      </c>
      <c r="AC71" s="24">
        <v>107000</v>
      </c>
      <c r="AD71" s="24">
        <v>109000</v>
      </c>
      <c r="AE71" s="24">
        <v>106000</v>
      </c>
      <c r="AF71" s="24">
        <v>107000</v>
      </c>
      <c r="AG71" s="24">
        <v>105000</v>
      </c>
      <c r="AH71" s="24">
        <v>107000</v>
      </c>
      <c r="AI71" s="24">
        <v>103500</v>
      </c>
      <c r="AJ71" s="25">
        <v>4.2</v>
      </c>
      <c r="AK71" s="25">
        <v>6.7</v>
      </c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8">
        <f t="shared" si="62"/>
        <v>3</v>
      </c>
      <c r="AY71" s="8">
        <f t="shared" si="63"/>
        <v>1</v>
      </c>
      <c r="AZ71" s="16" t="str">
        <f t="shared" si="72"/>
        <v>∆(3-1)</v>
      </c>
      <c r="BA71" s="17">
        <f t="shared" ca="1" si="64"/>
        <v>-9400</v>
      </c>
      <c r="BB71" s="17">
        <f t="shared" ca="1" si="65"/>
        <v>2300</v>
      </c>
      <c r="BC71" s="17">
        <f t="shared" ca="1" si="73"/>
        <v>1880</v>
      </c>
      <c r="BD71" s="17" t="e">
        <f>#REF!</f>
        <v>#REF!</v>
      </c>
      <c r="BE71" s="17">
        <f t="shared" ca="1" si="74"/>
        <v>-9400</v>
      </c>
      <c r="BF71" s="17">
        <f t="shared" ca="1" si="75"/>
        <v>2300</v>
      </c>
      <c r="BG71" s="17">
        <f t="shared" ca="1" si="76"/>
        <v>2300</v>
      </c>
      <c r="BH71" s="17">
        <f t="shared" ca="1" si="77"/>
        <v>2300</v>
      </c>
      <c r="BI71" s="17" t="e">
        <f t="shared" si="78"/>
        <v>#REF!</v>
      </c>
      <c r="BJ71" s="17" t="e">
        <f t="shared" si="79"/>
        <v>#REF!</v>
      </c>
      <c r="BK71" s="17" t="e">
        <f t="shared" si="80"/>
        <v>#REF!</v>
      </c>
      <c r="BL71" s="17" t="e">
        <f t="shared" si="81"/>
        <v>#REF!</v>
      </c>
      <c r="BM71" s="18" t="e">
        <f t="shared" ca="1" si="82"/>
        <v>#VALUE!</v>
      </c>
      <c r="BN71" s="19" t="e">
        <f ca="1">IF(BM71&gt;=#REF!/100,"Yes","No")</f>
        <v>#VALUE!</v>
      </c>
      <c r="BO71" s="20">
        <f t="shared" si="66"/>
        <v>4</v>
      </c>
      <c r="BP71" s="20" t="e">
        <f t="shared" ca="1" si="83"/>
        <v>#VALUE!</v>
      </c>
      <c r="BQ71" s="16" t="e">
        <f t="shared" ca="1" si="84"/>
        <v>#VALUE!</v>
      </c>
      <c r="BR71" s="17" t="e">
        <f t="shared" ca="1" si="67"/>
        <v>#VALUE!</v>
      </c>
      <c r="BS71" s="17" t="e">
        <f t="shared" ca="1" si="68"/>
        <v>#VALUE!</v>
      </c>
      <c r="BT71" s="17" t="e">
        <f t="shared" ca="1" si="85"/>
        <v>#VALUE!</v>
      </c>
      <c r="BU71" s="17" t="e">
        <f>#REF!</f>
        <v>#REF!</v>
      </c>
      <c r="BV71" s="17" t="e">
        <f t="shared" ca="1" si="86"/>
        <v>#VALUE!</v>
      </c>
      <c r="BW71" s="17" t="e">
        <f t="shared" ca="1" si="87"/>
        <v>#VALUE!</v>
      </c>
      <c r="BX71" s="17" t="e">
        <f t="shared" ca="1" si="88"/>
        <v>#VALUE!</v>
      </c>
      <c r="BY71" s="17" t="e">
        <f t="shared" ca="1" si="89"/>
        <v>#VALUE!</v>
      </c>
      <c r="BZ71" s="17" t="e">
        <f t="shared" si="90"/>
        <v>#REF!</v>
      </c>
      <c r="CA71" s="17" t="e">
        <f t="shared" si="91"/>
        <v>#REF!</v>
      </c>
      <c r="CB71" s="17" t="e">
        <f t="shared" si="92"/>
        <v>#REF!</v>
      </c>
      <c r="CC71" s="17" t="e">
        <f t="shared" si="93"/>
        <v>#REF!</v>
      </c>
      <c r="CD71" s="18" t="e">
        <f t="shared" ca="1" si="94"/>
        <v>#VALUE!</v>
      </c>
      <c r="CE71" s="19" t="e">
        <f ca="1">IF(CD71&gt;=#REF!/100,"Yes","No")</f>
        <v>#VALUE!</v>
      </c>
      <c r="CF71" s="20">
        <f t="shared" si="69"/>
        <v>2</v>
      </c>
      <c r="CG71" s="20" t="e">
        <f t="shared" ca="1" si="95"/>
        <v>#VALUE!</v>
      </c>
      <c r="CH71" s="16" t="e">
        <f t="shared" ca="1" si="96"/>
        <v>#VALUE!</v>
      </c>
      <c r="CI71" s="17" t="e">
        <f t="shared" ca="1" si="70"/>
        <v>#VALUE!</v>
      </c>
      <c r="CJ71" s="17" t="e">
        <f t="shared" ca="1" si="71"/>
        <v>#VALUE!</v>
      </c>
      <c r="CK71" s="17" t="e">
        <f t="shared" ca="1" si="97"/>
        <v>#VALUE!</v>
      </c>
      <c r="CL71" s="17" t="e">
        <f>#REF!</f>
        <v>#REF!</v>
      </c>
      <c r="CM71" s="17" t="e">
        <f t="shared" ca="1" si="98"/>
        <v>#VALUE!</v>
      </c>
      <c r="CN71" s="17" t="e">
        <f t="shared" ca="1" si="99"/>
        <v>#VALUE!</v>
      </c>
      <c r="CO71" s="17" t="e">
        <f t="shared" ca="1" si="100"/>
        <v>#VALUE!</v>
      </c>
      <c r="CP71" s="17" t="e">
        <f t="shared" ca="1" si="101"/>
        <v>#VALUE!</v>
      </c>
      <c r="CQ71" s="17" t="e">
        <f t="shared" si="102"/>
        <v>#REF!</v>
      </c>
      <c r="CR71" s="17" t="e">
        <f t="shared" si="103"/>
        <v>#REF!</v>
      </c>
      <c r="CS71" s="17" t="e">
        <f t="shared" si="104"/>
        <v>#REF!</v>
      </c>
      <c r="CT71" s="17" t="e">
        <f t="shared" si="105"/>
        <v>#REF!</v>
      </c>
      <c r="CU71" s="18" t="e">
        <f t="shared" ca="1" si="106"/>
        <v>#VALUE!</v>
      </c>
      <c r="CV71" s="19" t="e">
        <f ca="1">IF(CU71&gt;=#REF!/100,"Yes","No")</f>
        <v>#VALUE!</v>
      </c>
    </row>
    <row r="72" spans="1:100" x14ac:dyDescent="0.25">
      <c r="A72" t="s">
        <v>155</v>
      </c>
      <c r="B72" t="s">
        <v>156</v>
      </c>
      <c r="C72">
        <v>116203028</v>
      </c>
      <c r="D72" t="str">
        <f t="shared" si="61"/>
        <v>Çamlıbel, Berke-116203028</v>
      </c>
      <c r="E72" s="22">
        <v>5</v>
      </c>
      <c r="F72" s="22">
        <v>3</v>
      </c>
      <c r="G72" s="22">
        <v>15</v>
      </c>
      <c r="H72" s="22">
        <v>3503787</v>
      </c>
      <c r="I72" s="22">
        <v>6098666</v>
      </c>
      <c r="J72" s="22">
        <v>4854840</v>
      </c>
      <c r="K72" s="22">
        <v>6410828</v>
      </c>
      <c r="L72" s="22">
        <v>100000</v>
      </c>
      <c r="M72" s="22">
        <v>110000</v>
      </c>
      <c r="N72" s="22">
        <v>119400</v>
      </c>
      <c r="O72" s="22">
        <v>128900</v>
      </c>
      <c r="P72" s="22">
        <v>128900</v>
      </c>
      <c r="Q72" s="22">
        <v>110000</v>
      </c>
      <c r="R72" s="22">
        <v>119400</v>
      </c>
      <c r="S72" s="22">
        <v>100000</v>
      </c>
      <c r="T72" s="24">
        <v>26000</v>
      </c>
      <c r="U72" s="22">
        <v>26668</v>
      </c>
      <c r="V72" s="22">
        <v>24468</v>
      </c>
      <c r="W72" s="22">
        <v>22268</v>
      </c>
      <c r="X72" s="22">
        <v>22268</v>
      </c>
      <c r="Y72" s="22">
        <v>26668</v>
      </c>
      <c r="Z72" s="22">
        <v>24468</v>
      </c>
      <c r="AA72" s="22">
        <v>29068</v>
      </c>
      <c r="AB72" s="24">
        <v>100000</v>
      </c>
      <c r="AC72" s="24">
        <v>100000</v>
      </c>
      <c r="AD72" s="24">
        <v>103000</v>
      </c>
      <c r="AE72" s="24">
        <v>105000</v>
      </c>
      <c r="AF72" s="24">
        <v>96500</v>
      </c>
      <c r="AG72" s="24">
        <v>98000</v>
      </c>
      <c r="AH72" s="24">
        <v>101000</v>
      </c>
      <c r="AI72" s="24">
        <v>101500</v>
      </c>
      <c r="AJ72" s="25">
        <v>4.5999999999999996</v>
      </c>
      <c r="AK72" s="25">
        <v>6.8</v>
      </c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8">
        <f t="shared" si="62"/>
        <v>2</v>
      </c>
      <c r="AY72" s="8">
        <f t="shared" si="63"/>
        <v>3</v>
      </c>
      <c r="AZ72" s="13" t="str">
        <f t="shared" si="72"/>
        <v>∆(2-3)</v>
      </c>
      <c r="BA72" s="10">
        <f t="shared" ca="1" si="64"/>
        <v>-9200</v>
      </c>
      <c r="BB72" s="10">
        <f t="shared" ca="1" si="65"/>
        <v>2300</v>
      </c>
      <c r="BC72" s="10">
        <f t="shared" ca="1" si="73"/>
        <v>1840</v>
      </c>
      <c r="BD72" s="10" t="e">
        <f>#REF!</f>
        <v>#REF!</v>
      </c>
      <c r="BE72" s="10">
        <f t="shared" ca="1" si="74"/>
        <v>-9200</v>
      </c>
      <c r="BF72" s="10">
        <f t="shared" ca="1" si="75"/>
        <v>2300</v>
      </c>
      <c r="BG72" s="10">
        <f t="shared" ca="1" si="76"/>
        <v>2300</v>
      </c>
      <c r="BH72" s="10">
        <f t="shared" ca="1" si="77"/>
        <v>2300</v>
      </c>
      <c r="BI72" s="10" t="e">
        <f t="shared" si="78"/>
        <v>#REF!</v>
      </c>
      <c r="BJ72" s="10" t="e">
        <f t="shared" si="79"/>
        <v>#REF!</v>
      </c>
      <c r="BK72" s="10" t="e">
        <f t="shared" si="80"/>
        <v>#REF!</v>
      </c>
      <c r="BL72" s="10" t="e">
        <f t="shared" si="81"/>
        <v>#REF!</v>
      </c>
      <c r="BM72" s="14" t="e">
        <f t="shared" ca="1" si="82"/>
        <v>#VALUE!</v>
      </c>
      <c r="BN72" s="15" t="e">
        <f ca="1">IF(BM72&gt;=#REF!/100,"Yes","No")</f>
        <v>#VALUE!</v>
      </c>
      <c r="BO72" s="6">
        <f t="shared" si="66"/>
        <v>1</v>
      </c>
      <c r="BP72" s="6" t="e">
        <f t="shared" ca="1" si="83"/>
        <v>#VALUE!</v>
      </c>
      <c r="BQ72" s="13" t="e">
        <f t="shared" ca="1" si="84"/>
        <v>#VALUE!</v>
      </c>
      <c r="BR72" s="10" t="e">
        <f t="shared" ca="1" si="67"/>
        <v>#VALUE!</v>
      </c>
      <c r="BS72" s="10" t="e">
        <f t="shared" ca="1" si="68"/>
        <v>#VALUE!</v>
      </c>
      <c r="BT72" s="10" t="e">
        <f t="shared" ca="1" si="85"/>
        <v>#VALUE!</v>
      </c>
      <c r="BU72" s="10" t="e">
        <f>#REF!</f>
        <v>#REF!</v>
      </c>
      <c r="BV72" s="10" t="e">
        <f t="shared" ca="1" si="86"/>
        <v>#VALUE!</v>
      </c>
      <c r="BW72" s="10" t="e">
        <f t="shared" ca="1" si="87"/>
        <v>#VALUE!</v>
      </c>
      <c r="BX72" s="10" t="e">
        <f t="shared" ca="1" si="88"/>
        <v>#VALUE!</v>
      </c>
      <c r="BY72" s="10" t="e">
        <f t="shared" ca="1" si="89"/>
        <v>#VALUE!</v>
      </c>
      <c r="BZ72" s="10" t="e">
        <f t="shared" si="90"/>
        <v>#REF!</v>
      </c>
      <c r="CA72" s="10" t="e">
        <f t="shared" si="91"/>
        <v>#REF!</v>
      </c>
      <c r="CB72" s="10" t="e">
        <f t="shared" si="92"/>
        <v>#REF!</v>
      </c>
      <c r="CC72" s="10" t="e">
        <f t="shared" si="93"/>
        <v>#REF!</v>
      </c>
      <c r="CD72" s="14" t="e">
        <f t="shared" ca="1" si="94"/>
        <v>#VALUE!</v>
      </c>
      <c r="CE72" s="15" t="e">
        <f ca="1">IF(CD72&gt;=#REF!/100,"Yes","No")</f>
        <v>#VALUE!</v>
      </c>
      <c r="CF72" s="6">
        <f t="shared" si="69"/>
        <v>4</v>
      </c>
      <c r="CG72" s="6" t="e">
        <f t="shared" ca="1" si="95"/>
        <v>#VALUE!</v>
      </c>
      <c r="CH72" s="13" t="e">
        <f t="shared" ca="1" si="96"/>
        <v>#VALUE!</v>
      </c>
      <c r="CI72" s="10" t="e">
        <f t="shared" ca="1" si="70"/>
        <v>#VALUE!</v>
      </c>
      <c r="CJ72" s="10" t="e">
        <f t="shared" ca="1" si="71"/>
        <v>#VALUE!</v>
      </c>
      <c r="CK72" s="10" t="e">
        <f t="shared" ca="1" si="97"/>
        <v>#VALUE!</v>
      </c>
      <c r="CL72" s="10" t="e">
        <f>#REF!</f>
        <v>#REF!</v>
      </c>
      <c r="CM72" s="10" t="e">
        <f t="shared" ca="1" si="98"/>
        <v>#VALUE!</v>
      </c>
      <c r="CN72" s="10" t="e">
        <f t="shared" ca="1" si="99"/>
        <v>#VALUE!</v>
      </c>
      <c r="CO72" s="10" t="e">
        <f t="shared" ca="1" si="100"/>
        <v>#VALUE!</v>
      </c>
      <c r="CP72" s="10" t="e">
        <f t="shared" ca="1" si="101"/>
        <v>#VALUE!</v>
      </c>
      <c r="CQ72" s="10" t="e">
        <f t="shared" si="102"/>
        <v>#REF!</v>
      </c>
      <c r="CR72" s="10" t="e">
        <f t="shared" si="103"/>
        <v>#REF!</v>
      </c>
      <c r="CS72" s="10" t="e">
        <f t="shared" si="104"/>
        <v>#REF!</v>
      </c>
      <c r="CT72" s="10" t="e">
        <f t="shared" si="105"/>
        <v>#REF!</v>
      </c>
      <c r="CU72" s="14" t="e">
        <f t="shared" ca="1" si="106"/>
        <v>#VALUE!</v>
      </c>
      <c r="CV72" s="15" t="e">
        <f ca="1">IF(CU72&gt;=#REF!/100,"Yes","No")</f>
        <v>#VALUE!</v>
      </c>
    </row>
    <row r="73" spans="1:100" x14ac:dyDescent="0.25">
      <c r="A73" t="s">
        <v>157</v>
      </c>
      <c r="B73" t="s">
        <v>158</v>
      </c>
      <c r="C73">
        <v>113201023</v>
      </c>
      <c r="D73" t="str">
        <f t="shared" si="61"/>
        <v>Çatana, Banu Zeynep-113201023</v>
      </c>
      <c r="E73" s="22">
        <v>7</v>
      </c>
      <c r="F73" s="22">
        <v>2</v>
      </c>
      <c r="G73" s="22">
        <v>10</v>
      </c>
      <c r="H73" s="22">
        <v>5377756</v>
      </c>
      <c r="I73" s="22">
        <v>2272532</v>
      </c>
      <c r="J73" s="22">
        <v>4030924</v>
      </c>
      <c r="K73" s="22">
        <v>7803742</v>
      </c>
      <c r="L73" s="22">
        <v>100000</v>
      </c>
      <c r="M73" s="22">
        <v>108200</v>
      </c>
      <c r="N73" s="22">
        <v>118200</v>
      </c>
      <c r="O73" s="22">
        <v>127600</v>
      </c>
      <c r="P73" s="22">
        <v>127600</v>
      </c>
      <c r="Q73" s="22">
        <v>100000</v>
      </c>
      <c r="R73" s="22">
        <v>118200</v>
      </c>
      <c r="S73" s="22">
        <v>108200</v>
      </c>
      <c r="T73" s="24">
        <v>23000</v>
      </c>
      <c r="U73" s="22">
        <v>26669</v>
      </c>
      <c r="V73" s="22">
        <v>24169</v>
      </c>
      <c r="W73" s="22">
        <v>21869</v>
      </c>
      <c r="X73" s="22">
        <v>21869</v>
      </c>
      <c r="Y73" s="22">
        <v>29069</v>
      </c>
      <c r="Z73" s="22">
        <v>24169</v>
      </c>
      <c r="AA73" s="22">
        <v>26669</v>
      </c>
      <c r="AB73" s="24">
        <v>102000</v>
      </c>
      <c r="AC73" s="24">
        <v>99000</v>
      </c>
      <c r="AD73" s="24">
        <v>99000</v>
      </c>
      <c r="AE73" s="24">
        <v>101000</v>
      </c>
      <c r="AF73" s="24">
        <v>99500</v>
      </c>
      <c r="AG73" s="24">
        <v>97000</v>
      </c>
      <c r="AH73" s="24">
        <v>96500</v>
      </c>
      <c r="AI73" s="24">
        <v>97500</v>
      </c>
      <c r="AJ73" s="25">
        <v>2.8</v>
      </c>
      <c r="AK73" s="25">
        <v>8.1999999999999993</v>
      </c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8">
        <f t="shared" si="62"/>
        <v>2</v>
      </c>
      <c r="AY73" s="8">
        <f t="shared" si="63"/>
        <v>4</v>
      </c>
      <c r="AZ73" s="16" t="str">
        <f t="shared" si="72"/>
        <v>∆(2-4)</v>
      </c>
      <c r="BA73" s="17">
        <f t="shared" ca="1" si="64"/>
        <v>-10000</v>
      </c>
      <c r="BB73" s="17">
        <f t="shared" ca="1" si="65"/>
        <v>2400</v>
      </c>
      <c r="BC73" s="17">
        <f t="shared" ca="1" si="73"/>
        <v>2000</v>
      </c>
      <c r="BD73" s="17" t="e">
        <f>#REF!</f>
        <v>#REF!</v>
      </c>
      <c r="BE73" s="17">
        <f t="shared" ca="1" si="74"/>
        <v>-10000</v>
      </c>
      <c r="BF73" s="17">
        <f t="shared" ca="1" si="75"/>
        <v>2400</v>
      </c>
      <c r="BG73" s="17">
        <f t="shared" ca="1" si="76"/>
        <v>2400</v>
      </c>
      <c r="BH73" s="17">
        <f t="shared" ca="1" si="77"/>
        <v>2400</v>
      </c>
      <c r="BI73" s="17" t="e">
        <f t="shared" si="78"/>
        <v>#REF!</v>
      </c>
      <c r="BJ73" s="17" t="e">
        <f t="shared" si="79"/>
        <v>#REF!</v>
      </c>
      <c r="BK73" s="17" t="e">
        <f t="shared" si="80"/>
        <v>#REF!</v>
      </c>
      <c r="BL73" s="17" t="e">
        <f t="shared" si="81"/>
        <v>#REF!</v>
      </c>
      <c r="BM73" s="18" t="e">
        <f t="shared" ca="1" si="82"/>
        <v>#VALUE!</v>
      </c>
      <c r="BN73" s="19" t="e">
        <f ca="1">IF(BM73&gt;=#REF!/100,"Yes","No")</f>
        <v>#VALUE!</v>
      </c>
      <c r="BO73" s="20">
        <f t="shared" si="66"/>
        <v>3</v>
      </c>
      <c r="BP73" s="20" t="e">
        <f t="shared" ca="1" si="83"/>
        <v>#VALUE!</v>
      </c>
      <c r="BQ73" s="16" t="e">
        <f t="shared" ca="1" si="84"/>
        <v>#VALUE!</v>
      </c>
      <c r="BR73" s="17" t="e">
        <f t="shared" ca="1" si="67"/>
        <v>#VALUE!</v>
      </c>
      <c r="BS73" s="17" t="e">
        <f t="shared" ca="1" si="68"/>
        <v>#VALUE!</v>
      </c>
      <c r="BT73" s="17" t="e">
        <f t="shared" ca="1" si="85"/>
        <v>#VALUE!</v>
      </c>
      <c r="BU73" s="17" t="e">
        <f>#REF!</f>
        <v>#REF!</v>
      </c>
      <c r="BV73" s="17" t="e">
        <f t="shared" ca="1" si="86"/>
        <v>#VALUE!</v>
      </c>
      <c r="BW73" s="17" t="e">
        <f t="shared" ca="1" si="87"/>
        <v>#VALUE!</v>
      </c>
      <c r="BX73" s="17" t="e">
        <f t="shared" ca="1" si="88"/>
        <v>#VALUE!</v>
      </c>
      <c r="BY73" s="17" t="e">
        <f t="shared" ca="1" si="89"/>
        <v>#VALUE!</v>
      </c>
      <c r="BZ73" s="17" t="e">
        <f t="shared" si="90"/>
        <v>#REF!</v>
      </c>
      <c r="CA73" s="17" t="e">
        <f t="shared" si="91"/>
        <v>#REF!</v>
      </c>
      <c r="CB73" s="17" t="e">
        <f t="shared" si="92"/>
        <v>#REF!</v>
      </c>
      <c r="CC73" s="17" t="e">
        <f t="shared" si="93"/>
        <v>#REF!</v>
      </c>
      <c r="CD73" s="18" t="e">
        <f t="shared" ca="1" si="94"/>
        <v>#VALUE!</v>
      </c>
      <c r="CE73" s="19" t="e">
        <f ca="1">IF(CD73&gt;=#REF!/100,"Yes","No")</f>
        <v>#VALUE!</v>
      </c>
      <c r="CF73" s="20">
        <f t="shared" si="69"/>
        <v>1</v>
      </c>
      <c r="CG73" s="20" t="e">
        <f t="shared" ca="1" si="95"/>
        <v>#VALUE!</v>
      </c>
      <c r="CH73" s="16" t="e">
        <f t="shared" ca="1" si="96"/>
        <v>#VALUE!</v>
      </c>
      <c r="CI73" s="17" t="e">
        <f t="shared" ca="1" si="70"/>
        <v>#VALUE!</v>
      </c>
      <c r="CJ73" s="17" t="e">
        <f t="shared" ca="1" si="71"/>
        <v>#VALUE!</v>
      </c>
      <c r="CK73" s="17" t="e">
        <f t="shared" ca="1" si="97"/>
        <v>#VALUE!</v>
      </c>
      <c r="CL73" s="17" t="e">
        <f>#REF!</f>
        <v>#REF!</v>
      </c>
      <c r="CM73" s="17" t="e">
        <f t="shared" ca="1" si="98"/>
        <v>#VALUE!</v>
      </c>
      <c r="CN73" s="17" t="e">
        <f t="shared" ca="1" si="99"/>
        <v>#VALUE!</v>
      </c>
      <c r="CO73" s="17" t="e">
        <f t="shared" ca="1" si="100"/>
        <v>#VALUE!</v>
      </c>
      <c r="CP73" s="17" t="e">
        <f t="shared" ca="1" si="101"/>
        <v>#VALUE!</v>
      </c>
      <c r="CQ73" s="17" t="e">
        <f t="shared" si="102"/>
        <v>#REF!</v>
      </c>
      <c r="CR73" s="17" t="e">
        <f t="shared" si="103"/>
        <v>#REF!</v>
      </c>
      <c r="CS73" s="17" t="e">
        <f t="shared" si="104"/>
        <v>#REF!</v>
      </c>
      <c r="CT73" s="17" t="e">
        <f t="shared" si="105"/>
        <v>#REF!</v>
      </c>
      <c r="CU73" s="18" t="e">
        <f t="shared" ca="1" si="106"/>
        <v>#VALUE!</v>
      </c>
      <c r="CV73" s="19" t="e">
        <f ca="1">IF(CU73&gt;=#REF!/100,"Yes","No")</f>
        <v>#VALUE!</v>
      </c>
    </row>
    <row r="74" spans="1:100" x14ac:dyDescent="0.25">
      <c r="A74" t="s">
        <v>159</v>
      </c>
      <c r="B74" t="s">
        <v>160</v>
      </c>
      <c r="C74">
        <v>115204013</v>
      </c>
      <c r="D74" t="str">
        <f t="shared" si="61"/>
        <v>Çelebi, Jülide Müşerref-115204013</v>
      </c>
      <c r="E74" s="22">
        <v>7</v>
      </c>
      <c r="F74" s="22">
        <v>2</v>
      </c>
      <c r="G74" s="22">
        <v>10</v>
      </c>
      <c r="H74" s="22">
        <v>8994948</v>
      </c>
      <c r="I74" s="22">
        <v>9531767</v>
      </c>
      <c r="J74" s="22">
        <v>3113296</v>
      </c>
      <c r="K74" s="22">
        <v>5153664</v>
      </c>
      <c r="L74" s="22">
        <v>100000</v>
      </c>
      <c r="M74" s="22">
        <v>108900</v>
      </c>
      <c r="N74" s="22">
        <v>118000</v>
      </c>
      <c r="O74" s="22">
        <v>128000</v>
      </c>
      <c r="P74" s="22">
        <v>108900</v>
      </c>
      <c r="Q74" s="22">
        <v>100000</v>
      </c>
      <c r="R74" s="22">
        <v>128000</v>
      </c>
      <c r="S74" s="22">
        <v>118000</v>
      </c>
      <c r="T74" s="24">
        <v>26000</v>
      </c>
      <c r="U74" s="22">
        <v>26770</v>
      </c>
      <c r="V74" s="22">
        <v>24670</v>
      </c>
      <c r="W74" s="22">
        <v>22570</v>
      </c>
      <c r="X74" s="22">
        <v>26770</v>
      </c>
      <c r="Y74" s="22">
        <v>29070</v>
      </c>
      <c r="Z74" s="22">
        <v>22570</v>
      </c>
      <c r="AA74" s="22">
        <v>24670</v>
      </c>
      <c r="AB74" s="24">
        <v>97000</v>
      </c>
      <c r="AC74" s="24">
        <v>100000</v>
      </c>
      <c r="AD74" s="24">
        <v>104000</v>
      </c>
      <c r="AE74" s="24">
        <v>102000</v>
      </c>
      <c r="AF74" s="24">
        <v>94000</v>
      </c>
      <c r="AG74" s="24">
        <v>96000</v>
      </c>
      <c r="AH74" s="24">
        <v>101000</v>
      </c>
      <c r="AI74" s="24">
        <v>99500</v>
      </c>
      <c r="AJ74" s="25">
        <v>3.6</v>
      </c>
      <c r="AK74" s="25">
        <v>9.5</v>
      </c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8">
        <f t="shared" si="62"/>
        <v>4</v>
      </c>
      <c r="AY74" s="8">
        <f t="shared" si="63"/>
        <v>2</v>
      </c>
      <c r="AZ74" s="13" t="str">
        <f t="shared" si="72"/>
        <v>∆(4-2)</v>
      </c>
      <c r="BA74" s="10">
        <f t="shared" ca="1" si="64"/>
        <v>-8200</v>
      </c>
      <c r="BB74" s="10">
        <f t="shared" ca="1" si="65"/>
        <v>2400</v>
      </c>
      <c r="BC74" s="10">
        <f t="shared" ca="1" si="73"/>
        <v>1640</v>
      </c>
      <c r="BD74" s="10" t="e">
        <f>#REF!</f>
        <v>#REF!</v>
      </c>
      <c r="BE74" s="10">
        <f t="shared" ca="1" si="74"/>
        <v>-8200</v>
      </c>
      <c r="BF74" s="10">
        <f t="shared" ca="1" si="75"/>
        <v>2400</v>
      </c>
      <c r="BG74" s="10">
        <f t="shared" ca="1" si="76"/>
        <v>2400</v>
      </c>
      <c r="BH74" s="10">
        <f t="shared" ca="1" si="77"/>
        <v>2400</v>
      </c>
      <c r="BI74" s="10" t="e">
        <f t="shared" si="78"/>
        <v>#REF!</v>
      </c>
      <c r="BJ74" s="10" t="e">
        <f t="shared" si="79"/>
        <v>#REF!</v>
      </c>
      <c r="BK74" s="10" t="e">
        <f t="shared" si="80"/>
        <v>#REF!</v>
      </c>
      <c r="BL74" s="10" t="e">
        <f t="shared" si="81"/>
        <v>#REF!</v>
      </c>
      <c r="BM74" s="14" t="e">
        <f t="shared" ca="1" si="82"/>
        <v>#VALUE!</v>
      </c>
      <c r="BN74" s="15" t="e">
        <f ca="1">IF(BM74&gt;=#REF!/100,"Yes","No")</f>
        <v>#VALUE!</v>
      </c>
      <c r="BO74" s="6">
        <f t="shared" si="66"/>
        <v>3</v>
      </c>
      <c r="BP74" s="6" t="e">
        <f t="shared" ca="1" si="83"/>
        <v>#VALUE!</v>
      </c>
      <c r="BQ74" s="13" t="e">
        <f t="shared" ca="1" si="84"/>
        <v>#VALUE!</v>
      </c>
      <c r="BR74" s="10" t="e">
        <f t="shared" ca="1" si="67"/>
        <v>#VALUE!</v>
      </c>
      <c r="BS74" s="10" t="e">
        <f t="shared" ca="1" si="68"/>
        <v>#VALUE!</v>
      </c>
      <c r="BT74" s="10" t="e">
        <f t="shared" ca="1" si="85"/>
        <v>#VALUE!</v>
      </c>
      <c r="BU74" s="10" t="e">
        <f>#REF!</f>
        <v>#REF!</v>
      </c>
      <c r="BV74" s="10" t="e">
        <f t="shared" ca="1" si="86"/>
        <v>#VALUE!</v>
      </c>
      <c r="BW74" s="10" t="e">
        <f t="shared" ca="1" si="87"/>
        <v>#VALUE!</v>
      </c>
      <c r="BX74" s="10" t="e">
        <f t="shared" ca="1" si="88"/>
        <v>#VALUE!</v>
      </c>
      <c r="BY74" s="10" t="e">
        <f t="shared" ca="1" si="89"/>
        <v>#VALUE!</v>
      </c>
      <c r="BZ74" s="10" t="e">
        <f t="shared" si="90"/>
        <v>#REF!</v>
      </c>
      <c r="CA74" s="10" t="e">
        <f t="shared" si="91"/>
        <v>#REF!</v>
      </c>
      <c r="CB74" s="10" t="e">
        <f t="shared" si="92"/>
        <v>#REF!</v>
      </c>
      <c r="CC74" s="10" t="e">
        <f t="shared" si="93"/>
        <v>#REF!</v>
      </c>
      <c r="CD74" s="14" t="e">
        <f t="shared" ca="1" si="94"/>
        <v>#VALUE!</v>
      </c>
      <c r="CE74" s="15" t="e">
        <f ca="1">IF(CD74&gt;=#REF!/100,"Yes","No")</f>
        <v>#VALUE!</v>
      </c>
      <c r="CF74" s="6">
        <f t="shared" si="69"/>
        <v>1</v>
      </c>
      <c r="CG74" s="6" t="e">
        <f t="shared" ca="1" si="95"/>
        <v>#VALUE!</v>
      </c>
      <c r="CH74" s="13" t="e">
        <f t="shared" ca="1" si="96"/>
        <v>#VALUE!</v>
      </c>
      <c r="CI74" s="10" t="e">
        <f t="shared" ca="1" si="70"/>
        <v>#VALUE!</v>
      </c>
      <c r="CJ74" s="10" t="e">
        <f t="shared" ca="1" si="71"/>
        <v>#VALUE!</v>
      </c>
      <c r="CK74" s="10" t="e">
        <f t="shared" ca="1" si="97"/>
        <v>#VALUE!</v>
      </c>
      <c r="CL74" s="10" t="e">
        <f>#REF!</f>
        <v>#REF!</v>
      </c>
      <c r="CM74" s="10" t="e">
        <f t="shared" ca="1" si="98"/>
        <v>#VALUE!</v>
      </c>
      <c r="CN74" s="10" t="e">
        <f t="shared" ca="1" si="99"/>
        <v>#VALUE!</v>
      </c>
      <c r="CO74" s="10" t="e">
        <f t="shared" ca="1" si="100"/>
        <v>#VALUE!</v>
      </c>
      <c r="CP74" s="10" t="e">
        <f t="shared" ca="1" si="101"/>
        <v>#VALUE!</v>
      </c>
      <c r="CQ74" s="10" t="e">
        <f t="shared" si="102"/>
        <v>#REF!</v>
      </c>
      <c r="CR74" s="10" t="e">
        <f t="shared" si="103"/>
        <v>#REF!</v>
      </c>
      <c r="CS74" s="10" t="e">
        <f t="shared" si="104"/>
        <v>#REF!</v>
      </c>
      <c r="CT74" s="10" t="e">
        <f t="shared" si="105"/>
        <v>#REF!</v>
      </c>
      <c r="CU74" s="14" t="e">
        <f t="shared" ca="1" si="106"/>
        <v>#VALUE!</v>
      </c>
      <c r="CV74" s="15" t="e">
        <f ca="1">IF(CU74&gt;=#REF!/100,"Yes","No")</f>
        <v>#VALUE!</v>
      </c>
    </row>
    <row r="75" spans="1:100" x14ac:dyDescent="0.25">
      <c r="A75" t="s">
        <v>161</v>
      </c>
      <c r="B75" t="s">
        <v>162</v>
      </c>
      <c r="C75">
        <v>114204029</v>
      </c>
      <c r="D75" t="str">
        <f t="shared" si="61"/>
        <v>Çelik, Ahmet Cansın-114204029</v>
      </c>
      <c r="E75" s="22">
        <v>5</v>
      </c>
      <c r="F75" s="22">
        <v>1</v>
      </c>
      <c r="G75" s="22">
        <v>8</v>
      </c>
      <c r="H75" s="22">
        <v>8184772</v>
      </c>
      <c r="I75" s="22">
        <v>4324614</v>
      </c>
      <c r="J75" s="22">
        <v>4416213</v>
      </c>
      <c r="K75" s="22">
        <v>4300807</v>
      </c>
      <c r="L75" s="22">
        <v>100000</v>
      </c>
      <c r="M75" s="22">
        <v>109800</v>
      </c>
      <c r="N75" s="22">
        <v>119100</v>
      </c>
      <c r="O75" s="22">
        <v>127800</v>
      </c>
      <c r="P75" s="22">
        <v>100000</v>
      </c>
      <c r="Q75" s="22">
        <v>119100</v>
      </c>
      <c r="R75" s="22">
        <v>109800</v>
      </c>
      <c r="S75" s="22">
        <v>127800</v>
      </c>
      <c r="T75" s="24">
        <v>27000</v>
      </c>
      <c r="U75" s="22">
        <v>26671</v>
      </c>
      <c r="V75" s="22">
        <v>24271</v>
      </c>
      <c r="W75" s="22">
        <v>22071</v>
      </c>
      <c r="X75" s="22">
        <v>29071</v>
      </c>
      <c r="Y75" s="22">
        <v>24271</v>
      </c>
      <c r="Z75" s="22">
        <v>26671</v>
      </c>
      <c r="AA75" s="22">
        <v>22071</v>
      </c>
      <c r="AB75" s="24">
        <v>113000</v>
      </c>
      <c r="AC75" s="24">
        <v>117000</v>
      </c>
      <c r="AD75" s="24">
        <v>119000</v>
      </c>
      <c r="AE75" s="24">
        <v>118000</v>
      </c>
      <c r="AF75" s="24">
        <v>111000</v>
      </c>
      <c r="AG75" s="24">
        <v>115500</v>
      </c>
      <c r="AH75" s="24">
        <v>116500</v>
      </c>
      <c r="AI75" s="24">
        <v>115000</v>
      </c>
      <c r="AJ75" s="25">
        <v>2.7</v>
      </c>
      <c r="AK75" s="25">
        <v>7.8</v>
      </c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8">
        <f t="shared" si="62"/>
        <v>1</v>
      </c>
      <c r="AY75" s="8">
        <f t="shared" si="63"/>
        <v>2</v>
      </c>
      <c r="AZ75" s="16" t="str">
        <f t="shared" si="72"/>
        <v>∆(1-2)</v>
      </c>
      <c r="BA75" s="17">
        <f t="shared" ca="1" si="64"/>
        <v>-8900</v>
      </c>
      <c r="BB75" s="17">
        <f t="shared" ca="1" si="65"/>
        <v>2300</v>
      </c>
      <c r="BC75" s="17">
        <f t="shared" ca="1" si="73"/>
        <v>1780</v>
      </c>
      <c r="BD75" s="17" t="e">
        <f>#REF!</f>
        <v>#REF!</v>
      </c>
      <c r="BE75" s="17">
        <f t="shared" ca="1" si="74"/>
        <v>-8900</v>
      </c>
      <c r="BF75" s="17">
        <f t="shared" ca="1" si="75"/>
        <v>2300</v>
      </c>
      <c r="BG75" s="17">
        <f t="shared" ca="1" si="76"/>
        <v>2300</v>
      </c>
      <c r="BH75" s="17">
        <f t="shared" ca="1" si="77"/>
        <v>2300</v>
      </c>
      <c r="BI75" s="17" t="e">
        <f t="shared" si="78"/>
        <v>#REF!</v>
      </c>
      <c r="BJ75" s="17" t="e">
        <f t="shared" si="79"/>
        <v>#REF!</v>
      </c>
      <c r="BK75" s="17" t="e">
        <f t="shared" si="80"/>
        <v>#REF!</v>
      </c>
      <c r="BL75" s="17" t="e">
        <f t="shared" si="81"/>
        <v>#REF!</v>
      </c>
      <c r="BM75" s="18" t="e">
        <f t="shared" ca="1" si="82"/>
        <v>#VALUE!</v>
      </c>
      <c r="BN75" s="19" t="e">
        <f ca="1">IF(BM75&gt;=#REF!/100,"Yes","No")</f>
        <v>#VALUE!</v>
      </c>
      <c r="BO75" s="20">
        <f t="shared" si="66"/>
        <v>4</v>
      </c>
      <c r="BP75" s="20" t="e">
        <f t="shared" ca="1" si="83"/>
        <v>#VALUE!</v>
      </c>
      <c r="BQ75" s="16" t="e">
        <f t="shared" ca="1" si="84"/>
        <v>#VALUE!</v>
      </c>
      <c r="BR75" s="17" t="e">
        <f t="shared" ca="1" si="67"/>
        <v>#VALUE!</v>
      </c>
      <c r="BS75" s="17" t="e">
        <f t="shared" ca="1" si="68"/>
        <v>#VALUE!</v>
      </c>
      <c r="BT75" s="17" t="e">
        <f t="shared" ca="1" si="85"/>
        <v>#VALUE!</v>
      </c>
      <c r="BU75" s="17" t="e">
        <f>#REF!</f>
        <v>#REF!</v>
      </c>
      <c r="BV75" s="17" t="e">
        <f t="shared" ca="1" si="86"/>
        <v>#VALUE!</v>
      </c>
      <c r="BW75" s="17" t="e">
        <f t="shared" ca="1" si="87"/>
        <v>#VALUE!</v>
      </c>
      <c r="BX75" s="17" t="e">
        <f t="shared" ca="1" si="88"/>
        <v>#VALUE!</v>
      </c>
      <c r="BY75" s="17" t="e">
        <f t="shared" ca="1" si="89"/>
        <v>#VALUE!</v>
      </c>
      <c r="BZ75" s="17" t="e">
        <f t="shared" si="90"/>
        <v>#REF!</v>
      </c>
      <c r="CA75" s="17" t="e">
        <f t="shared" si="91"/>
        <v>#REF!</v>
      </c>
      <c r="CB75" s="17" t="e">
        <f t="shared" si="92"/>
        <v>#REF!</v>
      </c>
      <c r="CC75" s="17" t="e">
        <f t="shared" si="93"/>
        <v>#REF!</v>
      </c>
      <c r="CD75" s="18" t="e">
        <f t="shared" ca="1" si="94"/>
        <v>#VALUE!</v>
      </c>
      <c r="CE75" s="19" t="e">
        <f ca="1">IF(CD75&gt;=#REF!/100,"Yes","No")</f>
        <v>#VALUE!</v>
      </c>
      <c r="CF75" s="20">
        <f t="shared" si="69"/>
        <v>3</v>
      </c>
      <c r="CG75" s="20" t="e">
        <f t="shared" ca="1" si="95"/>
        <v>#VALUE!</v>
      </c>
      <c r="CH75" s="16" t="e">
        <f t="shared" ca="1" si="96"/>
        <v>#VALUE!</v>
      </c>
      <c r="CI75" s="17" t="e">
        <f t="shared" ca="1" si="70"/>
        <v>#VALUE!</v>
      </c>
      <c r="CJ75" s="17" t="e">
        <f t="shared" ca="1" si="71"/>
        <v>#VALUE!</v>
      </c>
      <c r="CK75" s="17" t="e">
        <f t="shared" ca="1" si="97"/>
        <v>#VALUE!</v>
      </c>
      <c r="CL75" s="17" t="e">
        <f>#REF!</f>
        <v>#REF!</v>
      </c>
      <c r="CM75" s="17" t="e">
        <f t="shared" ca="1" si="98"/>
        <v>#VALUE!</v>
      </c>
      <c r="CN75" s="17" t="e">
        <f t="shared" ca="1" si="99"/>
        <v>#VALUE!</v>
      </c>
      <c r="CO75" s="17" t="e">
        <f t="shared" ca="1" si="100"/>
        <v>#VALUE!</v>
      </c>
      <c r="CP75" s="17" t="e">
        <f t="shared" ca="1" si="101"/>
        <v>#VALUE!</v>
      </c>
      <c r="CQ75" s="17" t="e">
        <f t="shared" si="102"/>
        <v>#REF!</v>
      </c>
      <c r="CR75" s="17" t="e">
        <f t="shared" si="103"/>
        <v>#REF!</v>
      </c>
      <c r="CS75" s="17" t="e">
        <f t="shared" si="104"/>
        <v>#REF!</v>
      </c>
      <c r="CT75" s="17" t="e">
        <f t="shared" si="105"/>
        <v>#REF!</v>
      </c>
      <c r="CU75" s="18" t="e">
        <f t="shared" ca="1" si="106"/>
        <v>#VALUE!</v>
      </c>
      <c r="CV75" s="19" t="e">
        <f ca="1">IF(CU75&gt;=#REF!/100,"Yes","No")</f>
        <v>#VALUE!</v>
      </c>
    </row>
    <row r="76" spans="1:100" x14ac:dyDescent="0.25">
      <c r="A76" t="s">
        <v>163</v>
      </c>
      <c r="B76" t="s">
        <v>164</v>
      </c>
      <c r="C76">
        <v>114207006</v>
      </c>
      <c r="D76" t="str">
        <f t="shared" si="61"/>
        <v>Cevizci, Semi-114207006</v>
      </c>
      <c r="E76" s="22">
        <v>6</v>
      </c>
      <c r="F76" s="22">
        <v>1</v>
      </c>
      <c r="G76" s="22">
        <v>8</v>
      </c>
      <c r="H76" s="22">
        <v>9410626</v>
      </c>
      <c r="I76" s="22">
        <v>6234822</v>
      </c>
      <c r="J76" s="22">
        <v>8859601</v>
      </c>
      <c r="K76" s="22">
        <v>9433827</v>
      </c>
      <c r="L76" s="22">
        <v>100000</v>
      </c>
      <c r="M76" s="22">
        <v>109100</v>
      </c>
      <c r="N76" s="22">
        <v>117400</v>
      </c>
      <c r="O76" s="22">
        <v>126200</v>
      </c>
      <c r="P76" s="22">
        <v>126200</v>
      </c>
      <c r="Q76" s="22">
        <v>100000</v>
      </c>
      <c r="R76" s="22">
        <v>117400</v>
      </c>
      <c r="S76" s="22">
        <v>109100</v>
      </c>
      <c r="T76" s="24">
        <v>27000</v>
      </c>
      <c r="U76" s="22">
        <v>26772</v>
      </c>
      <c r="V76" s="22">
        <v>24672</v>
      </c>
      <c r="W76" s="22">
        <v>22672</v>
      </c>
      <c r="X76" s="22">
        <v>22672</v>
      </c>
      <c r="Y76" s="22">
        <v>29072</v>
      </c>
      <c r="Z76" s="22">
        <v>24672</v>
      </c>
      <c r="AA76" s="22">
        <v>26772</v>
      </c>
      <c r="AB76" s="24">
        <v>120000</v>
      </c>
      <c r="AC76" s="24">
        <v>121000</v>
      </c>
      <c r="AD76" s="24">
        <v>121000</v>
      </c>
      <c r="AE76" s="24">
        <v>118000</v>
      </c>
      <c r="AF76" s="24">
        <v>118000</v>
      </c>
      <c r="AG76" s="24">
        <v>118500</v>
      </c>
      <c r="AH76" s="24">
        <v>117500</v>
      </c>
      <c r="AI76" s="24">
        <v>114000</v>
      </c>
      <c r="AJ76" s="25">
        <v>2.6</v>
      </c>
      <c r="AK76" s="25">
        <v>8.3000000000000007</v>
      </c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8">
        <f t="shared" si="62"/>
        <v>3</v>
      </c>
      <c r="AY76" s="8">
        <f t="shared" si="63"/>
        <v>1</v>
      </c>
      <c r="AZ76" s="13" t="str">
        <f t="shared" si="72"/>
        <v>∆(3-1)</v>
      </c>
      <c r="BA76" s="10">
        <f t="shared" ca="1" si="64"/>
        <v>-9800</v>
      </c>
      <c r="BB76" s="10">
        <f t="shared" ca="1" si="65"/>
        <v>2400</v>
      </c>
      <c r="BC76" s="10">
        <f t="shared" ca="1" si="73"/>
        <v>1960</v>
      </c>
      <c r="BD76" s="10" t="e">
        <f>#REF!</f>
        <v>#REF!</v>
      </c>
      <c r="BE76" s="10">
        <f t="shared" ca="1" si="74"/>
        <v>-9800</v>
      </c>
      <c r="BF76" s="10">
        <f t="shared" ca="1" si="75"/>
        <v>2400</v>
      </c>
      <c r="BG76" s="10">
        <f t="shared" ca="1" si="76"/>
        <v>2400</v>
      </c>
      <c r="BH76" s="10">
        <f t="shared" ca="1" si="77"/>
        <v>2400</v>
      </c>
      <c r="BI76" s="10" t="e">
        <f t="shared" si="78"/>
        <v>#REF!</v>
      </c>
      <c r="BJ76" s="10" t="e">
        <f t="shared" si="79"/>
        <v>#REF!</v>
      </c>
      <c r="BK76" s="10" t="e">
        <f t="shared" si="80"/>
        <v>#REF!</v>
      </c>
      <c r="BL76" s="10" t="e">
        <f t="shared" si="81"/>
        <v>#REF!</v>
      </c>
      <c r="BM76" s="14" t="e">
        <f t="shared" ca="1" si="82"/>
        <v>#VALUE!</v>
      </c>
      <c r="BN76" s="15" t="e">
        <f ca="1">IF(BM76&gt;=#REF!/100,"Yes","No")</f>
        <v>#VALUE!</v>
      </c>
      <c r="BO76" s="6">
        <f t="shared" si="66"/>
        <v>2</v>
      </c>
      <c r="BP76" s="6" t="e">
        <f t="shared" ca="1" si="83"/>
        <v>#VALUE!</v>
      </c>
      <c r="BQ76" s="13" t="e">
        <f t="shared" ca="1" si="84"/>
        <v>#VALUE!</v>
      </c>
      <c r="BR76" s="10" t="e">
        <f t="shared" ca="1" si="67"/>
        <v>#VALUE!</v>
      </c>
      <c r="BS76" s="10" t="e">
        <f t="shared" ca="1" si="68"/>
        <v>#VALUE!</v>
      </c>
      <c r="BT76" s="10" t="e">
        <f t="shared" ca="1" si="85"/>
        <v>#VALUE!</v>
      </c>
      <c r="BU76" s="10" t="e">
        <f>#REF!</f>
        <v>#REF!</v>
      </c>
      <c r="BV76" s="10" t="e">
        <f t="shared" ca="1" si="86"/>
        <v>#VALUE!</v>
      </c>
      <c r="BW76" s="10" t="e">
        <f t="shared" ca="1" si="87"/>
        <v>#VALUE!</v>
      </c>
      <c r="BX76" s="10" t="e">
        <f t="shared" ca="1" si="88"/>
        <v>#VALUE!</v>
      </c>
      <c r="BY76" s="10" t="e">
        <f t="shared" ca="1" si="89"/>
        <v>#VALUE!</v>
      </c>
      <c r="BZ76" s="10" t="e">
        <f t="shared" si="90"/>
        <v>#REF!</v>
      </c>
      <c r="CA76" s="10" t="e">
        <f t="shared" si="91"/>
        <v>#REF!</v>
      </c>
      <c r="CB76" s="10" t="e">
        <f t="shared" si="92"/>
        <v>#REF!</v>
      </c>
      <c r="CC76" s="10" t="e">
        <f t="shared" si="93"/>
        <v>#REF!</v>
      </c>
      <c r="CD76" s="14" t="e">
        <f t="shared" ca="1" si="94"/>
        <v>#VALUE!</v>
      </c>
      <c r="CE76" s="15" t="e">
        <f ca="1">IF(CD76&gt;=#REF!/100,"Yes","No")</f>
        <v>#VALUE!</v>
      </c>
      <c r="CF76" s="6">
        <f t="shared" si="69"/>
        <v>4</v>
      </c>
      <c r="CG76" s="6" t="e">
        <f t="shared" ca="1" si="95"/>
        <v>#VALUE!</v>
      </c>
      <c r="CH76" s="13" t="e">
        <f t="shared" ca="1" si="96"/>
        <v>#VALUE!</v>
      </c>
      <c r="CI76" s="10" t="e">
        <f t="shared" ca="1" si="70"/>
        <v>#VALUE!</v>
      </c>
      <c r="CJ76" s="10" t="e">
        <f t="shared" ca="1" si="71"/>
        <v>#VALUE!</v>
      </c>
      <c r="CK76" s="10" t="e">
        <f t="shared" ca="1" si="97"/>
        <v>#VALUE!</v>
      </c>
      <c r="CL76" s="10" t="e">
        <f>#REF!</f>
        <v>#REF!</v>
      </c>
      <c r="CM76" s="10" t="e">
        <f t="shared" ca="1" si="98"/>
        <v>#VALUE!</v>
      </c>
      <c r="CN76" s="10" t="e">
        <f t="shared" ca="1" si="99"/>
        <v>#VALUE!</v>
      </c>
      <c r="CO76" s="10" t="e">
        <f t="shared" ca="1" si="100"/>
        <v>#VALUE!</v>
      </c>
      <c r="CP76" s="10" t="e">
        <f t="shared" ca="1" si="101"/>
        <v>#VALUE!</v>
      </c>
      <c r="CQ76" s="10" t="e">
        <f t="shared" si="102"/>
        <v>#REF!</v>
      </c>
      <c r="CR76" s="10" t="e">
        <f t="shared" si="103"/>
        <v>#REF!</v>
      </c>
      <c r="CS76" s="10" t="e">
        <f t="shared" si="104"/>
        <v>#REF!</v>
      </c>
      <c r="CT76" s="10" t="e">
        <f t="shared" si="105"/>
        <v>#REF!</v>
      </c>
      <c r="CU76" s="14" t="e">
        <f t="shared" ca="1" si="106"/>
        <v>#VALUE!</v>
      </c>
      <c r="CV76" s="15" t="e">
        <f ca="1">IF(CU76&gt;=#REF!/100,"Yes","No")</f>
        <v>#VALUE!</v>
      </c>
    </row>
    <row r="77" spans="1:100" x14ac:dyDescent="0.25">
      <c r="A77" t="s">
        <v>165</v>
      </c>
      <c r="B77" t="s">
        <v>166</v>
      </c>
      <c r="C77">
        <v>116203190</v>
      </c>
      <c r="D77" t="str">
        <f t="shared" si="61"/>
        <v>Ceyhan, Efeaydın-116203190</v>
      </c>
      <c r="E77" s="22">
        <v>7</v>
      </c>
      <c r="F77" s="22">
        <v>2</v>
      </c>
      <c r="G77" s="22">
        <v>10</v>
      </c>
      <c r="H77" s="22">
        <v>1822281</v>
      </c>
      <c r="I77" s="22">
        <v>9218293</v>
      </c>
      <c r="J77" s="22">
        <v>2735407</v>
      </c>
      <c r="K77" s="22">
        <v>385229</v>
      </c>
      <c r="L77" s="22">
        <v>100000</v>
      </c>
      <c r="M77" s="22">
        <v>109500</v>
      </c>
      <c r="N77" s="22">
        <v>118800</v>
      </c>
      <c r="O77" s="22">
        <v>127000</v>
      </c>
      <c r="P77" s="22">
        <v>109500</v>
      </c>
      <c r="Q77" s="22">
        <v>118800</v>
      </c>
      <c r="R77" s="22">
        <v>100000</v>
      </c>
      <c r="S77" s="22">
        <v>127000</v>
      </c>
      <c r="T77" s="24">
        <v>28000</v>
      </c>
      <c r="U77" s="22">
        <v>26873</v>
      </c>
      <c r="V77" s="22">
        <v>24673</v>
      </c>
      <c r="W77" s="22">
        <v>22473</v>
      </c>
      <c r="X77" s="22">
        <v>26873</v>
      </c>
      <c r="Y77" s="22">
        <v>24673</v>
      </c>
      <c r="Z77" s="22">
        <v>29073</v>
      </c>
      <c r="AA77" s="22">
        <v>22473</v>
      </c>
      <c r="AB77" s="24">
        <v>92000</v>
      </c>
      <c r="AC77" s="24">
        <v>92000</v>
      </c>
      <c r="AD77" s="24">
        <v>93000</v>
      </c>
      <c r="AE77" s="24">
        <v>90000</v>
      </c>
      <c r="AF77" s="24">
        <v>90500</v>
      </c>
      <c r="AG77" s="24">
        <v>88000</v>
      </c>
      <c r="AH77" s="24">
        <v>90500</v>
      </c>
      <c r="AI77" s="24">
        <v>88500</v>
      </c>
      <c r="AJ77" s="25">
        <v>3.3</v>
      </c>
      <c r="AK77" s="25">
        <v>7.4</v>
      </c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8">
        <f t="shared" si="62"/>
        <v>4</v>
      </c>
      <c r="AY77" s="8">
        <f t="shared" si="63"/>
        <v>2</v>
      </c>
      <c r="AZ77" s="16" t="str">
        <f t="shared" si="72"/>
        <v>∆(4-2)</v>
      </c>
      <c r="BA77" s="17">
        <f t="shared" ca="1" si="64"/>
        <v>-9100</v>
      </c>
      <c r="BB77" s="17">
        <f t="shared" ca="1" si="65"/>
        <v>2300</v>
      </c>
      <c r="BC77" s="17">
        <f t="shared" ca="1" si="73"/>
        <v>1820</v>
      </c>
      <c r="BD77" s="17" t="e">
        <f>#REF!</f>
        <v>#REF!</v>
      </c>
      <c r="BE77" s="17">
        <f t="shared" ca="1" si="74"/>
        <v>-9100</v>
      </c>
      <c r="BF77" s="17">
        <f t="shared" ca="1" si="75"/>
        <v>2300</v>
      </c>
      <c r="BG77" s="17">
        <f t="shared" ca="1" si="76"/>
        <v>2300</v>
      </c>
      <c r="BH77" s="17">
        <f t="shared" ca="1" si="77"/>
        <v>2300</v>
      </c>
      <c r="BI77" s="17" t="e">
        <f t="shared" si="78"/>
        <v>#REF!</v>
      </c>
      <c r="BJ77" s="17" t="e">
        <f t="shared" si="79"/>
        <v>#REF!</v>
      </c>
      <c r="BK77" s="17" t="e">
        <f t="shared" si="80"/>
        <v>#REF!</v>
      </c>
      <c r="BL77" s="17" t="e">
        <f t="shared" si="81"/>
        <v>#REF!</v>
      </c>
      <c r="BM77" s="18" t="e">
        <f t="shared" ca="1" si="82"/>
        <v>#VALUE!</v>
      </c>
      <c r="BN77" s="19" t="e">
        <f ca="1">IF(BM77&gt;=#REF!/100,"Yes","No")</f>
        <v>#VALUE!</v>
      </c>
      <c r="BO77" s="20">
        <f t="shared" si="66"/>
        <v>3</v>
      </c>
      <c r="BP77" s="20" t="e">
        <f t="shared" ca="1" si="83"/>
        <v>#VALUE!</v>
      </c>
      <c r="BQ77" s="16" t="e">
        <f t="shared" ca="1" si="84"/>
        <v>#VALUE!</v>
      </c>
      <c r="BR77" s="17" t="e">
        <f t="shared" ca="1" si="67"/>
        <v>#VALUE!</v>
      </c>
      <c r="BS77" s="17" t="e">
        <f t="shared" ca="1" si="68"/>
        <v>#VALUE!</v>
      </c>
      <c r="BT77" s="17" t="e">
        <f t="shared" ca="1" si="85"/>
        <v>#VALUE!</v>
      </c>
      <c r="BU77" s="17" t="e">
        <f>#REF!</f>
        <v>#REF!</v>
      </c>
      <c r="BV77" s="17" t="e">
        <f t="shared" ca="1" si="86"/>
        <v>#VALUE!</v>
      </c>
      <c r="BW77" s="17" t="e">
        <f t="shared" ca="1" si="87"/>
        <v>#VALUE!</v>
      </c>
      <c r="BX77" s="17" t="e">
        <f t="shared" ca="1" si="88"/>
        <v>#VALUE!</v>
      </c>
      <c r="BY77" s="17" t="e">
        <f t="shared" ca="1" si="89"/>
        <v>#VALUE!</v>
      </c>
      <c r="BZ77" s="17" t="e">
        <f t="shared" si="90"/>
        <v>#REF!</v>
      </c>
      <c r="CA77" s="17" t="e">
        <f t="shared" si="91"/>
        <v>#REF!</v>
      </c>
      <c r="CB77" s="17" t="e">
        <f t="shared" si="92"/>
        <v>#REF!</v>
      </c>
      <c r="CC77" s="17" t="e">
        <f t="shared" si="93"/>
        <v>#REF!</v>
      </c>
      <c r="CD77" s="18" t="e">
        <f t="shared" ca="1" si="94"/>
        <v>#VALUE!</v>
      </c>
      <c r="CE77" s="19" t="e">
        <f ca="1">IF(CD77&gt;=#REF!/100,"Yes","No")</f>
        <v>#VALUE!</v>
      </c>
      <c r="CF77" s="20">
        <f t="shared" si="69"/>
        <v>1</v>
      </c>
      <c r="CG77" s="20" t="e">
        <f t="shared" ca="1" si="95"/>
        <v>#VALUE!</v>
      </c>
      <c r="CH77" s="16" t="e">
        <f t="shared" ca="1" si="96"/>
        <v>#VALUE!</v>
      </c>
      <c r="CI77" s="17" t="e">
        <f t="shared" ca="1" si="70"/>
        <v>#VALUE!</v>
      </c>
      <c r="CJ77" s="17" t="e">
        <f t="shared" ca="1" si="71"/>
        <v>#VALUE!</v>
      </c>
      <c r="CK77" s="17" t="e">
        <f t="shared" ca="1" si="97"/>
        <v>#VALUE!</v>
      </c>
      <c r="CL77" s="17" t="e">
        <f>#REF!</f>
        <v>#REF!</v>
      </c>
      <c r="CM77" s="17" t="e">
        <f t="shared" ca="1" si="98"/>
        <v>#VALUE!</v>
      </c>
      <c r="CN77" s="17" t="e">
        <f t="shared" ca="1" si="99"/>
        <v>#VALUE!</v>
      </c>
      <c r="CO77" s="17" t="e">
        <f t="shared" ca="1" si="100"/>
        <v>#VALUE!</v>
      </c>
      <c r="CP77" s="17" t="e">
        <f t="shared" ca="1" si="101"/>
        <v>#VALUE!</v>
      </c>
      <c r="CQ77" s="17" t="e">
        <f t="shared" si="102"/>
        <v>#REF!</v>
      </c>
      <c r="CR77" s="17" t="e">
        <f t="shared" si="103"/>
        <v>#REF!</v>
      </c>
      <c r="CS77" s="17" t="e">
        <f t="shared" si="104"/>
        <v>#REF!</v>
      </c>
      <c r="CT77" s="17" t="e">
        <f t="shared" si="105"/>
        <v>#REF!</v>
      </c>
      <c r="CU77" s="18" t="e">
        <f t="shared" ca="1" si="106"/>
        <v>#VALUE!</v>
      </c>
      <c r="CV77" s="19" t="e">
        <f ca="1">IF(CU77&gt;=#REF!/100,"Yes","No")</f>
        <v>#VALUE!</v>
      </c>
    </row>
    <row r="78" spans="1:100" x14ac:dyDescent="0.25">
      <c r="A78" t="s">
        <v>167</v>
      </c>
      <c r="B78" t="s">
        <v>168</v>
      </c>
      <c r="C78">
        <v>115203020</v>
      </c>
      <c r="D78" t="str">
        <f t="shared" si="61"/>
        <v>Çilek, Şebnem-115203020</v>
      </c>
      <c r="E78" s="22">
        <v>7</v>
      </c>
      <c r="F78" s="22">
        <v>3</v>
      </c>
      <c r="G78" s="22">
        <v>15</v>
      </c>
      <c r="H78" s="22">
        <v>8356586</v>
      </c>
      <c r="I78" s="22">
        <v>1358712</v>
      </c>
      <c r="J78" s="22">
        <v>2280548</v>
      </c>
      <c r="K78" s="22">
        <v>5890819</v>
      </c>
      <c r="L78" s="22">
        <v>100000</v>
      </c>
      <c r="M78" s="22">
        <v>108300</v>
      </c>
      <c r="N78" s="22">
        <v>118200</v>
      </c>
      <c r="O78" s="22">
        <v>126800</v>
      </c>
      <c r="P78" s="22">
        <v>100000</v>
      </c>
      <c r="Q78" s="22">
        <v>126800</v>
      </c>
      <c r="R78" s="22">
        <v>118200</v>
      </c>
      <c r="S78" s="22">
        <v>108300</v>
      </c>
      <c r="T78" s="24">
        <v>27000</v>
      </c>
      <c r="U78" s="22">
        <v>26574</v>
      </c>
      <c r="V78" s="22">
        <v>24174</v>
      </c>
      <c r="W78" s="22">
        <v>21774</v>
      </c>
      <c r="X78" s="22">
        <v>29074</v>
      </c>
      <c r="Y78" s="22">
        <v>21774</v>
      </c>
      <c r="Z78" s="22">
        <v>24174</v>
      </c>
      <c r="AA78" s="22">
        <v>26574</v>
      </c>
      <c r="AB78" s="24">
        <v>109000</v>
      </c>
      <c r="AC78" s="24">
        <v>109000</v>
      </c>
      <c r="AD78" s="24">
        <v>111000</v>
      </c>
      <c r="AE78" s="24">
        <v>115000</v>
      </c>
      <c r="AF78" s="24">
        <v>106500</v>
      </c>
      <c r="AG78" s="24">
        <v>106500</v>
      </c>
      <c r="AH78" s="24">
        <v>108000</v>
      </c>
      <c r="AI78" s="24">
        <v>113000</v>
      </c>
      <c r="AJ78" s="25">
        <v>4.9000000000000004</v>
      </c>
      <c r="AK78" s="25">
        <v>6.5</v>
      </c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8">
        <f t="shared" si="62"/>
        <v>1</v>
      </c>
      <c r="AY78" s="8">
        <f t="shared" si="63"/>
        <v>3</v>
      </c>
      <c r="AZ78" s="13" t="str">
        <f t="shared" si="72"/>
        <v>∆(1-3)</v>
      </c>
      <c r="BA78" s="10">
        <f t="shared" ca="1" si="64"/>
        <v>-9500</v>
      </c>
      <c r="BB78" s="10">
        <f t="shared" ca="1" si="65"/>
        <v>2200</v>
      </c>
      <c r="BC78" s="10">
        <f t="shared" ca="1" si="73"/>
        <v>1900</v>
      </c>
      <c r="BD78" s="10" t="e">
        <f>#REF!</f>
        <v>#REF!</v>
      </c>
      <c r="BE78" s="10">
        <f t="shared" ca="1" si="74"/>
        <v>-9500</v>
      </c>
      <c r="BF78" s="10">
        <f t="shared" ca="1" si="75"/>
        <v>2200</v>
      </c>
      <c r="BG78" s="10">
        <f t="shared" ca="1" si="76"/>
        <v>2200</v>
      </c>
      <c r="BH78" s="10">
        <f t="shared" ca="1" si="77"/>
        <v>2200</v>
      </c>
      <c r="BI78" s="10" t="e">
        <f t="shared" si="78"/>
        <v>#REF!</v>
      </c>
      <c r="BJ78" s="10" t="e">
        <f t="shared" si="79"/>
        <v>#REF!</v>
      </c>
      <c r="BK78" s="10" t="e">
        <f t="shared" si="80"/>
        <v>#REF!</v>
      </c>
      <c r="BL78" s="10" t="e">
        <f t="shared" si="81"/>
        <v>#REF!</v>
      </c>
      <c r="BM78" s="14" t="e">
        <f t="shared" ca="1" si="82"/>
        <v>#VALUE!</v>
      </c>
      <c r="BN78" s="15" t="e">
        <f ca="1">IF(BM78&gt;=#REF!/100,"Yes","No")</f>
        <v>#VALUE!</v>
      </c>
      <c r="BO78" s="6">
        <f t="shared" si="66"/>
        <v>2</v>
      </c>
      <c r="BP78" s="6" t="e">
        <f t="shared" ca="1" si="83"/>
        <v>#VALUE!</v>
      </c>
      <c r="BQ78" s="13" t="e">
        <f t="shared" ca="1" si="84"/>
        <v>#VALUE!</v>
      </c>
      <c r="BR78" s="10" t="e">
        <f t="shared" ca="1" si="67"/>
        <v>#VALUE!</v>
      </c>
      <c r="BS78" s="10" t="e">
        <f t="shared" ca="1" si="68"/>
        <v>#VALUE!</v>
      </c>
      <c r="BT78" s="10" t="e">
        <f t="shared" ca="1" si="85"/>
        <v>#VALUE!</v>
      </c>
      <c r="BU78" s="10" t="e">
        <f>#REF!</f>
        <v>#REF!</v>
      </c>
      <c r="BV78" s="10" t="e">
        <f t="shared" ca="1" si="86"/>
        <v>#VALUE!</v>
      </c>
      <c r="BW78" s="10" t="e">
        <f t="shared" ca="1" si="87"/>
        <v>#VALUE!</v>
      </c>
      <c r="BX78" s="10" t="e">
        <f t="shared" ca="1" si="88"/>
        <v>#VALUE!</v>
      </c>
      <c r="BY78" s="10" t="e">
        <f t="shared" ca="1" si="89"/>
        <v>#VALUE!</v>
      </c>
      <c r="BZ78" s="10" t="e">
        <f t="shared" si="90"/>
        <v>#REF!</v>
      </c>
      <c r="CA78" s="10" t="e">
        <f t="shared" si="91"/>
        <v>#REF!</v>
      </c>
      <c r="CB78" s="10" t="e">
        <f t="shared" si="92"/>
        <v>#REF!</v>
      </c>
      <c r="CC78" s="10" t="e">
        <f t="shared" si="93"/>
        <v>#REF!</v>
      </c>
      <c r="CD78" s="14" t="e">
        <f t="shared" ca="1" si="94"/>
        <v>#VALUE!</v>
      </c>
      <c r="CE78" s="15" t="e">
        <f ca="1">IF(CD78&gt;=#REF!/100,"Yes","No")</f>
        <v>#VALUE!</v>
      </c>
      <c r="CF78" s="6">
        <f t="shared" si="69"/>
        <v>4</v>
      </c>
      <c r="CG78" s="6" t="e">
        <f t="shared" ca="1" si="95"/>
        <v>#VALUE!</v>
      </c>
      <c r="CH78" s="13" t="e">
        <f t="shared" ca="1" si="96"/>
        <v>#VALUE!</v>
      </c>
      <c r="CI78" s="10" t="e">
        <f t="shared" ca="1" si="70"/>
        <v>#VALUE!</v>
      </c>
      <c r="CJ78" s="10" t="e">
        <f t="shared" ca="1" si="71"/>
        <v>#VALUE!</v>
      </c>
      <c r="CK78" s="10" t="e">
        <f t="shared" ca="1" si="97"/>
        <v>#VALUE!</v>
      </c>
      <c r="CL78" s="10" t="e">
        <f>#REF!</f>
        <v>#REF!</v>
      </c>
      <c r="CM78" s="10" t="e">
        <f t="shared" ca="1" si="98"/>
        <v>#VALUE!</v>
      </c>
      <c r="CN78" s="10" t="e">
        <f t="shared" ca="1" si="99"/>
        <v>#VALUE!</v>
      </c>
      <c r="CO78" s="10" t="e">
        <f t="shared" ca="1" si="100"/>
        <v>#VALUE!</v>
      </c>
      <c r="CP78" s="10" t="e">
        <f t="shared" ca="1" si="101"/>
        <v>#VALUE!</v>
      </c>
      <c r="CQ78" s="10" t="e">
        <f t="shared" si="102"/>
        <v>#REF!</v>
      </c>
      <c r="CR78" s="10" t="e">
        <f t="shared" si="103"/>
        <v>#REF!</v>
      </c>
      <c r="CS78" s="10" t="e">
        <f t="shared" si="104"/>
        <v>#REF!</v>
      </c>
      <c r="CT78" s="10" t="e">
        <f t="shared" si="105"/>
        <v>#REF!</v>
      </c>
      <c r="CU78" s="14" t="e">
        <f t="shared" ca="1" si="106"/>
        <v>#VALUE!</v>
      </c>
      <c r="CV78" s="15" t="e">
        <f ca="1">IF(CU78&gt;=#REF!/100,"Yes","No")</f>
        <v>#VALUE!</v>
      </c>
    </row>
    <row r="79" spans="1:100" x14ac:dyDescent="0.25">
      <c r="A79" t="s">
        <v>169</v>
      </c>
      <c r="B79" t="s">
        <v>170</v>
      </c>
      <c r="C79">
        <v>115201061</v>
      </c>
      <c r="D79" t="str">
        <f t="shared" si="61"/>
        <v>Çınar, Ezgi-115201061</v>
      </c>
      <c r="E79" s="22">
        <v>6</v>
      </c>
      <c r="F79" s="22">
        <v>3</v>
      </c>
      <c r="G79" s="22">
        <v>15</v>
      </c>
      <c r="H79" s="22">
        <v>5371093</v>
      </c>
      <c r="I79" s="22">
        <v>6183876</v>
      </c>
      <c r="J79" s="22">
        <v>6014303</v>
      </c>
      <c r="K79" s="22">
        <v>4335828</v>
      </c>
      <c r="L79" s="22">
        <v>100000</v>
      </c>
      <c r="M79" s="22">
        <v>108600</v>
      </c>
      <c r="N79" s="22">
        <v>116600</v>
      </c>
      <c r="O79" s="22">
        <v>124600</v>
      </c>
      <c r="P79" s="22">
        <v>108600</v>
      </c>
      <c r="Q79" s="22">
        <v>116600</v>
      </c>
      <c r="R79" s="22">
        <v>100000</v>
      </c>
      <c r="S79" s="22">
        <v>124600</v>
      </c>
      <c r="T79" s="24">
        <v>29000</v>
      </c>
      <c r="U79" s="22">
        <v>26775</v>
      </c>
      <c r="V79" s="22">
        <v>24775</v>
      </c>
      <c r="W79" s="22">
        <v>22575</v>
      </c>
      <c r="X79" s="22">
        <v>26775</v>
      </c>
      <c r="Y79" s="22">
        <v>24775</v>
      </c>
      <c r="Z79" s="22">
        <v>29075</v>
      </c>
      <c r="AA79" s="22">
        <v>22575</v>
      </c>
      <c r="AB79" s="24">
        <v>104000</v>
      </c>
      <c r="AC79" s="24">
        <v>102000</v>
      </c>
      <c r="AD79" s="24">
        <v>103000</v>
      </c>
      <c r="AE79" s="24">
        <v>100000</v>
      </c>
      <c r="AF79" s="24">
        <v>102000</v>
      </c>
      <c r="AG79" s="24">
        <v>98000</v>
      </c>
      <c r="AH79" s="24">
        <v>99500</v>
      </c>
      <c r="AI79" s="24">
        <v>96500</v>
      </c>
      <c r="AJ79" s="25">
        <v>3</v>
      </c>
      <c r="AK79" s="25">
        <v>7.3</v>
      </c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8">
        <f t="shared" si="62"/>
        <v>4</v>
      </c>
      <c r="AY79" s="8">
        <f t="shared" si="63"/>
        <v>1</v>
      </c>
      <c r="AZ79" s="16" t="str">
        <f t="shared" si="72"/>
        <v>∆(4-1)</v>
      </c>
      <c r="BA79" s="17">
        <f t="shared" ca="1" si="64"/>
        <v>-8300</v>
      </c>
      <c r="BB79" s="17">
        <f t="shared" ca="1" si="65"/>
        <v>2500</v>
      </c>
      <c r="BC79" s="17">
        <f t="shared" ca="1" si="73"/>
        <v>1660</v>
      </c>
      <c r="BD79" s="17" t="e">
        <f>#REF!</f>
        <v>#REF!</v>
      </c>
      <c r="BE79" s="17">
        <f t="shared" ca="1" si="74"/>
        <v>-8300</v>
      </c>
      <c r="BF79" s="17">
        <f t="shared" ca="1" si="75"/>
        <v>2500</v>
      </c>
      <c r="BG79" s="17">
        <f t="shared" ca="1" si="76"/>
        <v>2500</v>
      </c>
      <c r="BH79" s="17">
        <f t="shared" ca="1" si="77"/>
        <v>2500</v>
      </c>
      <c r="BI79" s="17" t="e">
        <f t="shared" si="78"/>
        <v>#REF!</v>
      </c>
      <c r="BJ79" s="17" t="e">
        <f t="shared" si="79"/>
        <v>#REF!</v>
      </c>
      <c r="BK79" s="17" t="e">
        <f t="shared" si="80"/>
        <v>#REF!</v>
      </c>
      <c r="BL79" s="17" t="e">
        <f t="shared" si="81"/>
        <v>#REF!</v>
      </c>
      <c r="BM79" s="18" t="e">
        <f t="shared" ca="1" si="82"/>
        <v>#VALUE!</v>
      </c>
      <c r="BN79" s="19" t="e">
        <f ca="1">IF(BM79&gt;=#REF!/100,"Yes","No")</f>
        <v>#VALUE!</v>
      </c>
      <c r="BO79" s="20">
        <f t="shared" si="66"/>
        <v>3</v>
      </c>
      <c r="BP79" s="20" t="e">
        <f t="shared" ca="1" si="83"/>
        <v>#VALUE!</v>
      </c>
      <c r="BQ79" s="16" t="e">
        <f t="shared" ca="1" si="84"/>
        <v>#VALUE!</v>
      </c>
      <c r="BR79" s="17" t="e">
        <f t="shared" ca="1" si="67"/>
        <v>#VALUE!</v>
      </c>
      <c r="BS79" s="17" t="e">
        <f t="shared" ca="1" si="68"/>
        <v>#VALUE!</v>
      </c>
      <c r="BT79" s="17" t="e">
        <f t="shared" ca="1" si="85"/>
        <v>#VALUE!</v>
      </c>
      <c r="BU79" s="17" t="e">
        <f>#REF!</f>
        <v>#REF!</v>
      </c>
      <c r="BV79" s="17" t="e">
        <f t="shared" ca="1" si="86"/>
        <v>#VALUE!</v>
      </c>
      <c r="BW79" s="17" t="e">
        <f t="shared" ca="1" si="87"/>
        <v>#VALUE!</v>
      </c>
      <c r="BX79" s="17" t="e">
        <f t="shared" ca="1" si="88"/>
        <v>#VALUE!</v>
      </c>
      <c r="BY79" s="17" t="e">
        <f t="shared" ca="1" si="89"/>
        <v>#VALUE!</v>
      </c>
      <c r="BZ79" s="17" t="e">
        <f t="shared" si="90"/>
        <v>#REF!</v>
      </c>
      <c r="CA79" s="17" t="e">
        <f t="shared" si="91"/>
        <v>#REF!</v>
      </c>
      <c r="CB79" s="17" t="e">
        <f t="shared" si="92"/>
        <v>#REF!</v>
      </c>
      <c r="CC79" s="17" t="e">
        <f t="shared" si="93"/>
        <v>#REF!</v>
      </c>
      <c r="CD79" s="18" t="e">
        <f t="shared" ca="1" si="94"/>
        <v>#VALUE!</v>
      </c>
      <c r="CE79" s="19" t="e">
        <f ca="1">IF(CD79&gt;=#REF!/100,"Yes","No")</f>
        <v>#VALUE!</v>
      </c>
      <c r="CF79" s="20">
        <f t="shared" si="69"/>
        <v>2</v>
      </c>
      <c r="CG79" s="20" t="e">
        <f t="shared" ca="1" si="95"/>
        <v>#VALUE!</v>
      </c>
      <c r="CH79" s="16" t="e">
        <f t="shared" ca="1" si="96"/>
        <v>#VALUE!</v>
      </c>
      <c r="CI79" s="17" t="e">
        <f t="shared" ca="1" si="70"/>
        <v>#VALUE!</v>
      </c>
      <c r="CJ79" s="17" t="e">
        <f t="shared" ca="1" si="71"/>
        <v>#VALUE!</v>
      </c>
      <c r="CK79" s="17" t="e">
        <f t="shared" ca="1" si="97"/>
        <v>#VALUE!</v>
      </c>
      <c r="CL79" s="17" t="e">
        <f>#REF!</f>
        <v>#REF!</v>
      </c>
      <c r="CM79" s="17" t="e">
        <f t="shared" ca="1" si="98"/>
        <v>#VALUE!</v>
      </c>
      <c r="CN79" s="17" t="e">
        <f t="shared" ca="1" si="99"/>
        <v>#VALUE!</v>
      </c>
      <c r="CO79" s="17" t="e">
        <f t="shared" ca="1" si="100"/>
        <v>#VALUE!</v>
      </c>
      <c r="CP79" s="17" t="e">
        <f t="shared" ca="1" si="101"/>
        <v>#VALUE!</v>
      </c>
      <c r="CQ79" s="17" t="e">
        <f t="shared" si="102"/>
        <v>#REF!</v>
      </c>
      <c r="CR79" s="17" t="e">
        <f t="shared" si="103"/>
        <v>#REF!</v>
      </c>
      <c r="CS79" s="17" t="e">
        <f t="shared" si="104"/>
        <v>#REF!</v>
      </c>
      <c r="CT79" s="17" t="e">
        <f t="shared" si="105"/>
        <v>#REF!</v>
      </c>
      <c r="CU79" s="18" t="e">
        <f t="shared" ca="1" si="106"/>
        <v>#VALUE!</v>
      </c>
      <c r="CV79" s="19" t="e">
        <f ca="1">IF(CU79&gt;=#REF!/100,"Yes","No")</f>
        <v>#VALUE!</v>
      </c>
    </row>
    <row r="80" spans="1:100" x14ac:dyDescent="0.25">
      <c r="A80" t="s">
        <v>169</v>
      </c>
      <c r="B80" t="s">
        <v>171</v>
      </c>
      <c r="C80">
        <v>115203031</v>
      </c>
      <c r="D80" t="str">
        <f t="shared" si="61"/>
        <v>Çınar, Ferhat Görkem-115203031</v>
      </c>
      <c r="E80" s="22">
        <v>5</v>
      </c>
      <c r="F80" s="22">
        <v>2</v>
      </c>
      <c r="G80" s="22">
        <v>10</v>
      </c>
      <c r="H80" s="22">
        <v>9751365</v>
      </c>
      <c r="I80" s="22">
        <v>4301626</v>
      </c>
      <c r="J80" s="22">
        <v>6890929</v>
      </c>
      <c r="K80" s="22">
        <v>1359502</v>
      </c>
      <c r="L80" s="22">
        <v>100000</v>
      </c>
      <c r="M80" s="22">
        <v>109500</v>
      </c>
      <c r="N80" s="22">
        <v>117500</v>
      </c>
      <c r="O80" s="22">
        <v>127400</v>
      </c>
      <c r="P80" s="22">
        <v>100000</v>
      </c>
      <c r="Q80" s="22">
        <v>117500</v>
      </c>
      <c r="R80" s="22">
        <v>109500</v>
      </c>
      <c r="S80" s="22">
        <v>127400</v>
      </c>
      <c r="T80" s="24">
        <v>26000</v>
      </c>
      <c r="U80" s="22">
        <v>26676</v>
      </c>
      <c r="V80" s="22">
        <v>24276</v>
      </c>
      <c r="W80" s="22">
        <v>22276</v>
      </c>
      <c r="X80" s="22">
        <v>29076</v>
      </c>
      <c r="Y80" s="22">
        <v>24276</v>
      </c>
      <c r="Z80" s="22">
        <v>26676</v>
      </c>
      <c r="AA80" s="22">
        <v>22276</v>
      </c>
      <c r="AB80" s="24">
        <v>94000</v>
      </c>
      <c r="AC80" s="24">
        <v>96000</v>
      </c>
      <c r="AD80" s="24">
        <v>94000</v>
      </c>
      <c r="AE80" s="24">
        <v>94000</v>
      </c>
      <c r="AF80" s="24">
        <v>92500</v>
      </c>
      <c r="AG80" s="24">
        <v>93500</v>
      </c>
      <c r="AH80" s="24">
        <v>92000</v>
      </c>
      <c r="AI80" s="24">
        <v>91000</v>
      </c>
      <c r="AJ80" s="25">
        <v>4.5</v>
      </c>
      <c r="AK80" s="25">
        <v>9.5</v>
      </c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8">
        <f t="shared" si="62"/>
        <v>1</v>
      </c>
      <c r="AY80" s="8">
        <f t="shared" si="63"/>
        <v>3</v>
      </c>
      <c r="AZ80" s="13" t="str">
        <f t="shared" si="72"/>
        <v>∆(1-3)</v>
      </c>
      <c r="BA80" s="10">
        <f t="shared" ca="1" si="64"/>
        <v>-8600</v>
      </c>
      <c r="BB80" s="10">
        <f t="shared" ca="1" si="65"/>
        <v>2300</v>
      </c>
      <c r="BC80" s="10">
        <f t="shared" ca="1" si="73"/>
        <v>1720</v>
      </c>
      <c r="BD80" s="10" t="e">
        <f>#REF!</f>
        <v>#REF!</v>
      </c>
      <c r="BE80" s="10">
        <f t="shared" ca="1" si="74"/>
        <v>-8600</v>
      </c>
      <c r="BF80" s="10">
        <f t="shared" ca="1" si="75"/>
        <v>2300</v>
      </c>
      <c r="BG80" s="10">
        <f t="shared" ca="1" si="76"/>
        <v>2300</v>
      </c>
      <c r="BH80" s="10">
        <f t="shared" ca="1" si="77"/>
        <v>2300</v>
      </c>
      <c r="BI80" s="10" t="e">
        <f t="shared" si="78"/>
        <v>#REF!</v>
      </c>
      <c r="BJ80" s="10" t="e">
        <f t="shared" si="79"/>
        <v>#REF!</v>
      </c>
      <c r="BK80" s="10" t="e">
        <f t="shared" si="80"/>
        <v>#REF!</v>
      </c>
      <c r="BL80" s="10" t="e">
        <f t="shared" si="81"/>
        <v>#REF!</v>
      </c>
      <c r="BM80" s="14" t="e">
        <f t="shared" ca="1" si="82"/>
        <v>#VALUE!</v>
      </c>
      <c r="BN80" s="15" t="e">
        <f ca="1">IF(BM80&gt;=#REF!/100,"Yes","No")</f>
        <v>#VALUE!</v>
      </c>
      <c r="BO80" s="6">
        <f t="shared" si="66"/>
        <v>2</v>
      </c>
      <c r="BP80" s="6" t="e">
        <f t="shared" ca="1" si="83"/>
        <v>#VALUE!</v>
      </c>
      <c r="BQ80" s="13" t="e">
        <f t="shared" ca="1" si="84"/>
        <v>#VALUE!</v>
      </c>
      <c r="BR80" s="10" t="e">
        <f t="shared" ca="1" si="67"/>
        <v>#VALUE!</v>
      </c>
      <c r="BS80" s="10" t="e">
        <f t="shared" ca="1" si="68"/>
        <v>#VALUE!</v>
      </c>
      <c r="BT80" s="10" t="e">
        <f t="shared" ca="1" si="85"/>
        <v>#VALUE!</v>
      </c>
      <c r="BU80" s="10" t="e">
        <f>#REF!</f>
        <v>#REF!</v>
      </c>
      <c r="BV80" s="10" t="e">
        <f t="shared" ca="1" si="86"/>
        <v>#VALUE!</v>
      </c>
      <c r="BW80" s="10" t="e">
        <f t="shared" ca="1" si="87"/>
        <v>#VALUE!</v>
      </c>
      <c r="BX80" s="10" t="e">
        <f t="shared" ca="1" si="88"/>
        <v>#VALUE!</v>
      </c>
      <c r="BY80" s="10" t="e">
        <f t="shared" ca="1" si="89"/>
        <v>#VALUE!</v>
      </c>
      <c r="BZ80" s="10" t="e">
        <f t="shared" si="90"/>
        <v>#REF!</v>
      </c>
      <c r="CA80" s="10" t="e">
        <f t="shared" si="91"/>
        <v>#REF!</v>
      </c>
      <c r="CB80" s="10" t="e">
        <f t="shared" si="92"/>
        <v>#REF!</v>
      </c>
      <c r="CC80" s="10" t="e">
        <f t="shared" si="93"/>
        <v>#REF!</v>
      </c>
      <c r="CD80" s="14" t="e">
        <f t="shared" ca="1" si="94"/>
        <v>#VALUE!</v>
      </c>
      <c r="CE80" s="15" t="e">
        <f ca="1">IF(CD80&gt;=#REF!/100,"Yes","No")</f>
        <v>#VALUE!</v>
      </c>
      <c r="CF80" s="6">
        <f t="shared" si="69"/>
        <v>4</v>
      </c>
      <c r="CG80" s="6" t="e">
        <f t="shared" ca="1" si="95"/>
        <v>#VALUE!</v>
      </c>
      <c r="CH80" s="13" t="e">
        <f t="shared" ca="1" si="96"/>
        <v>#VALUE!</v>
      </c>
      <c r="CI80" s="10" t="e">
        <f t="shared" ca="1" si="70"/>
        <v>#VALUE!</v>
      </c>
      <c r="CJ80" s="10" t="e">
        <f t="shared" ca="1" si="71"/>
        <v>#VALUE!</v>
      </c>
      <c r="CK80" s="10" t="e">
        <f t="shared" ca="1" si="97"/>
        <v>#VALUE!</v>
      </c>
      <c r="CL80" s="10" t="e">
        <f>#REF!</f>
        <v>#REF!</v>
      </c>
      <c r="CM80" s="10" t="e">
        <f t="shared" ca="1" si="98"/>
        <v>#VALUE!</v>
      </c>
      <c r="CN80" s="10" t="e">
        <f t="shared" ca="1" si="99"/>
        <v>#VALUE!</v>
      </c>
      <c r="CO80" s="10" t="e">
        <f t="shared" ca="1" si="100"/>
        <v>#VALUE!</v>
      </c>
      <c r="CP80" s="10" t="e">
        <f t="shared" ca="1" si="101"/>
        <v>#VALUE!</v>
      </c>
      <c r="CQ80" s="10" t="e">
        <f t="shared" si="102"/>
        <v>#REF!</v>
      </c>
      <c r="CR80" s="10" t="e">
        <f t="shared" si="103"/>
        <v>#REF!</v>
      </c>
      <c r="CS80" s="10" t="e">
        <f t="shared" si="104"/>
        <v>#REF!</v>
      </c>
      <c r="CT80" s="10" t="e">
        <f t="shared" si="105"/>
        <v>#REF!</v>
      </c>
      <c r="CU80" s="14" t="e">
        <f t="shared" ca="1" si="106"/>
        <v>#VALUE!</v>
      </c>
      <c r="CV80" s="15" t="e">
        <f ca="1">IF(CU80&gt;=#REF!/100,"Yes","No")</f>
        <v>#VALUE!</v>
      </c>
    </row>
    <row r="81" spans="1:100" x14ac:dyDescent="0.25">
      <c r="A81" t="s">
        <v>172</v>
      </c>
      <c r="B81" t="s">
        <v>103</v>
      </c>
      <c r="C81">
        <v>115204065</v>
      </c>
      <c r="D81" t="str">
        <f t="shared" si="61"/>
        <v>Çıtır, Tolga-115204065</v>
      </c>
      <c r="E81" s="22">
        <v>5</v>
      </c>
      <c r="F81" s="22">
        <v>2</v>
      </c>
      <c r="G81" s="22">
        <v>10</v>
      </c>
      <c r="H81" s="22">
        <v>4561287</v>
      </c>
      <c r="I81" s="22">
        <v>6093596</v>
      </c>
      <c r="J81" s="22">
        <v>7629777</v>
      </c>
      <c r="K81" s="22">
        <v>7605338</v>
      </c>
      <c r="L81" s="22">
        <v>100000</v>
      </c>
      <c r="M81" s="22">
        <v>108400</v>
      </c>
      <c r="N81" s="22">
        <v>118300</v>
      </c>
      <c r="O81" s="22">
        <v>127500</v>
      </c>
      <c r="P81" s="22">
        <v>118300</v>
      </c>
      <c r="Q81" s="22">
        <v>127500</v>
      </c>
      <c r="R81" s="22">
        <v>108400</v>
      </c>
      <c r="S81" s="22">
        <v>100000</v>
      </c>
      <c r="T81" s="24">
        <v>29000</v>
      </c>
      <c r="U81" s="22">
        <v>26977</v>
      </c>
      <c r="V81" s="22">
        <v>24777</v>
      </c>
      <c r="W81" s="22">
        <v>22477</v>
      </c>
      <c r="X81" s="22">
        <v>24777</v>
      </c>
      <c r="Y81" s="22">
        <v>22477</v>
      </c>
      <c r="Z81" s="22">
        <v>26977</v>
      </c>
      <c r="AA81" s="22">
        <v>29077</v>
      </c>
      <c r="AB81" s="24">
        <v>115000</v>
      </c>
      <c r="AC81" s="24">
        <v>118000</v>
      </c>
      <c r="AD81" s="24">
        <v>118000</v>
      </c>
      <c r="AE81" s="24">
        <v>115000</v>
      </c>
      <c r="AF81" s="24">
        <v>112500</v>
      </c>
      <c r="AG81" s="24">
        <v>114000</v>
      </c>
      <c r="AH81" s="24">
        <v>116500</v>
      </c>
      <c r="AI81" s="24">
        <v>113000</v>
      </c>
      <c r="AJ81" s="25">
        <v>3.1</v>
      </c>
      <c r="AK81" s="25">
        <v>9.1</v>
      </c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8">
        <f t="shared" si="62"/>
        <v>3</v>
      </c>
      <c r="AY81" s="8">
        <f t="shared" si="63"/>
        <v>1</v>
      </c>
      <c r="AZ81" s="16" t="str">
        <f t="shared" si="72"/>
        <v>∆(3-1)</v>
      </c>
      <c r="BA81" s="17">
        <f t="shared" ca="1" si="64"/>
        <v>-9500</v>
      </c>
      <c r="BB81" s="17">
        <f t="shared" ca="1" si="65"/>
        <v>2400</v>
      </c>
      <c r="BC81" s="17">
        <f t="shared" ca="1" si="73"/>
        <v>1900</v>
      </c>
      <c r="BD81" s="17" t="e">
        <f>#REF!</f>
        <v>#REF!</v>
      </c>
      <c r="BE81" s="17">
        <f t="shared" ca="1" si="74"/>
        <v>-9500</v>
      </c>
      <c r="BF81" s="17">
        <f t="shared" ca="1" si="75"/>
        <v>2400</v>
      </c>
      <c r="BG81" s="17">
        <f t="shared" ca="1" si="76"/>
        <v>2400</v>
      </c>
      <c r="BH81" s="17">
        <f t="shared" ca="1" si="77"/>
        <v>2400</v>
      </c>
      <c r="BI81" s="17" t="e">
        <f t="shared" si="78"/>
        <v>#REF!</v>
      </c>
      <c r="BJ81" s="17" t="e">
        <f t="shared" si="79"/>
        <v>#REF!</v>
      </c>
      <c r="BK81" s="17" t="e">
        <f t="shared" si="80"/>
        <v>#REF!</v>
      </c>
      <c r="BL81" s="17" t="e">
        <f t="shared" si="81"/>
        <v>#REF!</v>
      </c>
      <c r="BM81" s="18" t="e">
        <f t="shared" ca="1" si="82"/>
        <v>#VALUE!</v>
      </c>
      <c r="BN81" s="19" t="e">
        <f ca="1">IF(BM81&gt;=#REF!/100,"Yes","No")</f>
        <v>#VALUE!</v>
      </c>
      <c r="BO81" s="20">
        <f t="shared" si="66"/>
        <v>2</v>
      </c>
      <c r="BP81" s="20" t="e">
        <f t="shared" ca="1" si="83"/>
        <v>#VALUE!</v>
      </c>
      <c r="BQ81" s="16" t="e">
        <f t="shared" ca="1" si="84"/>
        <v>#VALUE!</v>
      </c>
      <c r="BR81" s="17" t="e">
        <f t="shared" ca="1" si="67"/>
        <v>#VALUE!</v>
      </c>
      <c r="BS81" s="17" t="e">
        <f t="shared" ca="1" si="68"/>
        <v>#VALUE!</v>
      </c>
      <c r="BT81" s="17" t="e">
        <f t="shared" ca="1" si="85"/>
        <v>#VALUE!</v>
      </c>
      <c r="BU81" s="17" t="e">
        <f>#REF!</f>
        <v>#REF!</v>
      </c>
      <c r="BV81" s="17" t="e">
        <f t="shared" ca="1" si="86"/>
        <v>#VALUE!</v>
      </c>
      <c r="BW81" s="17" t="e">
        <f t="shared" ca="1" si="87"/>
        <v>#VALUE!</v>
      </c>
      <c r="BX81" s="17" t="e">
        <f t="shared" ca="1" si="88"/>
        <v>#VALUE!</v>
      </c>
      <c r="BY81" s="17" t="e">
        <f t="shared" ca="1" si="89"/>
        <v>#VALUE!</v>
      </c>
      <c r="BZ81" s="17" t="e">
        <f t="shared" si="90"/>
        <v>#REF!</v>
      </c>
      <c r="CA81" s="17" t="e">
        <f t="shared" si="91"/>
        <v>#REF!</v>
      </c>
      <c r="CB81" s="17" t="e">
        <f t="shared" si="92"/>
        <v>#REF!</v>
      </c>
      <c r="CC81" s="17" t="e">
        <f t="shared" si="93"/>
        <v>#REF!</v>
      </c>
      <c r="CD81" s="18" t="e">
        <f t="shared" ca="1" si="94"/>
        <v>#VALUE!</v>
      </c>
      <c r="CE81" s="19" t="e">
        <f ca="1">IF(CD81&gt;=#REF!/100,"Yes","No")</f>
        <v>#VALUE!</v>
      </c>
      <c r="CF81" s="20">
        <f t="shared" si="69"/>
        <v>4</v>
      </c>
      <c r="CG81" s="20" t="e">
        <f t="shared" ca="1" si="95"/>
        <v>#VALUE!</v>
      </c>
      <c r="CH81" s="16" t="e">
        <f t="shared" ca="1" si="96"/>
        <v>#VALUE!</v>
      </c>
      <c r="CI81" s="17" t="e">
        <f t="shared" ca="1" si="70"/>
        <v>#VALUE!</v>
      </c>
      <c r="CJ81" s="17" t="e">
        <f t="shared" ca="1" si="71"/>
        <v>#VALUE!</v>
      </c>
      <c r="CK81" s="17" t="e">
        <f t="shared" ca="1" si="97"/>
        <v>#VALUE!</v>
      </c>
      <c r="CL81" s="17" t="e">
        <f>#REF!</f>
        <v>#REF!</v>
      </c>
      <c r="CM81" s="17" t="e">
        <f t="shared" ca="1" si="98"/>
        <v>#VALUE!</v>
      </c>
      <c r="CN81" s="17" t="e">
        <f t="shared" ca="1" si="99"/>
        <v>#VALUE!</v>
      </c>
      <c r="CO81" s="17" t="e">
        <f t="shared" ca="1" si="100"/>
        <v>#VALUE!</v>
      </c>
      <c r="CP81" s="17" t="e">
        <f t="shared" ca="1" si="101"/>
        <v>#VALUE!</v>
      </c>
      <c r="CQ81" s="17" t="e">
        <f t="shared" si="102"/>
        <v>#REF!</v>
      </c>
      <c r="CR81" s="17" t="e">
        <f t="shared" si="103"/>
        <v>#REF!</v>
      </c>
      <c r="CS81" s="17" t="e">
        <f t="shared" si="104"/>
        <v>#REF!</v>
      </c>
      <c r="CT81" s="17" t="e">
        <f t="shared" si="105"/>
        <v>#REF!</v>
      </c>
      <c r="CU81" s="18" t="e">
        <f t="shared" ca="1" si="106"/>
        <v>#VALUE!</v>
      </c>
      <c r="CV81" s="19" t="e">
        <f ca="1">IF(CU81&gt;=#REF!/100,"Yes","No")</f>
        <v>#VALUE!</v>
      </c>
    </row>
    <row r="82" spans="1:100" x14ac:dyDescent="0.25">
      <c r="A82" t="s">
        <v>173</v>
      </c>
      <c r="B82" t="s">
        <v>174</v>
      </c>
      <c r="C82">
        <v>115203029</v>
      </c>
      <c r="D82" t="str">
        <f t="shared" si="61"/>
        <v>Çoban, Tutku-115203029</v>
      </c>
      <c r="E82" s="22">
        <v>4</v>
      </c>
      <c r="F82" s="22">
        <v>2</v>
      </c>
      <c r="G82" s="22">
        <v>10</v>
      </c>
      <c r="H82" s="22">
        <v>7171262</v>
      </c>
      <c r="I82" s="22">
        <v>9280868</v>
      </c>
      <c r="J82" s="22">
        <v>1305018</v>
      </c>
      <c r="K82" s="22">
        <v>8520663</v>
      </c>
      <c r="L82" s="22">
        <v>100000</v>
      </c>
      <c r="M82" s="22">
        <v>109900</v>
      </c>
      <c r="N82" s="22">
        <v>119400</v>
      </c>
      <c r="O82" s="22">
        <v>127800</v>
      </c>
      <c r="P82" s="22">
        <v>109900</v>
      </c>
      <c r="Q82" s="22">
        <v>127800</v>
      </c>
      <c r="R82" s="22">
        <v>100000</v>
      </c>
      <c r="S82" s="22">
        <v>119400</v>
      </c>
      <c r="T82" s="24">
        <v>24000</v>
      </c>
      <c r="U82" s="22">
        <v>27078</v>
      </c>
      <c r="V82" s="22">
        <v>24778</v>
      </c>
      <c r="W82" s="22">
        <v>22478</v>
      </c>
      <c r="X82" s="22">
        <v>27078</v>
      </c>
      <c r="Y82" s="22">
        <v>22478</v>
      </c>
      <c r="Z82" s="22">
        <v>29078</v>
      </c>
      <c r="AA82" s="22">
        <v>24778</v>
      </c>
      <c r="AB82" s="24">
        <v>100000</v>
      </c>
      <c r="AC82" s="24">
        <v>102000</v>
      </c>
      <c r="AD82" s="24">
        <v>102000</v>
      </c>
      <c r="AE82" s="24">
        <v>104000</v>
      </c>
      <c r="AF82" s="24">
        <v>98500</v>
      </c>
      <c r="AG82" s="24">
        <v>99000</v>
      </c>
      <c r="AH82" s="24">
        <v>99000</v>
      </c>
      <c r="AI82" s="24">
        <v>100500</v>
      </c>
      <c r="AJ82" s="25">
        <v>3.4</v>
      </c>
      <c r="AK82" s="25">
        <v>9.1</v>
      </c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8">
        <f t="shared" si="62"/>
        <v>3</v>
      </c>
      <c r="AY82" s="8">
        <f t="shared" si="63"/>
        <v>4</v>
      </c>
      <c r="AZ82" s="13" t="str">
        <f t="shared" si="72"/>
        <v>∆(3-4)</v>
      </c>
      <c r="BA82" s="10">
        <f t="shared" ca="1" si="64"/>
        <v>-8400</v>
      </c>
      <c r="BB82" s="10">
        <f t="shared" ca="1" si="65"/>
        <v>2100</v>
      </c>
      <c r="BC82" s="10">
        <f t="shared" ca="1" si="73"/>
        <v>1680</v>
      </c>
      <c r="BD82" s="10" t="e">
        <f>#REF!</f>
        <v>#REF!</v>
      </c>
      <c r="BE82" s="10">
        <f t="shared" ca="1" si="74"/>
        <v>-8400</v>
      </c>
      <c r="BF82" s="10">
        <f t="shared" ca="1" si="75"/>
        <v>2100</v>
      </c>
      <c r="BG82" s="10">
        <f t="shared" ca="1" si="76"/>
        <v>2100</v>
      </c>
      <c r="BH82" s="10">
        <f t="shared" ca="1" si="77"/>
        <v>2100</v>
      </c>
      <c r="BI82" s="10" t="e">
        <f t="shared" si="78"/>
        <v>#REF!</v>
      </c>
      <c r="BJ82" s="10" t="e">
        <f t="shared" si="79"/>
        <v>#REF!</v>
      </c>
      <c r="BK82" s="10" t="e">
        <f t="shared" si="80"/>
        <v>#REF!</v>
      </c>
      <c r="BL82" s="10" t="e">
        <f t="shared" si="81"/>
        <v>#REF!</v>
      </c>
      <c r="BM82" s="14" t="e">
        <f t="shared" ca="1" si="82"/>
        <v>#VALUE!</v>
      </c>
      <c r="BN82" s="15" t="e">
        <f ca="1">IF(BM82&gt;=#REF!/100,"Yes","No")</f>
        <v>#VALUE!</v>
      </c>
      <c r="BO82" s="6">
        <f t="shared" si="66"/>
        <v>1</v>
      </c>
      <c r="BP82" s="6" t="e">
        <f t="shared" ca="1" si="83"/>
        <v>#VALUE!</v>
      </c>
      <c r="BQ82" s="13" t="e">
        <f t="shared" ca="1" si="84"/>
        <v>#VALUE!</v>
      </c>
      <c r="BR82" s="10" t="e">
        <f t="shared" ca="1" si="67"/>
        <v>#VALUE!</v>
      </c>
      <c r="BS82" s="10" t="e">
        <f t="shared" ca="1" si="68"/>
        <v>#VALUE!</v>
      </c>
      <c r="BT82" s="10" t="e">
        <f t="shared" ca="1" si="85"/>
        <v>#VALUE!</v>
      </c>
      <c r="BU82" s="10" t="e">
        <f>#REF!</f>
        <v>#REF!</v>
      </c>
      <c r="BV82" s="10" t="e">
        <f t="shared" ca="1" si="86"/>
        <v>#VALUE!</v>
      </c>
      <c r="BW82" s="10" t="e">
        <f t="shared" ca="1" si="87"/>
        <v>#VALUE!</v>
      </c>
      <c r="BX82" s="10" t="e">
        <f t="shared" ca="1" si="88"/>
        <v>#VALUE!</v>
      </c>
      <c r="BY82" s="10" t="e">
        <f t="shared" ca="1" si="89"/>
        <v>#VALUE!</v>
      </c>
      <c r="BZ82" s="10" t="e">
        <f t="shared" si="90"/>
        <v>#REF!</v>
      </c>
      <c r="CA82" s="10" t="e">
        <f t="shared" si="91"/>
        <v>#REF!</v>
      </c>
      <c r="CB82" s="10" t="e">
        <f t="shared" si="92"/>
        <v>#REF!</v>
      </c>
      <c r="CC82" s="10" t="e">
        <f t="shared" si="93"/>
        <v>#REF!</v>
      </c>
      <c r="CD82" s="14" t="e">
        <f t="shared" ca="1" si="94"/>
        <v>#VALUE!</v>
      </c>
      <c r="CE82" s="15" t="e">
        <f ca="1">IF(CD82&gt;=#REF!/100,"Yes","No")</f>
        <v>#VALUE!</v>
      </c>
      <c r="CF82" s="6">
        <f t="shared" si="69"/>
        <v>2</v>
      </c>
      <c r="CG82" s="6" t="e">
        <f t="shared" ca="1" si="95"/>
        <v>#VALUE!</v>
      </c>
      <c r="CH82" s="13" t="e">
        <f t="shared" ca="1" si="96"/>
        <v>#VALUE!</v>
      </c>
      <c r="CI82" s="10" t="e">
        <f t="shared" ca="1" si="70"/>
        <v>#VALUE!</v>
      </c>
      <c r="CJ82" s="10" t="e">
        <f t="shared" ca="1" si="71"/>
        <v>#VALUE!</v>
      </c>
      <c r="CK82" s="10" t="e">
        <f t="shared" ca="1" si="97"/>
        <v>#VALUE!</v>
      </c>
      <c r="CL82" s="10" t="e">
        <f>#REF!</f>
        <v>#REF!</v>
      </c>
      <c r="CM82" s="10" t="e">
        <f t="shared" ca="1" si="98"/>
        <v>#VALUE!</v>
      </c>
      <c r="CN82" s="10" t="e">
        <f t="shared" ca="1" si="99"/>
        <v>#VALUE!</v>
      </c>
      <c r="CO82" s="10" t="e">
        <f t="shared" ca="1" si="100"/>
        <v>#VALUE!</v>
      </c>
      <c r="CP82" s="10" t="e">
        <f t="shared" ca="1" si="101"/>
        <v>#VALUE!</v>
      </c>
      <c r="CQ82" s="10" t="e">
        <f t="shared" si="102"/>
        <v>#REF!</v>
      </c>
      <c r="CR82" s="10" t="e">
        <f t="shared" si="103"/>
        <v>#REF!</v>
      </c>
      <c r="CS82" s="10" t="e">
        <f t="shared" si="104"/>
        <v>#REF!</v>
      </c>
      <c r="CT82" s="10" t="e">
        <f t="shared" si="105"/>
        <v>#REF!</v>
      </c>
      <c r="CU82" s="14" t="e">
        <f t="shared" ca="1" si="106"/>
        <v>#VALUE!</v>
      </c>
      <c r="CV82" s="15" t="e">
        <f ca="1">IF(CU82&gt;=#REF!/100,"Yes","No")</f>
        <v>#VALUE!</v>
      </c>
    </row>
    <row r="83" spans="1:100" x14ac:dyDescent="0.25">
      <c r="A83" t="s">
        <v>175</v>
      </c>
      <c r="B83" t="s">
        <v>176</v>
      </c>
      <c r="C83">
        <v>116205108</v>
      </c>
      <c r="D83" t="str">
        <f t="shared" si="61"/>
        <v>Coşgun, Metin-116205108</v>
      </c>
      <c r="E83" s="22">
        <v>5</v>
      </c>
      <c r="F83" s="22">
        <v>3</v>
      </c>
      <c r="G83" s="22">
        <v>15</v>
      </c>
      <c r="H83" s="22">
        <v>6232608</v>
      </c>
      <c r="I83" s="22">
        <v>3066954</v>
      </c>
      <c r="J83" s="22">
        <v>8692399</v>
      </c>
      <c r="K83" s="22">
        <v>1301019</v>
      </c>
      <c r="L83" s="22">
        <v>100000</v>
      </c>
      <c r="M83" s="22">
        <v>109500</v>
      </c>
      <c r="N83" s="22">
        <v>118200</v>
      </c>
      <c r="O83" s="22">
        <v>128200</v>
      </c>
      <c r="P83" s="22">
        <v>118200</v>
      </c>
      <c r="Q83" s="22">
        <v>100000</v>
      </c>
      <c r="R83" s="22">
        <v>109500</v>
      </c>
      <c r="S83" s="22">
        <v>128200</v>
      </c>
      <c r="T83" s="24">
        <v>25000</v>
      </c>
      <c r="U83" s="22">
        <v>26679</v>
      </c>
      <c r="V83" s="22">
        <v>24679</v>
      </c>
      <c r="W83" s="22">
        <v>22179</v>
      </c>
      <c r="X83" s="22">
        <v>24679</v>
      </c>
      <c r="Y83" s="22">
        <v>29079</v>
      </c>
      <c r="Z83" s="22">
        <v>26679</v>
      </c>
      <c r="AA83" s="22">
        <v>22179</v>
      </c>
      <c r="AB83" s="24">
        <v>113000</v>
      </c>
      <c r="AC83" s="24">
        <v>112000</v>
      </c>
      <c r="AD83" s="24">
        <v>112000</v>
      </c>
      <c r="AE83" s="24">
        <v>112000</v>
      </c>
      <c r="AF83" s="24">
        <v>109500</v>
      </c>
      <c r="AG83" s="24">
        <v>109000</v>
      </c>
      <c r="AH83" s="24">
        <v>109500</v>
      </c>
      <c r="AI83" s="24">
        <v>108500</v>
      </c>
      <c r="AJ83" s="25">
        <v>4.5999999999999996</v>
      </c>
      <c r="AK83" s="25">
        <v>9.6999999999999993</v>
      </c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8">
        <f t="shared" si="62"/>
        <v>1</v>
      </c>
      <c r="AY83" s="8">
        <f t="shared" si="63"/>
        <v>3</v>
      </c>
      <c r="AZ83" s="16" t="str">
        <f t="shared" si="72"/>
        <v>∆(1-3)</v>
      </c>
      <c r="BA83" s="17">
        <f t="shared" ca="1" si="64"/>
        <v>-9900</v>
      </c>
      <c r="BB83" s="17">
        <f t="shared" ca="1" si="65"/>
        <v>2000</v>
      </c>
      <c r="BC83" s="17">
        <f t="shared" ca="1" si="73"/>
        <v>1980</v>
      </c>
      <c r="BD83" s="17" t="e">
        <f>#REF!</f>
        <v>#REF!</v>
      </c>
      <c r="BE83" s="17">
        <f t="shared" ca="1" si="74"/>
        <v>-9900</v>
      </c>
      <c r="BF83" s="17">
        <f t="shared" ca="1" si="75"/>
        <v>2000</v>
      </c>
      <c r="BG83" s="17">
        <f t="shared" ca="1" si="76"/>
        <v>2000</v>
      </c>
      <c r="BH83" s="17">
        <f t="shared" ca="1" si="77"/>
        <v>2000</v>
      </c>
      <c r="BI83" s="17" t="e">
        <f t="shared" si="78"/>
        <v>#REF!</v>
      </c>
      <c r="BJ83" s="17" t="e">
        <f t="shared" si="79"/>
        <v>#REF!</v>
      </c>
      <c r="BK83" s="17" t="e">
        <f t="shared" si="80"/>
        <v>#REF!</v>
      </c>
      <c r="BL83" s="17" t="e">
        <f t="shared" si="81"/>
        <v>#REF!</v>
      </c>
      <c r="BM83" s="18" t="e">
        <f t="shared" ca="1" si="82"/>
        <v>#VALUE!</v>
      </c>
      <c r="BN83" s="19" t="e">
        <f ca="1">IF(BM83&gt;=#REF!/100,"Yes","No")</f>
        <v>#VALUE!</v>
      </c>
      <c r="BO83" s="20">
        <f t="shared" si="66"/>
        <v>4</v>
      </c>
      <c r="BP83" s="20" t="e">
        <f t="shared" ca="1" si="83"/>
        <v>#VALUE!</v>
      </c>
      <c r="BQ83" s="16" t="e">
        <f t="shared" ca="1" si="84"/>
        <v>#VALUE!</v>
      </c>
      <c r="BR83" s="17" t="e">
        <f t="shared" ca="1" si="67"/>
        <v>#VALUE!</v>
      </c>
      <c r="BS83" s="17" t="e">
        <f t="shared" ca="1" si="68"/>
        <v>#VALUE!</v>
      </c>
      <c r="BT83" s="17" t="e">
        <f t="shared" ca="1" si="85"/>
        <v>#VALUE!</v>
      </c>
      <c r="BU83" s="17" t="e">
        <f>#REF!</f>
        <v>#REF!</v>
      </c>
      <c r="BV83" s="17" t="e">
        <f t="shared" ca="1" si="86"/>
        <v>#VALUE!</v>
      </c>
      <c r="BW83" s="17" t="e">
        <f t="shared" ca="1" si="87"/>
        <v>#VALUE!</v>
      </c>
      <c r="BX83" s="17" t="e">
        <f t="shared" ca="1" si="88"/>
        <v>#VALUE!</v>
      </c>
      <c r="BY83" s="17" t="e">
        <f t="shared" ca="1" si="89"/>
        <v>#VALUE!</v>
      </c>
      <c r="BZ83" s="17" t="e">
        <f t="shared" si="90"/>
        <v>#REF!</v>
      </c>
      <c r="CA83" s="17" t="e">
        <f t="shared" si="91"/>
        <v>#REF!</v>
      </c>
      <c r="CB83" s="17" t="e">
        <f t="shared" si="92"/>
        <v>#REF!</v>
      </c>
      <c r="CC83" s="17" t="e">
        <f t="shared" si="93"/>
        <v>#REF!</v>
      </c>
      <c r="CD83" s="18" t="e">
        <f t="shared" ca="1" si="94"/>
        <v>#VALUE!</v>
      </c>
      <c r="CE83" s="19" t="e">
        <f ca="1">IF(CD83&gt;=#REF!/100,"Yes","No")</f>
        <v>#VALUE!</v>
      </c>
      <c r="CF83" s="20">
        <f t="shared" si="69"/>
        <v>2</v>
      </c>
      <c r="CG83" s="20" t="e">
        <f t="shared" ca="1" si="95"/>
        <v>#VALUE!</v>
      </c>
      <c r="CH83" s="16" t="e">
        <f t="shared" ca="1" si="96"/>
        <v>#VALUE!</v>
      </c>
      <c r="CI83" s="17" t="e">
        <f t="shared" ca="1" si="70"/>
        <v>#VALUE!</v>
      </c>
      <c r="CJ83" s="17" t="e">
        <f t="shared" ca="1" si="71"/>
        <v>#VALUE!</v>
      </c>
      <c r="CK83" s="17" t="e">
        <f t="shared" ca="1" si="97"/>
        <v>#VALUE!</v>
      </c>
      <c r="CL83" s="17" t="e">
        <f>#REF!</f>
        <v>#REF!</v>
      </c>
      <c r="CM83" s="17" t="e">
        <f t="shared" ca="1" si="98"/>
        <v>#VALUE!</v>
      </c>
      <c r="CN83" s="17" t="e">
        <f t="shared" ca="1" si="99"/>
        <v>#VALUE!</v>
      </c>
      <c r="CO83" s="17" t="e">
        <f t="shared" ca="1" si="100"/>
        <v>#VALUE!</v>
      </c>
      <c r="CP83" s="17" t="e">
        <f t="shared" ca="1" si="101"/>
        <v>#VALUE!</v>
      </c>
      <c r="CQ83" s="17" t="e">
        <f t="shared" si="102"/>
        <v>#REF!</v>
      </c>
      <c r="CR83" s="17" t="e">
        <f t="shared" si="103"/>
        <v>#REF!</v>
      </c>
      <c r="CS83" s="17" t="e">
        <f t="shared" si="104"/>
        <v>#REF!</v>
      </c>
      <c r="CT83" s="17" t="e">
        <f t="shared" si="105"/>
        <v>#REF!</v>
      </c>
      <c r="CU83" s="18" t="e">
        <f t="shared" ca="1" si="106"/>
        <v>#VALUE!</v>
      </c>
      <c r="CV83" s="19" t="e">
        <f ca="1">IF(CU83&gt;=#REF!/100,"Yes","No")</f>
        <v>#VALUE!</v>
      </c>
    </row>
    <row r="84" spans="1:100" x14ac:dyDescent="0.25">
      <c r="A84" t="s">
        <v>177</v>
      </c>
      <c r="B84" t="s">
        <v>178</v>
      </c>
      <c r="C84">
        <v>115203035</v>
      </c>
      <c r="D84" t="str">
        <f t="shared" si="61"/>
        <v>Coşkun, Abdullah Berhan-115203035</v>
      </c>
      <c r="E84" s="22">
        <v>6</v>
      </c>
      <c r="F84" s="22">
        <v>2</v>
      </c>
      <c r="G84" s="22">
        <v>10</v>
      </c>
      <c r="H84" s="22">
        <v>564784</v>
      </c>
      <c r="I84" s="22">
        <v>2163236</v>
      </c>
      <c r="J84" s="22">
        <v>7315527</v>
      </c>
      <c r="K84" s="22">
        <v>8774841</v>
      </c>
      <c r="L84" s="22">
        <v>100000</v>
      </c>
      <c r="M84" s="22">
        <v>109900</v>
      </c>
      <c r="N84" s="22">
        <v>119900</v>
      </c>
      <c r="O84" s="22">
        <v>129900</v>
      </c>
      <c r="P84" s="22">
        <v>129900</v>
      </c>
      <c r="Q84" s="22">
        <v>119900</v>
      </c>
      <c r="R84" s="22">
        <v>109900</v>
      </c>
      <c r="S84" s="22">
        <v>100000</v>
      </c>
      <c r="T84" s="24">
        <v>25000</v>
      </c>
      <c r="U84" s="22">
        <v>26780</v>
      </c>
      <c r="V84" s="22">
        <v>24780</v>
      </c>
      <c r="W84" s="22">
        <v>22380</v>
      </c>
      <c r="X84" s="22">
        <v>22380</v>
      </c>
      <c r="Y84" s="22">
        <v>24780</v>
      </c>
      <c r="Z84" s="22">
        <v>26780</v>
      </c>
      <c r="AA84" s="22">
        <v>29080</v>
      </c>
      <c r="AB84" s="24">
        <v>98000</v>
      </c>
      <c r="AC84" s="24">
        <v>99000</v>
      </c>
      <c r="AD84" s="24">
        <v>101000</v>
      </c>
      <c r="AE84" s="24">
        <v>104000</v>
      </c>
      <c r="AF84" s="24">
        <v>96500</v>
      </c>
      <c r="AG84" s="24">
        <v>96000</v>
      </c>
      <c r="AH84" s="24">
        <v>98000</v>
      </c>
      <c r="AI84" s="24">
        <v>101500</v>
      </c>
      <c r="AJ84" s="25">
        <v>5</v>
      </c>
      <c r="AK84" s="25">
        <v>8.9</v>
      </c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8">
        <f t="shared" si="62"/>
        <v>3</v>
      </c>
      <c r="AY84" s="8">
        <f t="shared" si="63"/>
        <v>2</v>
      </c>
      <c r="AZ84" s="13" t="str">
        <f t="shared" si="72"/>
        <v>∆(3-2)</v>
      </c>
      <c r="BA84" s="10">
        <f t="shared" ca="1" si="64"/>
        <v>-9500</v>
      </c>
      <c r="BB84" s="10">
        <f t="shared" ca="1" si="65"/>
        <v>2400</v>
      </c>
      <c r="BC84" s="10">
        <f t="shared" ca="1" si="73"/>
        <v>1900</v>
      </c>
      <c r="BD84" s="10" t="e">
        <f>#REF!</f>
        <v>#REF!</v>
      </c>
      <c r="BE84" s="10">
        <f t="shared" ca="1" si="74"/>
        <v>-9500</v>
      </c>
      <c r="BF84" s="10">
        <f t="shared" ca="1" si="75"/>
        <v>2400</v>
      </c>
      <c r="BG84" s="10">
        <f t="shared" ca="1" si="76"/>
        <v>2400</v>
      </c>
      <c r="BH84" s="10">
        <f t="shared" ca="1" si="77"/>
        <v>2400</v>
      </c>
      <c r="BI84" s="10" t="e">
        <f t="shared" si="78"/>
        <v>#REF!</v>
      </c>
      <c r="BJ84" s="10" t="e">
        <f t="shared" si="79"/>
        <v>#REF!</v>
      </c>
      <c r="BK84" s="10" t="e">
        <f t="shared" si="80"/>
        <v>#REF!</v>
      </c>
      <c r="BL84" s="10" t="e">
        <f t="shared" si="81"/>
        <v>#REF!</v>
      </c>
      <c r="BM84" s="14" t="e">
        <f t="shared" ca="1" si="82"/>
        <v>#VALUE!</v>
      </c>
      <c r="BN84" s="15" t="e">
        <f ca="1">IF(BM84&gt;=#REF!/100,"Yes","No")</f>
        <v>#VALUE!</v>
      </c>
      <c r="BO84" s="6">
        <f t="shared" si="66"/>
        <v>1</v>
      </c>
      <c r="BP84" s="6" t="e">
        <f t="shared" ca="1" si="83"/>
        <v>#VALUE!</v>
      </c>
      <c r="BQ84" s="13" t="e">
        <f t="shared" ca="1" si="84"/>
        <v>#VALUE!</v>
      </c>
      <c r="BR84" s="10" t="e">
        <f t="shared" ca="1" si="67"/>
        <v>#VALUE!</v>
      </c>
      <c r="BS84" s="10" t="e">
        <f t="shared" ca="1" si="68"/>
        <v>#VALUE!</v>
      </c>
      <c r="BT84" s="10" t="e">
        <f t="shared" ca="1" si="85"/>
        <v>#VALUE!</v>
      </c>
      <c r="BU84" s="10" t="e">
        <f>#REF!</f>
        <v>#REF!</v>
      </c>
      <c r="BV84" s="10" t="e">
        <f t="shared" ca="1" si="86"/>
        <v>#VALUE!</v>
      </c>
      <c r="BW84" s="10" t="e">
        <f t="shared" ca="1" si="87"/>
        <v>#VALUE!</v>
      </c>
      <c r="BX84" s="10" t="e">
        <f t="shared" ca="1" si="88"/>
        <v>#VALUE!</v>
      </c>
      <c r="BY84" s="10" t="e">
        <f t="shared" ca="1" si="89"/>
        <v>#VALUE!</v>
      </c>
      <c r="BZ84" s="10" t="e">
        <f t="shared" si="90"/>
        <v>#REF!</v>
      </c>
      <c r="CA84" s="10" t="e">
        <f t="shared" si="91"/>
        <v>#REF!</v>
      </c>
      <c r="CB84" s="10" t="e">
        <f t="shared" si="92"/>
        <v>#REF!</v>
      </c>
      <c r="CC84" s="10" t="e">
        <f t="shared" si="93"/>
        <v>#REF!</v>
      </c>
      <c r="CD84" s="14" t="e">
        <f t="shared" ca="1" si="94"/>
        <v>#VALUE!</v>
      </c>
      <c r="CE84" s="15" t="e">
        <f ca="1">IF(CD84&gt;=#REF!/100,"Yes","No")</f>
        <v>#VALUE!</v>
      </c>
      <c r="CF84" s="6">
        <f t="shared" si="69"/>
        <v>4</v>
      </c>
      <c r="CG84" s="6" t="e">
        <f t="shared" ca="1" si="95"/>
        <v>#VALUE!</v>
      </c>
      <c r="CH84" s="13" t="e">
        <f t="shared" ca="1" si="96"/>
        <v>#VALUE!</v>
      </c>
      <c r="CI84" s="10" t="e">
        <f t="shared" ca="1" si="70"/>
        <v>#VALUE!</v>
      </c>
      <c r="CJ84" s="10" t="e">
        <f t="shared" ca="1" si="71"/>
        <v>#VALUE!</v>
      </c>
      <c r="CK84" s="10" t="e">
        <f t="shared" ca="1" si="97"/>
        <v>#VALUE!</v>
      </c>
      <c r="CL84" s="10" t="e">
        <f>#REF!</f>
        <v>#REF!</v>
      </c>
      <c r="CM84" s="10" t="e">
        <f t="shared" ca="1" si="98"/>
        <v>#VALUE!</v>
      </c>
      <c r="CN84" s="10" t="e">
        <f t="shared" ca="1" si="99"/>
        <v>#VALUE!</v>
      </c>
      <c r="CO84" s="10" t="e">
        <f t="shared" ca="1" si="100"/>
        <v>#VALUE!</v>
      </c>
      <c r="CP84" s="10" t="e">
        <f t="shared" ca="1" si="101"/>
        <v>#VALUE!</v>
      </c>
      <c r="CQ84" s="10" t="e">
        <f t="shared" si="102"/>
        <v>#REF!</v>
      </c>
      <c r="CR84" s="10" t="e">
        <f t="shared" si="103"/>
        <v>#REF!</v>
      </c>
      <c r="CS84" s="10" t="e">
        <f t="shared" si="104"/>
        <v>#REF!</v>
      </c>
      <c r="CT84" s="10" t="e">
        <f t="shared" si="105"/>
        <v>#REF!</v>
      </c>
      <c r="CU84" s="14" t="e">
        <f t="shared" ca="1" si="106"/>
        <v>#VALUE!</v>
      </c>
      <c r="CV84" s="15" t="e">
        <f ca="1">IF(CU84&gt;=#REF!/100,"Yes","No")</f>
        <v>#VALUE!</v>
      </c>
    </row>
    <row r="85" spans="1:100" x14ac:dyDescent="0.25">
      <c r="A85" t="s">
        <v>177</v>
      </c>
      <c r="B85" t="s">
        <v>63</v>
      </c>
      <c r="C85">
        <v>115203081</v>
      </c>
      <c r="D85" t="str">
        <f t="shared" si="61"/>
        <v>Coşkun, İrem-115203081</v>
      </c>
      <c r="E85" s="22">
        <v>6</v>
      </c>
      <c r="F85" s="22">
        <v>2</v>
      </c>
      <c r="G85" s="22">
        <v>10</v>
      </c>
      <c r="H85" s="22">
        <v>4940083</v>
      </c>
      <c r="I85" s="22">
        <v>9885445</v>
      </c>
      <c r="J85" s="22">
        <v>6941435</v>
      </c>
      <c r="K85" s="22">
        <v>7382906</v>
      </c>
      <c r="L85" s="22">
        <v>100000</v>
      </c>
      <c r="M85" s="22">
        <v>109400</v>
      </c>
      <c r="N85" s="22">
        <v>119100</v>
      </c>
      <c r="O85" s="22">
        <v>127400</v>
      </c>
      <c r="P85" s="22">
        <v>109400</v>
      </c>
      <c r="Q85" s="22">
        <v>127400</v>
      </c>
      <c r="R85" s="22">
        <v>119100</v>
      </c>
      <c r="S85" s="22">
        <v>100000</v>
      </c>
      <c r="T85" s="24">
        <v>28000</v>
      </c>
      <c r="U85" s="22">
        <v>26681</v>
      </c>
      <c r="V85" s="22">
        <v>24681</v>
      </c>
      <c r="W85" s="22">
        <v>22481</v>
      </c>
      <c r="X85" s="22">
        <v>26681</v>
      </c>
      <c r="Y85" s="22">
        <v>22481</v>
      </c>
      <c r="Z85" s="22">
        <v>24681</v>
      </c>
      <c r="AA85" s="22">
        <v>29081</v>
      </c>
      <c r="AB85" s="24">
        <v>113000</v>
      </c>
      <c r="AC85" s="24">
        <v>111000</v>
      </c>
      <c r="AD85" s="24">
        <v>113000</v>
      </c>
      <c r="AE85" s="24">
        <v>111000</v>
      </c>
      <c r="AF85" s="24">
        <v>110000</v>
      </c>
      <c r="AG85" s="24">
        <v>109000</v>
      </c>
      <c r="AH85" s="24">
        <v>109500</v>
      </c>
      <c r="AI85" s="24">
        <v>107500</v>
      </c>
      <c r="AJ85" s="25">
        <v>3.1</v>
      </c>
      <c r="AK85" s="25">
        <v>7.8</v>
      </c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8">
        <f t="shared" si="62"/>
        <v>3</v>
      </c>
      <c r="AY85" s="8">
        <f t="shared" si="63"/>
        <v>4</v>
      </c>
      <c r="AZ85" s="16" t="str">
        <f t="shared" si="72"/>
        <v>∆(3-4)</v>
      </c>
      <c r="BA85" s="17">
        <f t="shared" ca="1" si="64"/>
        <v>-9900</v>
      </c>
      <c r="BB85" s="17">
        <f t="shared" ca="1" si="65"/>
        <v>2300</v>
      </c>
      <c r="BC85" s="17">
        <f t="shared" ca="1" si="73"/>
        <v>1980</v>
      </c>
      <c r="BD85" s="17" t="e">
        <f>#REF!</f>
        <v>#REF!</v>
      </c>
      <c r="BE85" s="17">
        <f t="shared" ca="1" si="74"/>
        <v>-9900</v>
      </c>
      <c r="BF85" s="17">
        <f t="shared" ca="1" si="75"/>
        <v>2300</v>
      </c>
      <c r="BG85" s="17">
        <f t="shared" ca="1" si="76"/>
        <v>2300</v>
      </c>
      <c r="BH85" s="17">
        <f t="shared" ca="1" si="77"/>
        <v>2300</v>
      </c>
      <c r="BI85" s="17" t="e">
        <f t="shared" si="78"/>
        <v>#REF!</v>
      </c>
      <c r="BJ85" s="17" t="e">
        <f t="shared" si="79"/>
        <v>#REF!</v>
      </c>
      <c r="BK85" s="17" t="e">
        <f t="shared" si="80"/>
        <v>#REF!</v>
      </c>
      <c r="BL85" s="17" t="e">
        <f t="shared" si="81"/>
        <v>#REF!</v>
      </c>
      <c r="BM85" s="18" t="e">
        <f t="shared" ca="1" si="82"/>
        <v>#VALUE!</v>
      </c>
      <c r="BN85" s="19" t="e">
        <f ca="1">IF(BM85&gt;=#REF!/100,"Yes","No")</f>
        <v>#VALUE!</v>
      </c>
      <c r="BO85" s="20">
        <f t="shared" si="66"/>
        <v>2</v>
      </c>
      <c r="BP85" s="20" t="e">
        <f t="shared" ca="1" si="83"/>
        <v>#VALUE!</v>
      </c>
      <c r="BQ85" s="16" t="e">
        <f t="shared" ca="1" si="84"/>
        <v>#VALUE!</v>
      </c>
      <c r="BR85" s="17" t="e">
        <f t="shared" ca="1" si="67"/>
        <v>#VALUE!</v>
      </c>
      <c r="BS85" s="17" t="e">
        <f t="shared" ca="1" si="68"/>
        <v>#VALUE!</v>
      </c>
      <c r="BT85" s="17" t="e">
        <f t="shared" ca="1" si="85"/>
        <v>#VALUE!</v>
      </c>
      <c r="BU85" s="17" t="e">
        <f>#REF!</f>
        <v>#REF!</v>
      </c>
      <c r="BV85" s="17" t="e">
        <f t="shared" ca="1" si="86"/>
        <v>#VALUE!</v>
      </c>
      <c r="BW85" s="17" t="e">
        <f t="shared" ca="1" si="87"/>
        <v>#VALUE!</v>
      </c>
      <c r="BX85" s="17" t="e">
        <f t="shared" ca="1" si="88"/>
        <v>#VALUE!</v>
      </c>
      <c r="BY85" s="17" t="e">
        <f t="shared" ca="1" si="89"/>
        <v>#VALUE!</v>
      </c>
      <c r="BZ85" s="17" t="e">
        <f t="shared" si="90"/>
        <v>#REF!</v>
      </c>
      <c r="CA85" s="17" t="e">
        <f t="shared" si="91"/>
        <v>#REF!</v>
      </c>
      <c r="CB85" s="17" t="e">
        <f t="shared" si="92"/>
        <v>#REF!</v>
      </c>
      <c r="CC85" s="17" t="e">
        <f t="shared" si="93"/>
        <v>#REF!</v>
      </c>
      <c r="CD85" s="18" t="e">
        <f t="shared" ca="1" si="94"/>
        <v>#VALUE!</v>
      </c>
      <c r="CE85" s="19" t="e">
        <f ca="1">IF(CD85&gt;=#REF!/100,"Yes","No")</f>
        <v>#VALUE!</v>
      </c>
      <c r="CF85" s="20">
        <f t="shared" si="69"/>
        <v>1</v>
      </c>
      <c r="CG85" s="20" t="e">
        <f t="shared" ca="1" si="95"/>
        <v>#VALUE!</v>
      </c>
      <c r="CH85" s="16" t="e">
        <f t="shared" ca="1" si="96"/>
        <v>#VALUE!</v>
      </c>
      <c r="CI85" s="17" t="e">
        <f t="shared" ca="1" si="70"/>
        <v>#VALUE!</v>
      </c>
      <c r="CJ85" s="17" t="e">
        <f t="shared" ca="1" si="71"/>
        <v>#VALUE!</v>
      </c>
      <c r="CK85" s="17" t="e">
        <f t="shared" ca="1" si="97"/>
        <v>#VALUE!</v>
      </c>
      <c r="CL85" s="17" t="e">
        <f>#REF!</f>
        <v>#REF!</v>
      </c>
      <c r="CM85" s="17" t="e">
        <f t="shared" ca="1" si="98"/>
        <v>#VALUE!</v>
      </c>
      <c r="CN85" s="17" t="e">
        <f t="shared" ca="1" si="99"/>
        <v>#VALUE!</v>
      </c>
      <c r="CO85" s="17" t="e">
        <f t="shared" ca="1" si="100"/>
        <v>#VALUE!</v>
      </c>
      <c r="CP85" s="17" t="e">
        <f t="shared" ca="1" si="101"/>
        <v>#VALUE!</v>
      </c>
      <c r="CQ85" s="17" t="e">
        <f t="shared" si="102"/>
        <v>#REF!</v>
      </c>
      <c r="CR85" s="17" t="e">
        <f t="shared" si="103"/>
        <v>#REF!</v>
      </c>
      <c r="CS85" s="17" t="e">
        <f t="shared" si="104"/>
        <v>#REF!</v>
      </c>
      <c r="CT85" s="17" t="e">
        <f t="shared" si="105"/>
        <v>#REF!</v>
      </c>
      <c r="CU85" s="18" t="e">
        <f t="shared" ca="1" si="106"/>
        <v>#VALUE!</v>
      </c>
      <c r="CV85" s="19" t="e">
        <f ca="1">IF(CU85&gt;=#REF!/100,"Yes","No")</f>
        <v>#VALUE!</v>
      </c>
    </row>
    <row r="86" spans="1:100" x14ac:dyDescent="0.25">
      <c r="A86" t="s">
        <v>177</v>
      </c>
      <c r="B86" t="s">
        <v>179</v>
      </c>
      <c r="C86">
        <v>116203208</v>
      </c>
      <c r="D86" t="str">
        <f t="shared" si="61"/>
        <v>Coşkun, Özgür-116203208</v>
      </c>
      <c r="E86" s="22">
        <v>4</v>
      </c>
      <c r="F86" s="22">
        <v>3</v>
      </c>
      <c r="G86" s="22">
        <v>15</v>
      </c>
      <c r="H86" s="22">
        <v>6265569</v>
      </c>
      <c r="I86" s="22">
        <v>8228616</v>
      </c>
      <c r="J86" s="22">
        <v>7653822</v>
      </c>
      <c r="K86" s="22">
        <v>5258753</v>
      </c>
      <c r="L86" s="22">
        <v>100000</v>
      </c>
      <c r="M86" s="22">
        <v>109900</v>
      </c>
      <c r="N86" s="22">
        <v>119600</v>
      </c>
      <c r="O86" s="22">
        <v>129600</v>
      </c>
      <c r="P86" s="22">
        <v>109900</v>
      </c>
      <c r="Q86" s="22">
        <v>119600</v>
      </c>
      <c r="R86" s="22">
        <v>100000</v>
      </c>
      <c r="S86" s="22">
        <v>129600</v>
      </c>
      <c r="T86" s="24">
        <v>29000</v>
      </c>
      <c r="U86" s="22">
        <v>26682</v>
      </c>
      <c r="V86" s="22">
        <v>24182</v>
      </c>
      <c r="W86" s="22">
        <v>22182</v>
      </c>
      <c r="X86" s="22">
        <v>26682</v>
      </c>
      <c r="Y86" s="22">
        <v>24182</v>
      </c>
      <c r="Z86" s="22">
        <v>29082</v>
      </c>
      <c r="AA86" s="22">
        <v>22182</v>
      </c>
      <c r="AB86" s="24">
        <v>115000</v>
      </c>
      <c r="AC86" s="24">
        <v>119000</v>
      </c>
      <c r="AD86" s="24">
        <v>118000</v>
      </c>
      <c r="AE86" s="24">
        <v>118000</v>
      </c>
      <c r="AF86" s="24">
        <v>111500</v>
      </c>
      <c r="AG86" s="24">
        <v>115500</v>
      </c>
      <c r="AH86" s="24">
        <v>116500</v>
      </c>
      <c r="AI86" s="24">
        <v>115500</v>
      </c>
      <c r="AJ86" s="25">
        <v>2.5</v>
      </c>
      <c r="AK86" s="25">
        <v>8.6999999999999993</v>
      </c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8">
        <f t="shared" si="62"/>
        <v>1</v>
      </c>
      <c r="AY86" s="8">
        <f t="shared" si="63"/>
        <v>4</v>
      </c>
      <c r="AZ86" s="13" t="str">
        <f t="shared" si="72"/>
        <v>∆(1-4)</v>
      </c>
      <c r="BA86" s="10">
        <f t="shared" ca="1" si="64"/>
        <v>-9400</v>
      </c>
      <c r="BB86" s="10">
        <f t="shared" ca="1" si="65"/>
        <v>2400</v>
      </c>
      <c r="BC86" s="10">
        <f t="shared" ca="1" si="73"/>
        <v>1880</v>
      </c>
      <c r="BD86" s="10" t="e">
        <f>#REF!</f>
        <v>#REF!</v>
      </c>
      <c r="BE86" s="10">
        <f t="shared" ca="1" si="74"/>
        <v>-9400</v>
      </c>
      <c r="BF86" s="10">
        <f t="shared" ca="1" si="75"/>
        <v>2400</v>
      </c>
      <c r="BG86" s="10">
        <f t="shared" ca="1" si="76"/>
        <v>2400</v>
      </c>
      <c r="BH86" s="10">
        <f t="shared" ca="1" si="77"/>
        <v>2400</v>
      </c>
      <c r="BI86" s="10" t="e">
        <f t="shared" si="78"/>
        <v>#REF!</v>
      </c>
      <c r="BJ86" s="10" t="e">
        <f t="shared" si="79"/>
        <v>#REF!</v>
      </c>
      <c r="BK86" s="10" t="e">
        <f t="shared" si="80"/>
        <v>#REF!</v>
      </c>
      <c r="BL86" s="10" t="e">
        <f t="shared" si="81"/>
        <v>#REF!</v>
      </c>
      <c r="BM86" s="14" t="e">
        <f t="shared" ca="1" si="82"/>
        <v>#VALUE!</v>
      </c>
      <c r="BN86" s="15" t="e">
        <f ca="1">IF(BM86&gt;=#REF!/100,"Yes","No")</f>
        <v>#VALUE!</v>
      </c>
      <c r="BO86" s="6">
        <f t="shared" si="66"/>
        <v>3</v>
      </c>
      <c r="BP86" s="6" t="e">
        <f t="shared" ca="1" si="83"/>
        <v>#VALUE!</v>
      </c>
      <c r="BQ86" s="13" t="e">
        <f t="shared" ca="1" si="84"/>
        <v>#VALUE!</v>
      </c>
      <c r="BR86" s="10" t="e">
        <f t="shared" ca="1" si="67"/>
        <v>#VALUE!</v>
      </c>
      <c r="BS86" s="10" t="e">
        <f t="shared" ca="1" si="68"/>
        <v>#VALUE!</v>
      </c>
      <c r="BT86" s="10" t="e">
        <f t="shared" ca="1" si="85"/>
        <v>#VALUE!</v>
      </c>
      <c r="BU86" s="10" t="e">
        <f>#REF!</f>
        <v>#REF!</v>
      </c>
      <c r="BV86" s="10" t="e">
        <f t="shared" ca="1" si="86"/>
        <v>#VALUE!</v>
      </c>
      <c r="BW86" s="10" t="e">
        <f t="shared" ca="1" si="87"/>
        <v>#VALUE!</v>
      </c>
      <c r="BX86" s="10" t="e">
        <f t="shared" ca="1" si="88"/>
        <v>#VALUE!</v>
      </c>
      <c r="BY86" s="10" t="e">
        <f t="shared" ca="1" si="89"/>
        <v>#VALUE!</v>
      </c>
      <c r="BZ86" s="10" t="e">
        <f t="shared" si="90"/>
        <v>#REF!</v>
      </c>
      <c r="CA86" s="10" t="e">
        <f t="shared" si="91"/>
        <v>#REF!</v>
      </c>
      <c r="CB86" s="10" t="e">
        <f t="shared" si="92"/>
        <v>#REF!</v>
      </c>
      <c r="CC86" s="10" t="e">
        <f t="shared" si="93"/>
        <v>#REF!</v>
      </c>
      <c r="CD86" s="14" t="e">
        <f t="shared" ca="1" si="94"/>
        <v>#VALUE!</v>
      </c>
      <c r="CE86" s="15" t="e">
        <f ca="1">IF(CD86&gt;=#REF!/100,"Yes","No")</f>
        <v>#VALUE!</v>
      </c>
      <c r="CF86" s="6">
        <f t="shared" si="69"/>
        <v>2</v>
      </c>
      <c r="CG86" s="6" t="e">
        <f t="shared" ca="1" si="95"/>
        <v>#VALUE!</v>
      </c>
      <c r="CH86" s="13" t="e">
        <f t="shared" ca="1" si="96"/>
        <v>#VALUE!</v>
      </c>
      <c r="CI86" s="10" t="e">
        <f t="shared" ca="1" si="70"/>
        <v>#VALUE!</v>
      </c>
      <c r="CJ86" s="10" t="e">
        <f t="shared" ca="1" si="71"/>
        <v>#VALUE!</v>
      </c>
      <c r="CK86" s="10" t="e">
        <f t="shared" ca="1" si="97"/>
        <v>#VALUE!</v>
      </c>
      <c r="CL86" s="10" t="e">
        <f>#REF!</f>
        <v>#REF!</v>
      </c>
      <c r="CM86" s="10" t="e">
        <f t="shared" ca="1" si="98"/>
        <v>#VALUE!</v>
      </c>
      <c r="CN86" s="10" t="e">
        <f t="shared" ca="1" si="99"/>
        <v>#VALUE!</v>
      </c>
      <c r="CO86" s="10" t="e">
        <f t="shared" ca="1" si="100"/>
        <v>#VALUE!</v>
      </c>
      <c r="CP86" s="10" t="e">
        <f t="shared" ca="1" si="101"/>
        <v>#VALUE!</v>
      </c>
      <c r="CQ86" s="10" t="e">
        <f t="shared" si="102"/>
        <v>#REF!</v>
      </c>
      <c r="CR86" s="10" t="e">
        <f t="shared" si="103"/>
        <v>#REF!</v>
      </c>
      <c r="CS86" s="10" t="e">
        <f t="shared" si="104"/>
        <v>#REF!</v>
      </c>
      <c r="CT86" s="10" t="e">
        <f t="shared" si="105"/>
        <v>#REF!</v>
      </c>
      <c r="CU86" s="14" t="e">
        <f t="shared" ca="1" si="106"/>
        <v>#VALUE!</v>
      </c>
      <c r="CV86" s="15" t="e">
        <f ca="1">IF(CU86&gt;=#REF!/100,"Yes","No")</f>
        <v>#VALUE!</v>
      </c>
    </row>
    <row r="87" spans="1:100" x14ac:dyDescent="0.25">
      <c r="A87" t="s">
        <v>177</v>
      </c>
      <c r="B87" t="s">
        <v>180</v>
      </c>
      <c r="C87">
        <v>115203036</v>
      </c>
      <c r="D87" t="str">
        <f t="shared" si="61"/>
        <v>Coşkun, Utku Özer-115203036</v>
      </c>
      <c r="E87" s="22">
        <v>7</v>
      </c>
      <c r="F87" s="22">
        <v>2</v>
      </c>
      <c r="G87" s="22">
        <v>10</v>
      </c>
      <c r="H87" s="22">
        <v>9559556</v>
      </c>
      <c r="I87" s="22">
        <v>261548</v>
      </c>
      <c r="J87" s="22">
        <v>8154676</v>
      </c>
      <c r="K87" s="22">
        <v>9291795</v>
      </c>
      <c r="L87" s="22">
        <v>100000</v>
      </c>
      <c r="M87" s="22">
        <v>108500</v>
      </c>
      <c r="N87" s="22">
        <v>117800</v>
      </c>
      <c r="O87" s="22">
        <v>126100</v>
      </c>
      <c r="P87" s="22">
        <v>100000</v>
      </c>
      <c r="Q87" s="22">
        <v>126100</v>
      </c>
      <c r="R87" s="22">
        <v>117800</v>
      </c>
      <c r="S87" s="22">
        <v>108500</v>
      </c>
      <c r="T87" s="24">
        <v>23000</v>
      </c>
      <c r="U87" s="22">
        <v>26583</v>
      </c>
      <c r="V87" s="22">
        <v>24283</v>
      </c>
      <c r="W87" s="22">
        <v>22183</v>
      </c>
      <c r="X87" s="22">
        <v>29083</v>
      </c>
      <c r="Y87" s="22">
        <v>22183</v>
      </c>
      <c r="Z87" s="22">
        <v>24283</v>
      </c>
      <c r="AA87" s="22">
        <v>26583</v>
      </c>
      <c r="AB87" s="24">
        <v>105000</v>
      </c>
      <c r="AC87" s="24">
        <v>105000</v>
      </c>
      <c r="AD87" s="24">
        <v>109000</v>
      </c>
      <c r="AE87" s="24">
        <v>108000</v>
      </c>
      <c r="AF87" s="24">
        <v>102000</v>
      </c>
      <c r="AG87" s="24">
        <v>102000</v>
      </c>
      <c r="AH87" s="24">
        <v>105000</v>
      </c>
      <c r="AI87" s="24">
        <v>106000</v>
      </c>
      <c r="AJ87" s="25">
        <v>3.4</v>
      </c>
      <c r="AK87" s="25">
        <v>8.1</v>
      </c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8">
        <f t="shared" si="62"/>
        <v>1</v>
      </c>
      <c r="AY87" s="8">
        <f t="shared" si="63"/>
        <v>3</v>
      </c>
      <c r="AZ87" s="16" t="str">
        <f t="shared" si="72"/>
        <v>∆(1-3)</v>
      </c>
      <c r="BA87" s="17">
        <f t="shared" ca="1" si="64"/>
        <v>-9900</v>
      </c>
      <c r="BB87" s="17">
        <f t="shared" ca="1" si="65"/>
        <v>2400</v>
      </c>
      <c r="BC87" s="17">
        <f t="shared" ca="1" si="73"/>
        <v>1980</v>
      </c>
      <c r="BD87" s="17" t="e">
        <f>#REF!</f>
        <v>#REF!</v>
      </c>
      <c r="BE87" s="17">
        <f t="shared" ca="1" si="74"/>
        <v>-9900</v>
      </c>
      <c r="BF87" s="17">
        <f t="shared" ca="1" si="75"/>
        <v>2400</v>
      </c>
      <c r="BG87" s="17">
        <f t="shared" ca="1" si="76"/>
        <v>2400</v>
      </c>
      <c r="BH87" s="17">
        <f t="shared" ca="1" si="77"/>
        <v>2400</v>
      </c>
      <c r="BI87" s="17" t="e">
        <f t="shared" si="78"/>
        <v>#REF!</v>
      </c>
      <c r="BJ87" s="17" t="e">
        <f t="shared" si="79"/>
        <v>#REF!</v>
      </c>
      <c r="BK87" s="17" t="e">
        <f t="shared" si="80"/>
        <v>#REF!</v>
      </c>
      <c r="BL87" s="17" t="e">
        <f t="shared" si="81"/>
        <v>#REF!</v>
      </c>
      <c r="BM87" s="18" t="e">
        <f t="shared" ca="1" si="82"/>
        <v>#VALUE!</v>
      </c>
      <c r="BN87" s="19" t="e">
        <f ca="1">IF(BM87&gt;=#REF!/100,"Yes","No")</f>
        <v>#VALUE!</v>
      </c>
      <c r="BO87" s="20">
        <f t="shared" si="66"/>
        <v>2</v>
      </c>
      <c r="BP87" s="20" t="e">
        <f t="shared" ca="1" si="83"/>
        <v>#VALUE!</v>
      </c>
      <c r="BQ87" s="16" t="e">
        <f t="shared" ca="1" si="84"/>
        <v>#VALUE!</v>
      </c>
      <c r="BR87" s="17" t="e">
        <f t="shared" ca="1" si="67"/>
        <v>#VALUE!</v>
      </c>
      <c r="BS87" s="17" t="e">
        <f t="shared" ca="1" si="68"/>
        <v>#VALUE!</v>
      </c>
      <c r="BT87" s="17" t="e">
        <f t="shared" ca="1" si="85"/>
        <v>#VALUE!</v>
      </c>
      <c r="BU87" s="17" t="e">
        <f>#REF!</f>
        <v>#REF!</v>
      </c>
      <c r="BV87" s="17" t="e">
        <f t="shared" ca="1" si="86"/>
        <v>#VALUE!</v>
      </c>
      <c r="BW87" s="17" t="e">
        <f t="shared" ca="1" si="87"/>
        <v>#VALUE!</v>
      </c>
      <c r="BX87" s="17" t="e">
        <f t="shared" ca="1" si="88"/>
        <v>#VALUE!</v>
      </c>
      <c r="BY87" s="17" t="e">
        <f t="shared" ca="1" si="89"/>
        <v>#VALUE!</v>
      </c>
      <c r="BZ87" s="17" t="e">
        <f t="shared" si="90"/>
        <v>#REF!</v>
      </c>
      <c r="CA87" s="17" t="e">
        <f t="shared" si="91"/>
        <v>#REF!</v>
      </c>
      <c r="CB87" s="17" t="e">
        <f t="shared" si="92"/>
        <v>#REF!</v>
      </c>
      <c r="CC87" s="17" t="e">
        <f t="shared" si="93"/>
        <v>#REF!</v>
      </c>
      <c r="CD87" s="18" t="e">
        <f t="shared" ca="1" si="94"/>
        <v>#VALUE!</v>
      </c>
      <c r="CE87" s="19" t="e">
        <f ca="1">IF(CD87&gt;=#REF!/100,"Yes","No")</f>
        <v>#VALUE!</v>
      </c>
      <c r="CF87" s="20">
        <f t="shared" si="69"/>
        <v>4</v>
      </c>
      <c r="CG87" s="20" t="e">
        <f t="shared" ca="1" si="95"/>
        <v>#VALUE!</v>
      </c>
      <c r="CH87" s="16" t="e">
        <f t="shared" ca="1" si="96"/>
        <v>#VALUE!</v>
      </c>
      <c r="CI87" s="17" t="e">
        <f t="shared" ca="1" si="70"/>
        <v>#VALUE!</v>
      </c>
      <c r="CJ87" s="17" t="e">
        <f t="shared" ca="1" si="71"/>
        <v>#VALUE!</v>
      </c>
      <c r="CK87" s="17" t="e">
        <f t="shared" ca="1" si="97"/>
        <v>#VALUE!</v>
      </c>
      <c r="CL87" s="17" t="e">
        <f>#REF!</f>
        <v>#REF!</v>
      </c>
      <c r="CM87" s="17" t="e">
        <f t="shared" ca="1" si="98"/>
        <v>#VALUE!</v>
      </c>
      <c r="CN87" s="17" t="e">
        <f t="shared" ca="1" si="99"/>
        <v>#VALUE!</v>
      </c>
      <c r="CO87" s="17" t="e">
        <f t="shared" ca="1" si="100"/>
        <v>#VALUE!</v>
      </c>
      <c r="CP87" s="17" t="e">
        <f t="shared" ca="1" si="101"/>
        <v>#VALUE!</v>
      </c>
      <c r="CQ87" s="17" t="e">
        <f t="shared" si="102"/>
        <v>#REF!</v>
      </c>
      <c r="CR87" s="17" t="e">
        <f t="shared" si="103"/>
        <v>#REF!</v>
      </c>
      <c r="CS87" s="17" t="e">
        <f t="shared" si="104"/>
        <v>#REF!</v>
      </c>
      <c r="CT87" s="17" t="e">
        <f t="shared" si="105"/>
        <v>#REF!</v>
      </c>
      <c r="CU87" s="18" t="e">
        <f t="shared" ca="1" si="106"/>
        <v>#VALUE!</v>
      </c>
      <c r="CV87" s="19" t="e">
        <f ca="1">IF(CU87&gt;=#REF!/100,"Yes","No")</f>
        <v>#VALUE!</v>
      </c>
    </row>
    <row r="88" spans="1:100" x14ac:dyDescent="0.25">
      <c r="A88" t="s">
        <v>181</v>
      </c>
      <c r="B88" t="s">
        <v>182</v>
      </c>
      <c r="C88">
        <v>115204041</v>
      </c>
      <c r="D88" t="str">
        <f t="shared" si="61"/>
        <v>Çuhadar, Mehmet Onur-115204041</v>
      </c>
      <c r="E88" s="22">
        <v>5</v>
      </c>
      <c r="F88" s="22">
        <v>1</v>
      </c>
      <c r="G88" s="22">
        <v>8</v>
      </c>
      <c r="H88" s="22">
        <v>3397572</v>
      </c>
      <c r="I88" s="22">
        <v>3733111</v>
      </c>
      <c r="J88" s="22">
        <v>9661570</v>
      </c>
      <c r="K88" s="22">
        <v>5554684</v>
      </c>
      <c r="L88" s="22">
        <v>100000</v>
      </c>
      <c r="M88" s="22">
        <v>109700</v>
      </c>
      <c r="N88" s="22">
        <v>119300</v>
      </c>
      <c r="O88" s="22">
        <v>127700</v>
      </c>
      <c r="P88" s="22">
        <v>119300</v>
      </c>
      <c r="Q88" s="22">
        <v>127700</v>
      </c>
      <c r="R88" s="22">
        <v>109700</v>
      </c>
      <c r="S88" s="22">
        <v>100000</v>
      </c>
      <c r="T88" s="24">
        <v>26000</v>
      </c>
      <c r="U88" s="22">
        <v>26784</v>
      </c>
      <c r="V88" s="22">
        <v>24584</v>
      </c>
      <c r="W88" s="22">
        <v>22584</v>
      </c>
      <c r="X88" s="22">
        <v>24584</v>
      </c>
      <c r="Y88" s="22">
        <v>22584</v>
      </c>
      <c r="Z88" s="22">
        <v>26784</v>
      </c>
      <c r="AA88" s="22">
        <v>29084</v>
      </c>
      <c r="AB88" s="24">
        <v>120000</v>
      </c>
      <c r="AC88" s="24">
        <v>118000</v>
      </c>
      <c r="AD88" s="24">
        <v>117000</v>
      </c>
      <c r="AE88" s="24">
        <v>118000</v>
      </c>
      <c r="AF88" s="24">
        <v>117000</v>
      </c>
      <c r="AG88" s="24">
        <v>116000</v>
      </c>
      <c r="AH88" s="24">
        <v>113500</v>
      </c>
      <c r="AI88" s="24">
        <v>115500</v>
      </c>
      <c r="AJ88" s="25">
        <v>3.3</v>
      </c>
      <c r="AK88" s="25">
        <v>8.6</v>
      </c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8">
        <f t="shared" si="62"/>
        <v>4</v>
      </c>
      <c r="AY88" s="8">
        <f t="shared" si="63"/>
        <v>1</v>
      </c>
      <c r="AZ88" s="13" t="str">
        <f t="shared" si="72"/>
        <v>∆(4-1)</v>
      </c>
      <c r="BA88" s="10">
        <f t="shared" ca="1" si="64"/>
        <v>-8500</v>
      </c>
      <c r="BB88" s="10">
        <f t="shared" ca="1" si="65"/>
        <v>2500</v>
      </c>
      <c r="BC88" s="10">
        <f t="shared" ca="1" si="73"/>
        <v>1700</v>
      </c>
      <c r="BD88" s="10" t="e">
        <f>#REF!</f>
        <v>#REF!</v>
      </c>
      <c r="BE88" s="10">
        <f t="shared" ca="1" si="74"/>
        <v>-8500</v>
      </c>
      <c r="BF88" s="10">
        <f t="shared" ca="1" si="75"/>
        <v>2500</v>
      </c>
      <c r="BG88" s="10">
        <f t="shared" ca="1" si="76"/>
        <v>2500</v>
      </c>
      <c r="BH88" s="10">
        <f t="shared" ca="1" si="77"/>
        <v>2500</v>
      </c>
      <c r="BI88" s="10" t="e">
        <f t="shared" si="78"/>
        <v>#REF!</v>
      </c>
      <c r="BJ88" s="10" t="e">
        <f t="shared" si="79"/>
        <v>#REF!</v>
      </c>
      <c r="BK88" s="10" t="e">
        <f t="shared" si="80"/>
        <v>#REF!</v>
      </c>
      <c r="BL88" s="10" t="e">
        <f t="shared" si="81"/>
        <v>#REF!</v>
      </c>
      <c r="BM88" s="14" t="e">
        <f t="shared" ca="1" si="82"/>
        <v>#VALUE!</v>
      </c>
      <c r="BN88" s="15" t="e">
        <f ca="1">IF(BM88&gt;=#REF!/100,"Yes","No")</f>
        <v>#VALUE!</v>
      </c>
      <c r="BO88" s="6">
        <f t="shared" si="66"/>
        <v>3</v>
      </c>
      <c r="BP88" s="6" t="e">
        <f t="shared" ca="1" si="83"/>
        <v>#VALUE!</v>
      </c>
      <c r="BQ88" s="13" t="e">
        <f t="shared" ca="1" si="84"/>
        <v>#VALUE!</v>
      </c>
      <c r="BR88" s="10" t="e">
        <f t="shared" ca="1" si="67"/>
        <v>#VALUE!</v>
      </c>
      <c r="BS88" s="10" t="e">
        <f t="shared" ca="1" si="68"/>
        <v>#VALUE!</v>
      </c>
      <c r="BT88" s="10" t="e">
        <f t="shared" ca="1" si="85"/>
        <v>#VALUE!</v>
      </c>
      <c r="BU88" s="10" t="e">
        <f>#REF!</f>
        <v>#REF!</v>
      </c>
      <c r="BV88" s="10" t="e">
        <f t="shared" ca="1" si="86"/>
        <v>#VALUE!</v>
      </c>
      <c r="BW88" s="10" t="e">
        <f t="shared" ca="1" si="87"/>
        <v>#VALUE!</v>
      </c>
      <c r="BX88" s="10" t="e">
        <f t="shared" ca="1" si="88"/>
        <v>#VALUE!</v>
      </c>
      <c r="BY88" s="10" t="e">
        <f t="shared" ca="1" si="89"/>
        <v>#VALUE!</v>
      </c>
      <c r="BZ88" s="10" t="e">
        <f t="shared" si="90"/>
        <v>#REF!</v>
      </c>
      <c r="CA88" s="10" t="e">
        <f t="shared" si="91"/>
        <v>#REF!</v>
      </c>
      <c r="CB88" s="10" t="e">
        <f t="shared" si="92"/>
        <v>#REF!</v>
      </c>
      <c r="CC88" s="10" t="e">
        <f t="shared" si="93"/>
        <v>#REF!</v>
      </c>
      <c r="CD88" s="14" t="e">
        <f t="shared" ca="1" si="94"/>
        <v>#VALUE!</v>
      </c>
      <c r="CE88" s="15" t="e">
        <f ca="1">IF(CD88&gt;=#REF!/100,"Yes","No")</f>
        <v>#VALUE!</v>
      </c>
      <c r="CF88" s="6">
        <f t="shared" si="69"/>
        <v>2</v>
      </c>
      <c r="CG88" s="6" t="e">
        <f t="shared" ca="1" si="95"/>
        <v>#VALUE!</v>
      </c>
      <c r="CH88" s="13" t="e">
        <f t="shared" ca="1" si="96"/>
        <v>#VALUE!</v>
      </c>
      <c r="CI88" s="10" t="e">
        <f t="shared" ca="1" si="70"/>
        <v>#VALUE!</v>
      </c>
      <c r="CJ88" s="10" t="e">
        <f t="shared" ca="1" si="71"/>
        <v>#VALUE!</v>
      </c>
      <c r="CK88" s="10" t="e">
        <f t="shared" ca="1" si="97"/>
        <v>#VALUE!</v>
      </c>
      <c r="CL88" s="10" t="e">
        <f>#REF!</f>
        <v>#REF!</v>
      </c>
      <c r="CM88" s="10" t="e">
        <f t="shared" ca="1" si="98"/>
        <v>#VALUE!</v>
      </c>
      <c r="CN88" s="10" t="e">
        <f t="shared" ca="1" si="99"/>
        <v>#VALUE!</v>
      </c>
      <c r="CO88" s="10" t="e">
        <f t="shared" ca="1" si="100"/>
        <v>#VALUE!</v>
      </c>
      <c r="CP88" s="10" t="e">
        <f t="shared" ca="1" si="101"/>
        <v>#VALUE!</v>
      </c>
      <c r="CQ88" s="10" t="e">
        <f t="shared" si="102"/>
        <v>#REF!</v>
      </c>
      <c r="CR88" s="10" t="e">
        <f t="shared" si="103"/>
        <v>#REF!</v>
      </c>
      <c r="CS88" s="10" t="e">
        <f t="shared" si="104"/>
        <v>#REF!</v>
      </c>
      <c r="CT88" s="10" t="e">
        <f t="shared" si="105"/>
        <v>#REF!</v>
      </c>
      <c r="CU88" s="14" t="e">
        <f t="shared" ca="1" si="106"/>
        <v>#VALUE!</v>
      </c>
      <c r="CV88" s="15" t="e">
        <f ca="1">IF(CU88&gt;=#REF!/100,"Yes","No")</f>
        <v>#VALUE!</v>
      </c>
    </row>
    <row r="89" spans="1:100" x14ac:dyDescent="0.25">
      <c r="A89" t="s">
        <v>183</v>
      </c>
      <c r="B89" t="s">
        <v>184</v>
      </c>
      <c r="C89">
        <v>114205027</v>
      </c>
      <c r="D89" t="str">
        <f t="shared" si="61"/>
        <v>Çukurova, Cihan-114205027</v>
      </c>
      <c r="E89" s="22">
        <v>4</v>
      </c>
      <c r="F89" s="22">
        <v>1</v>
      </c>
      <c r="G89" s="22">
        <v>8</v>
      </c>
      <c r="H89" s="22">
        <v>7141150</v>
      </c>
      <c r="I89" s="22">
        <v>7601879</v>
      </c>
      <c r="J89" s="22">
        <v>2678798</v>
      </c>
      <c r="K89" s="22">
        <v>4630862</v>
      </c>
      <c r="L89" s="22">
        <v>100000</v>
      </c>
      <c r="M89" s="22">
        <v>110000</v>
      </c>
      <c r="N89" s="22">
        <v>118600</v>
      </c>
      <c r="O89" s="22">
        <v>127000</v>
      </c>
      <c r="P89" s="22">
        <v>110000</v>
      </c>
      <c r="Q89" s="22">
        <v>100000</v>
      </c>
      <c r="R89" s="22">
        <v>127000</v>
      </c>
      <c r="S89" s="22">
        <v>118600</v>
      </c>
      <c r="T89" s="24">
        <v>25000</v>
      </c>
      <c r="U89" s="22">
        <v>26685</v>
      </c>
      <c r="V89" s="22">
        <v>24485</v>
      </c>
      <c r="W89" s="22">
        <v>21985</v>
      </c>
      <c r="X89" s="22">
        <v>26685</v>
      </c>
      <c r="Y89" s="22">
        <v>29085</v>
      </c>
      <c r="Z89" s="22">
        <v>21985</v>
      </c>
      <c r="AA89" s="22">
        <v>24485</v>
      </c>
      <c r="AB89" s="24">
        <v>116000</v>
      </c>
      <c r="AC89" s="24">
        <v>120000</v>
      </c>
      <c r="AD89" s="24">
        <v>117000</v>
      </c>
      <c r="AE89" s="24">
        <v>121000</v>
      </c>
      <c r="AF89" s="24">
        <v>112500</v>
      </c>
      <c r="AG89" s="24">
        <v>116500</v>
      </c>
      <c r="AH89" s="24">
        <v>113000</v>
      </c>
      <c r="AI89" s="24">
        <v>119000</v>
      </c>
      <c r="AJ89" s="25">
        <v>2.8</v>
      </c>
      <c r="AK89" s="25">
        <v>7.1</v>
      </c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8">
        <f t="shared" si="62"/>
        <v>3</v>
      </c>
      <c r="AY89" s="8">
        <f t="shared" si="63"/>
        <v>4</v>
      </c>
      <c r="AZ89" s="16" t="str">
        <f t="shared" si="72"/>
        <v>∆(3-4)</v>
      </c>
      <c r="BA89" s="17">
        <f t="shared" ca="1" si="64"/>
        <v>-9700</v>
      </c>
      <c r="BB89" s="17">
        <f t="shared" ca="1" si="65"/>
        <v>2300</v>
      </c>
      <c r="BC89" s="17">
        <f t="shared" ca="1" si="73"/>
        <v>1940</v>
      </c>
      <c r="BD89" s="17" t="e">
        <f>#REF!</f>
        <v>#REF!</v>
      </c>
      <c r="BE89" s="17">
        <f t="shared" ca="1" si="74"/>
        <v>-9700</v>
      </c>
      <c r="BF89" s="17">
        <f t="shared" ca="1" si="75"/>
        <v>2300</v>
      </c>
      <c r="BG89" s="17">
        <f t="shared" ca="1" si="76"/>
        <v>2300</v>
      </c>
      <c r="BH89" s="17">
        <f t="shared" ca="1" si="77"/>
        <v>2300</v>
      </c>
      <c r="BI89" s="17" t="e">
        <f t="shared" si="78"/>
        <v>#REF!</v>
      </c>
      <c r="BJ89" s="17" t="e">
        <f t="shared" si="79"/>
        <v>#REF!</v>
      </c>
      <c r="BK89" s="17" t="e">
        <f t="shared" si="80"/>
        <v>#REF!</v>
      </c>
      <c r="BL89" s="17" t="e">
        <f t="shared" si="81"/>
        <v>#REF!</v>
      </c>
      <c r="BM89" s="18" t="e">
        <f t="shared" ca="1" si="82"/>
        <v>#VALUE!</v>
      </c>
      <c r="BN89" s="19" t="e">
        <f ca="1">IF(BM89&gt;=#REF!/100,"Yes","No")</f>
        <v>#VALUE!</v>
      </c>
      <c r="BO89" s="20">
        <f t="shared" si="66"/>
        <v>1</v>
      </c>
      <c r="BP89" s="20" t="e">
        <f t="shared" ca="1" si="83"/>
        <v>#VALUE!</v>
      </c>
      <c r="BQ89" s="16" t="e">
        <f t="shared" ca="1" si="84"/>
        <v>#VALUE!</v>
      </c>
      <c r="BR89" s="17" t="e">
        <f t="shared" ca="1" si="67"/>
        <v>#VALUE!</v>
      </c>
      <c r="BS89" s="17" t="e">
        <f t="shared" ca="1" si="68"/>
        <v>#VALUE!</v>
      </c>
      <c r="BT89" s="17" t="e">
        <f t="shared" ca="1" si="85"/>
        <v>#VALUE!</v>
      </c>
      <c r="BU89" s="17" t="e">
        <f>#REF!</f>
        <v>#REF!</v>
      </c>
      <c r="BV89" s="17" t="e">
        <f t="shared" ca="1" si="86"/>
        <v>#VALUE!</v>
      </c>
      <c r="BW89" s="17" t="e">
        <f t="shared" ca="1" si="87"/>
        <v>#VALUE!</v>
      </c>
      <c r="BX89" s="17" t="e">
        <f t="shared" ca="1" si="88"/>
        <v>#VALUE!</v>
      </c>
      <c r="BY89" s="17" t="e">
        <f t="shared" ca="1" si="89"/>
        <v>#VALUE!</v>
      </c>
      <c r="BZ89" s="17" t="e">
        <f t="shared" si="90"/>
        <v>#REF!</v>
      </c>
      <c r="CA89" s="17" t="e">
        <f t="shared" si="91"/>
        <v>#REF!</v>
      </c>
      <c r="CB89" s="17" t="e">
        <f t="shared" si="92"/>
        <v>#REF!</v>
      </c>
      <c r="CC89" s="17" t="e">
        <f t="shared" si="93"/>
        <v>#REF!</v>
      </c>
      <c r="CD89" s="18" t="e">
        <f t="shared" ca="1" si="94"/>
        <v>#VALUE!</v>
      </c>
      <c r="CE89" s="19" t="e">
        <f ca="1">IF(CD89&gt;=#REF!/100,"Yes","No")</f>
        <v>#VALUE!</v>
      </c>
      <c r="CF89" s="20">
        <f t="shared" si="69"/>
        <v>2</v>
      </c>
      <c r="CG89" s="20" t="e">
        <f t="shared" ca="1" si="95"/>
        <v>#VALUE!</v>
      </c>
      <c r="CH89" s="16" t="e">
        <f t="shared" ca="1" si="96"/>
        <v>#VALUE!</v>
      </c>
      <c r="CI89" s="17" t="e">
        <f t="shared" ca="1" si="70"/>
        <v>#VALUE!</v>
      </c>
      <c r="CJ89" s="17" t="e">
        <f t="shared" ca="1" si="71"/>
        <v>#VALUE!</v>
      </c>
      <c r="CK89" s="17" t="e">
        <f t="shared" ca="1" si="97"/>
        <v>#VALUE!</v>
      </c>
      <c r="CL89" s="17" t="e">
        <f>#REF!</f>
        <v>#REF!</v>
      </c>
      <c r="CM89" s="17" t="e">
        <f t="shared" ca="1" si="98"/>
        <v>#VALUE!</v>
      </c>
      <c r="CN89" s="17" t="e">
        <f t="shared" ca="1" si="99"/>
        <v>#VALUE!</v>
      </c>
      <c r="CO89" s="17" t="e">
        <f t="shared" ca="1" si="100"/>
        <v>#VALUE!</v>
      </c>
      <c r="CP89" s="17" t="e">
        <f t="shared" ca="1" si="101"/>
        <v>#VALUE!</v>
      </c>
      <c r="CQ89" s="17" t="e">
        <f t="shared" si="102"/>
        <v>#REF!</v>
      </c>
      <c r="CR89" s="17" t="e">
        <f t="shared" si="103"/>
        <v>#REF!</v>
      </c>
      <c r="CS89" s="17" t="e">
        <f t="shared" si="104"/>
        <v>#REF!</v>
      </c>
      <c r="CT89" s="17" t="e">
        <f t="shared" si="105"/>
        <v>#REF!</v>
      </c>
      <c r="CU89" s="18" t="e">
        <f t="shared" ca="1" si="106"/>
        <v>#VALUE!</v>
      </c>
      <c r="CV89" s="19" t="e">
        <f ca="1">IF(CU89&gt;=#REF!/100,"Yes","No")</f>
        <v>#VALUE!</v>
      </c>
    </row>
    <row r="90" spans="1:100" x14ac:dyDescent="0.25">
      <c r="A90" t="s">
        <v>185</v>
      </c>
      <c r="B90" t="s">
        <v>186</v>
      </c>
      <c r="C90">
        <v>116203033</v>
      </c>
      <c r="D90" t="str">
        <f t="shared" si="61"/>
        <v>Çullas, Kağıltay-116203033</v>
      </c>
      <c r="E90" s="22">
        <v>6</v>
      </c>
      <c r="F90" s="22">
        <v>2</v>
      </c>
      <c r="G90" s="22">
        <v>10</v>
      </c>
      <c r="H90" s="22">
        <v>1977569</v>
      </c>
      <c r="I90" s="22">
        <v>158531</v>
      </c>
      <c r="J90" s="22">
        <v>5890994</v>
      </c>
      <c r="K90" s="22">
        <v>3081358</v>
      </c>
      <c r="L90" s="22">
        <v>100000</v>
      </c>
      <c r="M90" s="22">
        <v>109500</v>
      </c>
      <c r="N90" s="22">
        <v>117900</v>
      </c>
      <c r="O90" s="22">
        <v>127000</v>
      </c>
      <c r="P90" s="22">
        <v>117900</v>
      </c>
      <c r="Q90" s="22">
        <v>127000</v>
      </c>
      <c r="R90" s="22">
        <v>100000</v>
      </c>
      <c r="S90" s="22">
        <v>109500</v>
      </c>
      <c r="T90" s="24">
        <v>23000</v>
      </c>
      <c r="U90" s="22">
        <v>27086</v>
      </c>
      <c r="V90" s="22">
        <v>24586</v>
      </c>
      <c r="W90" s="22">
        <v>22386</v>
      </c>
      <c r="X90" s="22">
        <v>24586</v>
      </c>
      <c r="Y90" s="22">
        <v>22386</v>
      </c>
      <c r="Z90" s="22">
        <v>29086</v>
      </c>
      <c r="AA90" s="22">
        <v>27086</v>
      </c>
      <c r="AB90" s="24">
        <v>97000</v>
      </c>
      <c r="AC90" s="24">
        <v>100000</v>
      </c>
      <c r="AD90" s="24">
        <v>101000</v>
      </c>
      <c r="AE90" s="24">
        <v>105000</v>
      </c>
      <c r="AF90" s="24">
        <v>94500</v>
      </c>
      <c r="AG90" s="24">
        <v>98000</v>
      </c>
      <c r="AH90" s="24">
        <v>98000</v>
      </c>
      <c r="AI90" s="24">
        <v>101000</v>
      </c>
      <c r="AJ90" s="25">
        <v>4</v>
      </c>
      <c r="AK90" s="25">
        <v>6.7</v>
      </c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8">
        <f t="shared" si="62"/>
        <v>1</v>
      </c>
      <c r="AY90" s="8">
        <f t="shared" si="63"/>
        <v>2</v>
      </c>
      <c r="AZ90" s="13" t="str">
        <f t="shared" si="72"/>
        <v>∆(1-2)</v>
      </c>
      <c r="BA90" s="10">
        <f t="shared" ca="1" si="64"/>
        <v>-10000</v>
      </c>
      <c r="BB90" s="10">
        <f t="shared" ca="1" si="65"/>
        <v>2400</v>
      </c>
      <c r="BC90" s="10">
        <f t="shared" ca="1" si="73"/>
        <v>2000</v>
      </c>
      <c r="BD90" s="10" t="e">
        <f>#REF!</f>
        <v>#REF!</v>
      </c>
      <c r="BE90" s="10">
        <f t="shared" ca="1" si="74"/>
        <v>-10000</v>
      </c>
      <c r="BF90" s="10">
        <f t="shared" ca="1" si="75"/>
        <v>2400</v>
      </c>
      <c r="BG90" s="10">
        <f t="shared" ca="1" si="76"/>
        <v>2400</v>
      </c>
      <c r="BH90" s="10">
        <f t="shared" ca="1" si="77"/>
        <v>2400</v>
      </c>
      <c r="BI90" s="10" t="e">
        <f t="shared" si="78"/>
        <v>#REF!</v>
      </c>
      <c r="BJ90" s="10" t="e">
        <f t="shared" si="79"/>
        <v>#REF!</v>
      </c>
      <c r="BK90" s="10" t="e">
        <f t="shared" si="80"/>
        <v>#REF!</v>
      </c>
      <c r="BL90" s="10" t="e">
        <f t="shared" si="81"/>
        <v>#REF!</v>
      </c>
      <c r="BM90" s="14" t="e">
        <f t="shared" ca="1" si="82"/>
        <v>#VALUE!</v>
      </c>
      <c r="BN90" s="15" t="e">
        <f ca="1">IF(BM90&gt;=#REF!/100,"Yes","No")</f>
        <v>#VALUE!</v>
      </c>
      <c r="BO90" s="6">
        <f t="shared" si="66"/>
        <v>4</v>
      </c>
      <c r="BP90" s="6" t="e">
        <f t="shared" ca="1" si="83"/>
        <v>#VALUE!</v>
      </c>
      <c r="BQ90" s="13" t="e">
        <f t="shared" ca="1" si="84"/>
        <v>#VALUE!</v>
      </c>
      <c r="BR90" s="10" t="e">
        <f t="shared" ca="1" si="67"/>
        <v>#VALUE!</v>
      </c>
      <c r="BS90" s="10" t="e">
        <f t="shared" ca="1" si="68"/>
        <v>#VALUE!</v>
      </c>
      <c r="BT90" s="10" t="e">
        <f t="shared" ca="1" si="85"/>
        <v>#VALUE!</v>
      </c>
      <c r="BU90" s="10" t="e">
        <f>#REF!</f>
        <v>#REF!</v>
      </c>
      <c r="BV90" s="10" t="e">
        <f t="shared" ca="1" si="86"/>
        <v>#VALUE!</v>
      </c>
      <c r="BW90" s="10" t="e">
        <f t="shared" ca="1" si="87"/>
        <v>#VALUE!</v>
      </c>
      <c r="BX90" s="10" t="e">
        <f t="shared" ca="1" si="88"/>
        <v>#VALUE!</v>
      </c>
      <c r="BY90" s="10" t="e">
        <f t="shared" ca="1" si="89"/>
        <v>#VALUE!</v>
      </c>
      <c r="BZ90" s="10" t="e">
        <f t="shared" si="90"/>
        <v>#REF!</v>
      </c>
      <c r="CA90" s="10" t="e">
        <f t="shared" si="91"/>
        <v>#REF!</v>
      </c>
      <c r="CB90" s="10" t="e">
        <f t="shared" si="92"/>
        <v>#REF!</v>
      </c>
      <c r="CC90" s="10" t="e">
        <f t="shared" si="93"/>
        <v>#REF!</v>
      </c>
      <c r="CD90" s="14" t="e">
        <f t="shared" ca="1" si="94"/>
        <v>#VALUE!</v>
      </c>
      <c r="CE90" s="15" t="e">
        <f ca="1">IF(CD90&gt;=#REF!/100,"Yes","No")</f>
        <v>#VALUE!</v>
      </c>
      <c r="CF90" s="6">
        <f t="shared" si="69"/>
        <v>3</v>
      </c>
      <c r="CG90" s="6" t="e">
        <f t="shared" ca="1" si="95"/>
        <v>#VALUE!</v>
      </c>
      <c r="CH90" s="13" t="e">
        <f t="shared" ca="1" si="96"/>
        <v>#VALUE!</v>
      </c>
      <c r="CI90" s="10" t="e">
        <f t="shared" ca="1" si="70"/>
        <v>#VALUE!</v>
      </c>
      <c r="CJ90" s="10" t="e">
        <f t="shared" ca="1" si="71"/>
        <v>#VALUE!</v>
      </c>
      <c r="CK90" s="10" t="e">
        <f t="shared" ca="1" si="97"/>
        <v>#VALUE!</v>
      </c>
      <c r="CL90" s="10" t="e">
        <f>#REF!</f>
        <v>#REF!</v>
      </c>
      <c r="CM90" s="10" t="e">
        <f t="shared" ca="1" si="98"/>
        <v>#VALUE!</v>
      </c>
      <c r="CN90" s="10" t="e">
        <f t="shared" ca="1" si="99"/>
        <v>#VALUE!</v>
      </c>
      <c r="CO90" s="10" t="e">
        <f t="shared" ca="1" si="100"/>
        <v>#VALUE!</v>
      </c>
      <c r="CP90" s="10" t="e">
        <f t="shared" ca="1" si="101"/>
        <v>#VALUE!</v>
      </c>
      <c r="CQ90" s="10" t="e">
        <f t="shared" si="102"/>
        <v>#REF!</v>
      </c>
      <c r="CR90" s="10" t="e">
        <f t="shared" si="103"/>
        <v>#REF!</v>
      </c>
      <c r="CS90" s="10" t="e">
        <f t="shared" si="104"/>
        <v>#REF!</v>
      </c>
      <c r="CT90" s="10" t="e">
        <f t="shared" si="105"/>
        <v>#REF!</v>
      </c>
      <c r="CU90" s="14" t="e">
        <f t="shared" ca="1" si="106"/>
        <v>#VALUE!</v>
      </c>
      <c r="CV90" s="15" t="e">
        <f ca="1">IF(CU90&gt;=#REF!/100,"Yes","No")</f>
        <v>#VALUE!</v>
      </c>
    </row>
    <row r="91" spans="1:100" x14ac:dyDescent="0.25">
      <c r="A91" t="s">
        <v>187</v>
      </c>
      <c r="B91" t="s">
        <v>188</v>
      </c>
      <c r="C91">
        <v>116203036</v>
      </c>
      <c r="D91" t="str">
        <f t="shared" si="61"/>
        <v>Cürgül, Şelale Yaren-116203036</v>
      </c>
      <c r="E91" s="22">
        <v>5</v>
      </c>
      <c r="F91" s="22">
        <v>3</v>
      </c>
      <c r="G91" s="22">
        <v>15</v>
      </c>
      <c r="H91" s="22">
        <v>6389099</v>
      </c>
      <c r="I91" s="22">
        <v>3898021</v>
      </c>
      <c r="J91" s="22">
        <v>6988810</v>
      </c>
      <c r="K91" s="22">
        <v>7551231</v>
      </c>
      <c r="L91" s="22">
        <v>100000</v>
      </c>
      <c r="M91" s="22">
        <v>109700</v>
      </c>
      <c r="N91" s="22">
        <v>118100</v>
      </c>
      <c r="O91" s="22">
        <v>127100</v>
      </c>
      <c r="P91" s="22">
        <v>127100</v>
      </c>
      <c r="Q91" s="22">
        <v>118100</v>
      </c>
      <c r="R91" s="22">
        <v>100000</v>
      </c>
      <c r="S91" s="22">
        <v>109700</v>
      </c>
      <c r="T91" s="24">
        <v>29000</v>
      </c>
      <c r="U91" s="22">
        <v>26687</v>
      </c>
      <c r="V91" s="22">
        <v>24487</v>
      </c>
      <c r="W91" s="22">
        <v>22087</v>
      </c>
      <c r="X91" s="22">
        <v>22087</v>
      </c>
      <c r="Y91" s="22">
        <v>24487</v>
      </c>
      <c r="Z91" s="22">
        <v>29087</v>
      </c>
      <c r="AA91" s="22">
        <v>26687</v>
      </c>
      <c r="AB91" s="24">
        <v>107000</v>
      </c>
      <c r="AC91" s="24">
        <v>108000</v>
      </c>
      <c r="AD91" s="24">
        <v>105000</v>
      </c>
      <c r="AE91" s="24">
        <v>108000</v>
      </c>
      <c r="AF91" s="24">
        <v>105500</v>
      </c>
      <c r="AG91" s="24">
        <v>106500</v>
      </c>
      <c r="AH91" s="24">
        <v>101000</v>
      </c>
      <c r="AI91" s="24">
        <v>104500</v>
      </c>
      <c r="AJ91" s="25">
        <v>3.5</v>
      </c>
      <c r="AK91" s="25">
        <v>9</v>
      </c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8">
        <f t="shared" si="62"/>
        <v>4</v>
      </c>
      <c r="AY91" s="8">
        <f t="shared" si="63"/>
        <v>3</v>
      </c>
      <c r="AZ91" s="16" t="str">
        <f t="shared" si="72"/>
        <v>∆(4-3)</v>
      </c>
      <c r="BA91" s="17">
        <f t="shared" ca="1" si="64"/>
        <v>-9500</v>
      </c>
      <c r="BB91" s="17">
        <f t="shared" ca="1" si="65"/>
        <v>2000</v>
      </c>
      <c r="BC91" s="17">
        <f t="shared" ca="1" si="73"/>
        <v>1900</v>
      </c>
      <c r="BD91" s="17" t="e">
        <f>#REF!</f>
        <v>#REF!</v>
      </c>
      <c r="BE91" s="17">
        <f t="shared" ca="1" si="74"/>
        <v>-9500</v>
      </c>
      <c r="BF91" s="17">
        <f t="shared" ca="1" si="75"/>
        <v>2000</v>
      </c>
      <c r="BG91" s="17">
        <f t="shared" ca="1" si="76"/>
        <v>2000</v>
      </c>
      <c r="BH91" s="17">
        <f t="shared" ca="1" si="77"/>
        <v>2000</v>
      </c>
      <c r="BI91" s="17" t="e">
        <f t="shared" si="78"/>
        <v>#REF!</v>
      </c>
      <c r="BJ91" s="17" t="e">
        <f t="shared" si="79"/>
        <v>#REF!</v>
      </c>
      <c r="BK91" s="17" t="e">
        <f t="shared" si="80"/>
        <v>#REF!</v>
      </c>
      <c r="BL91" s="17" t="e">
        <f t="shared" si="81"/>
        <v>#REF!</v>
      </c>
      <c r="BM91" s="18" t="e">
        <f t="shared" ca="1" si="82"/>
        <v>#VALUE!</v>
      </c>
      <c r="BN91" s="19" t="e">
        <f ca="1">IF(BM91&gt;=#REF!/100,"Yes","No")</f>
        <v>#VALUE!</v>
      </c>
      <c r="BO91" s="20">
        <f t="shared" si="66"/>
        <v>1</v>
      </c>
      <c r="BP91" s="20" t="e">
        <f t="shared" ca="1" si="83"/>
        <v>#VALUE!</v>
      </c>
      <c r="BQ91" s="16" t="e">
        <f t="shared" ca="1" si="84"/>
        <v>#VALUE!</v>
      </c>
      <c r="BR91" s="17" t="e">
        <f t="shared" ca="1" si="67"/>
        <v>#VALUE!</v>
      </c>
      <c r="BS91" s="17" t="e">
        <f t="shared" ca="1" si="68"/>
        <v>#VALUE!</v>
      </c>
      <c r="BT91" s="17" t="e">
        <f t="shared" ca="1" si="85"/>
        <v>#VALUE!</v>
      </c>
      <c r="BU91" s="17" t="e">
        <f>#REF!</f>
        <v>#REF!</v>
      </c>
      <c r="BV91" s="17" t="e">
        <f t="shared" ca="1" si="86"/>
        <v>#VALUE!</v>
      </c>
      <c r="BW91" s="17" t="e">
        <f t="shared" ca="1" si="87"/>
        <v>#VALUE!</v>
      </c>
      <c r="BX91" s="17" t="e">
        <f t="shared" ca="1" si="88"/>
        <v>#VALUE!</v>
      </c>
      <c r="BY91" s="17" t="e">
        <f t="shared" ca="1" si="89"/>
        <v>#VALUE!</v>
      </c>
      <c r="BZ91" s="17" t="e">
        <f t="shared" si="90"/>
        <v>#REF!</v>
      </c>
      <c r="CA91" s="17" t="e">
        <f t="shared" si="91"/>
        <v>#REF!</v>
      </c>
      <c r="CB91" s="17" t="e">
        <f t="shared" si="92"/>
        <v>#REF!</v>
      </c>
      <c r="CC91" s="17" t="e">
        <f t="shared" si="93"/>
        <v>#REF!</v>
      </c>
      <c r="CD91" s="18" t="e">
        <f t="shared" ca="1" si="94"/>
        <v>#VALUE!</v>
      </c>
      <c r="CE91" s="19" t="e">
        <f ca="1">IF(CD91&gt;=#REF!/100,"Yes","No")</f>
        <v>#VALUE!</v>
      </c>
      <c r="CF91" s="20">
        <f t="shared" si="69"/>
        <v>2</v>
      </c>
      <c r="CG91" s="20" t="e">
        <f t="shared" ca="1" si="95"/>
        <v>#VALUE!</v>
      </c>
      <c r="CH91" s="16" t="e">
        <f t="shared" ca="1" si="96"/>
        <v>#VALUE!</v>
      </c>
      <c r="CI91" s="17" t="e">
        <f t="shared" ca="1" si="70"/>
        <v>#VALUE!</v>
      </c>
      <c r="CJ91" s="17" t="e">
        <f t="shared" ca="1" si="71"/>
        <v>#VALUE!</v>
      </c>
      <c r="CK91" s="17" t="e">
        <f t="shared" ca="1" si="97"/>
        <v>#VALUE!</v>
      </c>
      <c r="CL91" s="17" t="e">
        <f>#REF!</f>
        <v>#REF!</v>
      </c>
      <c r="CM91" s="17" t="e">
        <f t="shared" ca="1" si="98"/>
        <v>#VALUE!</v>
      </c>
      <c r="CN91" s="17" t="e">
        <f t="shared" ca="1" si="99"/>
        <v>#VALUE!</v>
      </c>
      <c r="CO91" s="17" t="e">
        <f t="shared" ca="1" si="100"/>
        <v>#VALUE!</v>
      </c>
      <c r="CP91" s="17" t="e">
        <f t="shared" ca="1" si="101"/>
        <v>#VALUE!</v>
      </c>
      <c r="CQ91" s="17" t="e">
        <f t="shared" si="102"/>
        <v>#REF!</v>
      </c>
      <c r="CR91" s="17" t="e">
        <f t="shared" si="103"/>
        <v>#REF!</v>
      </c>
      <c r="CS91" s="17" t="e">
        <f t="shared" si="104"/>
        <v>#REF!</v>
      </c>
      <c r="CT91" s="17" t="e">
        <f t="shared" si="105"/>
        <v>#REF!</v>
      </c>
      <c r="CU91" s="18" t="e">
        <f t="shared" ca="1" si="106"/>
        <v>#VALUE!</v>
      </c>
      <c r="CV91" s="19" t="e">
        <f ca="1">IF(CU91&gt;=#REF!/100,"Yes","No")</f>
        <v>#VALUE!</v>
      </c>
    </row>
    <row r="92" spans="1:100" x14ac:dyDescent="0.25">
      <c r="A92" t="s">
        <v>189</v>
      </c>
      <c r="B92" t="s">
        <v>190</v>
      </c>
      <c r="C92">
        <v>113206071</v>
      </c>
      <c r="D92" t="str">
        <f t="shared" si="61"/>
        <v>Dağ, Mustafa-113206071</v>
      </c>
      <c r="E92" s="22">
        <v>7</v>
      </c>
      <c r="F92" s="22">
        <v>1</v>
      </c>
      <c r="G92" s="22">
        <v>8</v>
      </c>
      <c r="H92" s="22">
        <v>8457220</v>
      </c>
      <c r="I92" s="22">
        <v>9783459</v>
      </c>
      <c r="J92" s="22">
        <v>6437681</v>
      </c>
      <c r="K92" s="22">
        <v>827809</v>
      </c>
      <c r="L92" s="22">
        <v>100000</v>
      </c>
      <c r="M92" s="22">
        <v>109500</v>
      </c>
      <c r="N92" s="22">
        <v>117700</v>
      </c>
      <c r="O92" s="22">
        <v>126300</v>
      </c>
      <c r="P92" s="22">
        <v>109500</v>
      </c>
      <c r="Q92" s="22">
        <v>100000</v>
      </c>
      <c r="R92" s="22">
        <v>117700</v>
      </c>
      <c r="S92" s="22">
        <v>126300</v>
      </c>
      <c r="T92" s="24">
        <v>25000</v>
      </c>
      <c r="U92" s="22">
        <v>26788</v>
      </c>
      <c r="V92" s="22">
        <v>24688</v>
      </c>
      <c r="W92" s="22">
        <v>22388</v>
      </c>
      <c r="X92" s="22">
        <v>26788</v>
      </c>
      <c r="Y92" s="22">
        <v>29088</v>
      </c>
      <c r="Z92" s="22">
        <v>24688</v>
      </c>
      <c r="AA92" s="22">
        <v>22388</v>
      </c>
      <c r="AB92" s="24">
        <v>92000</v>
      </c>
      <c r="AC92" s="24">
        <v>90000</v>
      </c>
      <c r="AD92" s="24">
        <v>91000</v>
      </c>
      <c r="AE92" s="24">
        <v>89000</v>
      </c>
      <c r="AF92" s="24">
        <v>89000</v>
      </c>
      <c r="AG92" s="24">
        <v>88500</v>
      </c>
      <c r="AH92" s="24">
        <v>88500</v>
      </c>
      <c r="AI92" s="24">
        <v>85500</v>
      </c>
      <c r="AJ92" s="25">
        <v>2.6</v>
      </c>
      <c r="AK92" s="25">
        <v>6.8</v>
      </c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8">
        <f t="shared" si="62"/>
        <v>4</v>
      </c>
      <c r="AY92" s="8">
        <f t="shared" si="63"/>
        <v>3</v>
      </c>
      <c r="AZ92" s="13" t="str">
        <f t="shared" si="72"/>
        <v>∆(4-3)</v>
      </c>
      <c r="BA92" s="10">
        <f t="shared" ca="1" si="64"/>
        <v>-9700</v>
      </c>
      <c r="BB92" s="10">
        <f t="shared" ca="1" si="65"/>
        <v>2400</v>
      </c>
      <c r="BC92" s="10">
        <f t="shared" ca="1" si="73"/>
        <v>1940</v>
      </c>
      <c r="BD92" s="10" t="e">
        <f>#REF!</f>
        <v>#REF!</v>
      </c>
      <c r="BE92" s="10">
        <f t="shared" ca="1" si="74"/>
        <v>-9700</v>
      </c>
      <c r="BF92" s="10">
        <f t="shared" ca="1" si="75"/>
        <v>2400</v>
      </c>
      <c r="BG92" s="10">
        <f t="shared" ca="1" si="76"/>
        <v>2400</v>
      </c>
      <c r="BH92" s="10">
        <f t="shared" ca="1" si="77"/>
        <v>2400</v>
      </c>
      <c r="BI92" s="10" t="e">
        <f t="shared" si="78"/>
        <v>#REF!</v>
      </c>
      <c r="BJ92" s="10" t="e">
        <f t="shared" si="79"/>
        <v>#REF!</v>
      </c>
      <c r="BK92" s="10" t="e">
        <f t="shared" si="80"/>
        <v>#REF!</v>
      </c>
      <c r="BL92" s="10" t="e">
        <f t="shared" si="81"/>
        <v>#REF!</v>
      </c>
      <c r="BM92" s="14" t="e">
        <f t="shared" ca="1" si="82"/>
        <v>#VALUE!</v>
      </c>
      <c r="BN92" s="15" t="e">
        <f ca="1">IF(BM92&gt;=#REF!/100,"Yes","No")</f>
        <v>#VALUE!</v>
      </c>
      <c r="BO92" s="6">
        <f t="shared" si="66"/>
        <v>2</v>
      </c>
      <c r="BP92" s="6" t="e">
        <f t="shared" ca="1" si="83"/>
        <v>#VALUE!</v>
      </c>
      <c r="BQ92" s="13" t="e">
        <f t="shared" ca="1" si="84"/>
        <v>#VALUE!</v>
      </c>
      <c r="BR92" s="10" t="e">
        <f t="shared" ca="1" si="67"/>
        <v>#VALUE!</v>
      </c>
      <c r="BS92" s="10" t="e">
        <f t="shared" ca="1" si="68"/>
        <v>#VALUE!</v>
      </c>
      <c r="BT92" s="10" t="e">
        <f t="shared" ca="1" si="85"/>
        <v>#VALUE!</v>
      </c>
      <c r="BU92" s="10" t="e">
        <f>#REF!</f>
        <v>#REF!</v>
      </c>
      <c r="BV92" s="10" t="e">
        <f t="shared" ca="1" si="86"/>
        <v>#VALUE!</v>
      </c>
      <c r="BW92" s="10" t="e">
        <f t="shared" ca="1" si="87"/>
        <v>#VALUE!</v>
      </c>
      <c r="BX92" s="10" t="e">
        <f t="shared" ca="1" si="88"/>
        <v>#VALUE!</v>
      </c>
      <c r="BY92" s="10" t="e">
        <f t="shared" ca="1" si="89"/>
        <v>#VALUE!</v>
      </c>
      <c r="BZ92" s="10" t="e">
        <f t="shared" si="90"/>
        <v>#REF!</v>
      </c>
      <c r="CA92" s="10" t="e">
        <f t="shared" si="91"/>
        <v>#REF!</v>
      </c>
      <c r="CB92" s="10" t="e">
        <f t="shared" si="92"/>
        <v>#REF!</v>
      </c>
      <c r="CC92" s="10" t="e">
        <f t="shared" si="93"/>
        <v>#REF!</v>
      </c>
      <c r="CD92" s="14" t="e">
        <f t="shared" ca="1" si="94"/>
        <v>#VALUE!</v>
      </c>
      <c r="CE92" s="15" t="e">
        <f ca="1">IF(CD92&gt;=#REF!/100,"Yes","No")</f>
        <v>#VALUE!</v>
      </c>
      <c r="CF92" s="6">
        <f t="shared" si="69"/>
        <v>1</v>
      </c>
      <c r="CG92" s="6" t="e">
        <f t="shared" ca="1" si="95"/>
        <v>#VALUE!</v>
      </c>
      <c r="CH92" s="13" t="e">
        <f t="shared" ca="1" si="96"/>
        <v>#VALUE!</v>
      </c>
      <c r="CI92" s="10" t="e">
        <f t="shared" ca="1" si="70"/>
        <v>#VALUE!</v>
      </c>
      <c r="CJ92" s="10" t="e">
        <f t="shared" ca="1" si="71"/>
        <v>#VALUE!</v>
      </c>
      <c r="CK92" s="10" t="e">
        <f t="shared" ca="1" si="97"/>
        <v>#VALUE!</v>
      </c>
      <c r="CL92" s="10" t="e">
        <f>#REF!</f>
        <v>#REF!</v>
      </c>
      <c r="CM92" s="10" t="e">
        <f t="shared" ca="1" si="98"/>
        <v>#VALUE!</v>
      </c>
      <c r="CN92" s="10" t="e">
        <f t="shared" ca="1" si="99"/>
        <v>#VALUE!</v>
      </c>
      <c r="CO92" s="10" t="e">
        <f t="shared" ca="1" si="100"/>
        <v>#VALUE!</v>
      </c>
      <c r="CP92" s="10" t="e">
        <f t="shared" ca="1" si="101"/>
        <v>#VALUE!</v>
      </c>
      <c r="CQ92" s="10" t="e">
        <f t="shared" si="102"/>
        <v>#REF!</v>
      </c>
      <c r="CR92" s="10" t="e">
        <f t="shared" si="103"/>
        <v>#REF!</v>
      </c>
      <c r="CS92" s="10" t="e">
        <f t="shared" si="104"/>
        <v>#REF!</v>
      </c>
      <c r="CT92" s="10" t="e">
        <f t="shared" si="105"/>
        <v>#REF!</v>
      </c>
      <c r="CU92" s="14" t="e">
        <f t="shared" ca="1" si="106"/>
        <v>#VALUE!</v>
      </c>
      <c r="CV92" s="15" t="e">
        <f ca="1">IF(CU92&gt;=#REF!/100,"Yes","No")</f>
        <v>#VALUE!</v>
      </c>
    </row>
    <row r="93" spans="1:100" x14ac:dyDescent="0.25">
      <c r="A93" t="s">
        <v>191</v>
      </c>
      <c r="B93" t="s">
        <v>192</v>
      </c>
      <c r="C93">
        <v>111202022</v>
      </c>
      <c r="D93" t="str">
        <f t="shared" si="61"/>
        <v>Dağlı, Arda-111202022</v>
      </c>
      <c r="E93" s="22">
        <v>4</v>
      </c>
      <c r="F93" s="22">
        <v>1</v>
      </c>
      <c r="G93" s="22">
        <v>8</v>
      </c>
      <c r="H93" s="22">
        <v>5411219</v>
      </c>
      <c r="I93" s="22">
        <v>5406891</v>
      </c>
      <c r="J93" s="22">
        <v>5285375</v>
      </c>
      <c r="K93" s="22">
        <v>2562780</v>
      </c>
      <c r="L93" s="22">
        <v>100000</v>
      </c>
      <c r="M93" s="22">
        <v>109300</v>
      </c>
      <c r="N93" s="22">
        <v>119300</v>
      </c>
      <c r="O93" s="22">
        <v>127500</v>
      </c>
      <c r="P93" s="22">
        <v>100000</v>
      </c>
      <c r="Q93" s="22">
        <v>109300</v>
      </c>
      <c r="R93" s="22">
        <v>119300</v>
      </c>
      <c r="S93" s="22">
        <v>127500</v>
      </c>
      <c r="T93" s="24">
        <v>25000</v>
      </c>
      <c r="U93" s="22">
        <v>26889</v>
      </c>
      <c r="V93" s="22">
        <v>24789</v>
      </c>
      <c r="W93" s="22">
        <v>22789</v>
      </c>
      <c r="X93" s="22">
        <v>29089</v>
      </c>
      <c r="Y93" s="22">
        <v>26889</v>
      </c>
      <c r="Z93" s="22">
        <v>24789</v>
      </c>
      <c r="AA93" s="22">
        <v>22789</v>
      </c>
      <c r="AB93" s="24">
        <v>111000</v>
      </c>
      <c r="AC93" s="24">
        <v>112000</v>
      </c>
      <c r="AD93" s="24">
        <v>114000</v>
      </c>
      <c r="AE93" s="24">
        <v>114000</v>
      </c>
      <c r="AF93" s="24">
        <v>108500</v>
      </c>
      <c r="AG93" s="24">
        <v>108000</v>
      </c>
      <c r="AH93" s="24">
        <v>112000</v>
      </c>
      <c r="AI93" s="24">
        <v>110500</v>
      </c>
      <c r="AJ93" s="25">
        <v>3.7</v>
      </c>
      <c r="AK93" s="25">
        <v>7.7</v>
      </c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8">
        <f t="shared" si="62"/>
        <v>1</v>
      </c>
      <c r="AY93" s="8">
        <f t="shared" si="63"/>
        <v>2</v>
      </c>
      <c r="AZ93" s="16" t="str">
        <f t="shared" si="72"/>
        <v>∆(1-2)</v>
      </c>
      <c r="BA93" s="17">
        <f t="shared" ca="1" si="64"/>
        <v>-9500</v>
      </c>
      <c r="BB93" s="17">
        <f t="shared" ca="1" si="65"/>
        <v>2300</v>
      </c>
      <c r="BC93" s="17">
        <f t="shared" ca="1" si="73"/>
        <v>1900</v>
      </c>
      <c r="BD93" s="17" t="e">
        <f>#REF!</f>
        <v>#REF!</v>
      </c>
      <c r="BE93" s="17">
        <f t="shared" ca="1" si="74"/>
        <v>-9500</v>
      </c>
      <c r="BF93" s="17">
        <f t="shared" ca="1" si="75"/>
        <v>2300</v>
      </c>
      <c r="BG93" s="17">
        <f t="shared" ca="1" si="76"/>
        <v>2300</v>
      </c>
      <c r="BH93" s="17">
        <f t="shared" ca="1" si="77"/>
        <v>2300</v>
      </c>
      <c r="BI93" s="17" t="e">
        <f t="shared" si="78"/>
        <v>#REF!</v>
      </c>
      <c r="BJ93" s="17" t="e">
        <f t="shared" si="79"/>
        <v>#REF!</v>
      </c>
      <c r="BK93" s="17" t="e">
        <f t="shared" si="80"/>
        <v>#REF!</v>
      </c>
      <c r="BL93" s="17" t="e">
        <f t="shared" si="81"/>
        <v>#REF!</v>
      </c>
      <c r="BM93" s="18" t="e">
        <f t="shared" ca="1" si="82"/>
        <v>#VALUE!</v>
      </c>
      <c r="BN93" s="19" t="e">
        <f ca="1">IF(BM93&gt;=#REF!/100,"Yes","No")</f>
        <v>#VALUE!</v>
      </c>
      <c r="BO93" s="20">
        <f t="shared" si="66"/>
        <v>3</v>
      </c>
      <c r="BP93" s="20" t="e">
        <f t="shared" ca="1" si="83"/>
        <v>#VALUE!</v>
      </c>
      <c r="BQ93" s="16" t="e">
        <f t="shared" ca="1" si="84"/>
        <v>#VALUE!</v>
      </c>
      <c r="BR93" s="17" t="e">
        <f t="shared" ca="1" si="67"/>
        <v>#VALUE!</v>
      </c>
      <c r="BS93" s="17" t="e">
        <f t="shared" ca="1" si="68"/>
        <v>#VALUE!</v>
      </c>
      <c r="BT93" s="17" t="e">
        <f t="shared" ca="1" si="85"/>
        <v>#VALUE!</v>
      </c>
      <c r="BU93" s="17" t="e">
        <f>#REF!</f>
        <v>#REF!</v>
      </c>
      <c r="BV93" s="17" t="e">
        <f t="shared" ca="1" si="86"/>
        <v>#VALUE!</v>
      </c>
      <c r="BW93" s="17" t="e">
        <f t="shared" ca="1" si="87"/>
        <v>#VALUE!</v>
      </c>
      <c r="BX93" s="17" t="e">
        <f t="shared" ca="1" si="88"/>
        <v>#VALUE!</v>
      </c>
      <c r="BY93" s="17" t="e">
        <f t="shared" ca="1" si="89"/>
        <v>#VALUE!</v>
      </c>
      <c r="BZ93" s="17" t="e">
        <f t="shared" si="90"/>
        <v>#REF!</v>
      </c>
      <c r="CA93" s="17" t="e">
        <f t="shared" si="91"/>
        <v>#REF!</v>
      </c>
      <c r="CB93" s="17" t="e">
        <f t="shared" si="92"/>
        <v>#REF!</v>
      </c>
      <c r="CC93" s="17" t="e">
        <f t="shared" si="93"/>
        <v>#REF!</v>
      </c>
      <c r="CD93" s="18" t="e">
        <f t="shared" ca="1" si="94"/>
        <v>#VALUE!</v>
      </c>
      <c r="CE93" s="19" t="e">
        <f ca="1">IF(CD93&gt;=#REF!/100,"Yes","No")</f>
        <v>#VALUE!</v>
      </c>
      <c r="CF93" s="20">
        <f t="shared" si="69"/>
        <v>4</v>
      </c>
      <c r="CG93" s="20" t="e">
        <f t="shared" ca="1" si="95"/>
        <v>#VALUE!</v>
      </c>
      <c r="CH93" s="16" t="e">
        <f t="shared" ca="1" si="96"/>
        <v>#VALUE!</v>
      </c>
      <c r="CI93" s="17" t="e">
        <f t="shared" ca="1" si="70"/>
        <v>#VALUE!</v>
      </c>
      <c r="CJ93" s="17" t="e">
        <f t="shared" ca="1" si="71"/>
        <v>#VALUE!</v>
      </c>
      <c r="CK93" s="17" t="e">
        <f t="shared" ca="1" si="97"/>
        <v>#VALUE!</v>
      </c>
      <c r="CL93" s="17" t="e">
        <f>#REF!</f>
        <v>#REF!</v>
      </c>
      <c r="CM93" s="17" t="e">
        <f t="shared" ca="1" si="98"/>
        <v>#VALUE!</v>
      </c>
      <c r="CN93" s="17" t="e">
        <f t="shared" ca="1" si="99"/>
        <v>#VALUE!</v>
      </c>
      <c r="CO93" s="17" t="e">
        <f t="shared" ca="1" si="100"/>
        <v>#VALUE!</v>
      </c>
      <c r="CP93" s="17" t="e">
        <f t="shared" ca="1" si="101"/>
        <v>#VALUE!</v>
      </c>
      <c r="CQ93" s="17" t="e">
        <f t="shared" si="102"/>
        <v>#REF!</v>
      </c>
      <c r="CR93" s="17" t="e">
        <f t="shared" si="103"/>
        <v>#REF!</v>
      </c>
      <c r="CS93" s="17" t="e">
        <f t="shared" si="104"/>
        <v>#REF!</v>
      </c>
      <c r="CT93" s="17" t="e">
        <f t="shared" si="105"/>
        <v>#REF!</v>
      </c>
      <c r="CU93" s="18" t="e">
        <f t="shared" ca="1" si="106"/>
        <v>#VALUE!</v>
      </c>
      <c r="CV93" s="19" t="e">
        <f ca="1">IF(CU93&gt;=#REF!/100,"Yes","No")</f>
        <v>#VALUE!</v>
      </c>
    </row>
    <row r="94" spans="1:100" x14ac:dyDescent="0.25">
      <c r="A94" t="s">
        <v>191</v>
      </c>
      <c r="B94" t="s">
        <v>193</v>
      </c>
      <c r="C94">
        <v>112202023</v>
      </c>
      <c r="D94" t="str">
        <f t="shared" si="61"/>
        <v>Dağlı, Cem-112202023</v>
      </c>
      <c r="E94" s="22">
        <v>7</v>
      </c>
      <c r="F94" s="22">
        <v>2</v>
      </c>
      <c r="G94" s="22">
        <v>10</v>
      </c>
      <c r="H94" s="22">
        <v>492525</v>
      </c>
      <c r="I94" s="22">
        <v>2208046</v>
      </c>
      <c r="J94" s="22">
        <v>3366340</v>
      </c>
      <c r="K94" s="22">
        <v>6502672</v>
      </c>
      <c r="L94" s="22">
        <v>100000</v>
      </c>
      <c r="M94" s="22">
        <v>108000</v>
      </c>
      <c r="N94" s="22">
        <v>116400</v>
      </c>
      <c r="O94" s="22">
        <v>125900</v>
      </c>
      <c r="P94" s="22">
        <v>125900</v>
      </c>
      <c r="Q94" s="22">
        <v>116400</v>
      </c>
      <c r="R94" s="22">
        <v>108000</v>
      </c>
      <c r="S94" s="22">
        <v>100000</v>
      </c>
      <c r="T94" s="24">
        <v>29000</v>
      </c>
      <c r="U94" s="22">
        <v>26690</v>
      </c>
      <c r="V94" s="22">
        <v>24490</v>
      </c>
      <c r="W94" s="22">
        <v>22490</v>
      </c>
      <c r="X94" s="22">
        <v>22490</v>
      </c>
      <c r="Y94" s="22">
        <v>24490</v>
      </c>
      <c r="Z94" s="22">
        <v>26690</v>
      </c>
      <c r="AA94" s="22">
        <v>29090</v>
      </c>
      <c r="AB94" s="24">
        <v>119000</v>
      </c>
      <c r="AC94" s="24">
        <v>116000</v>
      </c>
      <c r="AD94" s="24">
        <v>114000</v>
      </c>
      <c r="AE94" s="24">
        <v>115000</v>
      </c>
      <c r="AF94" s="24">
        <v>117500</v>
      </c>
      <c r="AG94" s="24">
        <v>112500</v>
      </c>
      <c r="AH94" s="24">
        <v>110000</v>
      </c>
      <c r="AI94" s="24">
        <v>111000</v>
      </c>
      <c r="AJ94" s="25">
        <v>4.5</v>
      </c>
      <c r="AK94" s="25">
        <v>8.5</v>
      </c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8">
        <f t="shared" si="62"/>
        <v>2</v>
      </c>
      <c r="AY94" s="8">
        <f t="shared" si="63"/>
        <v>1</v>
      </c>
      <c r="AZ94" s="13" t="str">
        <f t="shared" si="72"/>
        <v>∆(2-1)</v>
      </c>
      <c r="BA94" s="10">
        <f t="shared" ca="1" si="64"/>
        <v>-9300</v>
      </c>
      <c r="BB94" s="10">
        <f t="shared" ca="1" si="65"/>
        <v>2200</v>
      </c>
      <c r="BC94" s="10">
        <f t="shared" ca="1" si="73"/>
        <v>1860</v>
      </c>
      <c r="BD94" s="10" t="e">
        <f>#REF!</f>
        <v>#REF!</v>
      </c>
      <c r="BE94" s="10">
        <f t="shared" ca="1" si="74"/>
        <v>-9300</v>
      </c>
      <c r="BF94" s="10">
        <f t="shared" ca="1" si="75"/>
        <v>2200</v>
      </c>
      <c r="BG94" s="10">
        <f t="shared" ca="1" si="76"/>
        <v>2200</v>
      </c>
      <c r="BH94" s="10">
        <f t="shared" ca="1" si="77"/>
        <v>2200</v>
      </c>
      <c r="BI94" s="10" t="e">
        <f t="shared" si="78"/>
        <v>#REF!</v>
      </c>
      <c r="BJ94" s="10" t="e">
        <f t="shared" si="79"/>
        <v>#REF!</v>
      </c>
      <c r="BK94" s="10" t="e">
        <f t="shared" si="80"/>
        <v>#REF!</v>
      </c>
      <c r="BL94" s="10" t="e">
        <f t="shared" si="81"/>
        <v>#REF!</v>
      </c>
      <c r="BM94" s="14" t="e">
        <f t="shared" ca="1" si="82"/>
        <v>#VALUE!</v>
      </c>
      <c r="BN94" s="15" t="e">
        <f ca="1">IF(BM94&gt;=#REF!/100,"Yes","No")</f>
        <v>#VALUE!</v>
      </c>
      <c r="BO94" s="6">
        <f t="shared" si="66"/>
        <v>3</v>
      </c>
      <c r="BP94" s="6" t="e">
        <f t="shared" ca="1" si="83"/>
        <v>#VALUE!</v>
      </c>
      <c r="BQ94" s="13" t="e">
        <f t="shared" ca="1" si="84"/>
        <v>#VALUE!</v>
      </c>
      <c r="BR94" s="10" t="e">
        <f t="shared" ca="1" si="67"/>
        <v>#VALUE!</v>
      </c>
      <c r="BS94" s="10" t="e">
        <f t="shared" ca="1" si="68"/>
        <v>#VALUE!</v>
      </c>
      <c r="BT94" s="10" t="e">
        <f t="shared" ca="1" si="85"/>
        <v>#VALUE!</v>
      </c>
      <c r="BU94" s="10" t="e">
        <f>#REF!</f>
        <v>#REF!</v>
      </c>
      <c r="BV94" s="10" t="e">
        <f t="shared" ca="1" si="86"/>
        <v>#VALUE!</v>
      </c>
      <c r="BW94" s="10" t="e">
        <f t="shared" ca="1" si="87"/>
        <v>#VALUE!</v>
      </c>
      <c r="BX94" s="10" t="e">
        <f t="shared" ca="1" si="88"/>
        <v>#VALUE!</v>
      </c>
      <c r="BY94" s="10" t="e">
        <f t="shared" ca="1" si="89"/>
        <v>#VALUE!</v>
      </c>
      <c r="BZ94" s="10" t="e">
        <f t="shared" si="90"/>
        <v>#REF!</v>
      </c>
      <c r="CA94" s="10" t="e">
        <f t="shared" si="91"/>
        <v>#REF!</v>
      </c>
      <c r="CB94" s="10" t="e">
        <f t="shared" si="92"/>
        <v>#REF!</v>
      </c>
      <c r="CC94" s="10" t="e">
        <f t="shared" si="93"/>
        <v>#REF!</v>
      </c>
      <c r="CD94" s="14" t="e">
        <f t="shared" ca="1" si="94"/>
        <v>#VALUE!</v>
      </c>
      <c r="CE94" s="15" t="e">
        <f ca="1">IF(CD94&gt;=#REF!/100,"Yes","No")</f>
        <v>#VALUE!</v>
      </c>
      <c r="CF94" s="6">
        <f t="shared" si="69"/>
        <v>4</v>
      </c>
      <c r="CG94" s="6" t="e">
        <f t="shared" ca="1" si="95"/>
        <v>#VALUE!</v>
      </c>
      <c r="CH94" s="13" t="e">
        <f t="shared" ca="1" si="96"/>
        <v>#VALUE!</v>
      </c>
      <c r="CI94" s="10" t="e">
        <f t="shared" ca="1" si="70"/>
        <v>#VALUE!</v>
      </c>
      <c r="CJ94" s="10" t="e">
        <f t="shared" ca="1" si="71"/>
        <v>#VALUE!</v>
      </c>
      <c r="CK94" s="10" t="e">
        <f t="shared" ca="1" si="97"/>
        <v>#VALUE!</v>
      </c>
      <c r="CL94" s="10" t="e">
        <f>#REF!</f>
        <v>#REF!</v>
      </c>
      <c r="CM94" s="10" t="e">
        <f t="shared" ca="1" si="98"/>
        <v>#VALUE!</v>
      </c>
      <c r="CN94" s="10" t="e">
        <f t="shared" ca="1" si="99"/>
        <v>#VALUE!</v>
      </c>
      <c r="CO94" s="10" t="e">
        <f t="shared" ca="1" si="100"/>
        <v>#VALUE!</v>
      </c>
      <c r="CP94" s="10" t="e">
        <f t="shared" ca="1" si="101"/>
        <v>#VALUE!</v>
      </c>
      <c r="CQ94" s="10" t="e">
        <f t="shared" si="102"/>
        <v>#REF!</v>
      </c>
      <c r="CR94" s="10" t="e">
        <f t="shared" si="103"/>
        <v>#REF!</v>
      </c>
      <c r="CS94" s="10" t="e">
        <f t="shared" si="104"/>
        <v>#REF!</v>
      </c>
      <c r="CT94" s="10" t="e">
        <f t="shared" si="105"/>
        <v>#REF!</v>
      </c>
      <c r="CU94" s="14" t="e">
        <f t="shared" ca="1" si="106"/>
        <v>#VALUE!</v>
      </c>
      <c r="CV94" s="15" t="e">
        <f ca="1">IF(CU94&gt;=#REF!/100,"Yes","No")</f>
        <v>#VALUE!</v>
      </c>
    </row>
    <row r="95" spans="1:100" x14ac:dyDescent="0.25">
      <c r="A95" t="s">
        <v>194</v>
      </c>
      <c r="B95" t="s">
        <v>195</v>
      </c>
      <c r="C95">
        <v>116202086</v>
      </c>
      <c r="D95" t="str">
        <f t="shared" si="61"/>
        <v>Darkal, Anas-116202086</v>
      </c>
      <c r="E95" s="22">
        <v>7</v>
      </c>
      <c r="F95" s="22">
        <v>2</v>
      </c>
      <c r="G95" s="22">
        <v>10</v>
      </c>
      <c r="H95" s="22">
        <v>1833585</v>
      </c>
      <c r="I95" s="22">
        <v>6049449</v>
      </c>
      <c r="J95" s="22">
        <v>2840384</v>
      </c>
      <c r="K95" s="22">
        <v>9952289</v>
      </c>
      <c r="L95" s="22">
        <v>100000</v>
      </c>
      <c r="M95" s="22">
        <v>108900</v>
      </c>
      <c r="N95" s="22">
        <v>118300</v>
      </c>
      <c r="O95" s="22">
        <v>127000</v>
      </c>
      <c r="P95" s="22">
        <v>127000</v>
      </c>
      <c r="Q95" s="22">
        <v>108900</v>
      </c>
      <c r="R95" s="22">
        <v>118300</v>
      </c>
      <c r="S95" s="22">
        <v>100000</v>
      </c>
      <c r="T95" s="24">
        <v>26000</v>
      </c>
      <c r="U95" s="22">
        <v>26891</v>
      </c>
      <c r="V95" s="22">
        <v>24591</v>
      </c>
      <c r="W95" s="22">
        <v>22291</v>
      </c>
      <c r="X95" s="22">
        <v>22291</v>
      </c>
      <c r="Y95" s="22">
        <v>26891</v>
      </c>
      <c r="Z95" s="22">
        <v>24591</v>
      </c>
      <c r="AA95" s="22">
        <v>29091</v>
      </c>
      <c r="AB95" s="24">
        <v>95000</v>
      </c>
      <c r="AC95" s="24">
        <v>99000</v>
      </c>
      <c r="AD95" s="24">
        <v>103000</v>
      </c>
      <c r="AE95" s="24">
        <v>100000</v>
      </c>
      <c r="AF95" s="24">
        <v>91000</v>
      </c>
      <c r="AG95" s="24">
        <v>97500</v>
      </c>
      <c r="AH95" s="24">
        <v>100500</v>
      </c>
      <c r="AI95" s="24">
        <v>97000</v>
      </c>
      <c r="AJ95" s="25">
        <v>3.7</v>
      </c>
      <c r="AK95" s="25">
        <v>8.4</v>
      </c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8">
        <f t="shared" si="62"/>
        <v>3</v>
      </c>
      <c r="AY95" s="8">
        <f t="shared" si="63"/>
        <v>4</v>
      </c>
      <c r="AZ95" s="16" t="str">
        <f t="shared" si="72"/>
        <v>∆(3-4)</v>
      </c>
      <c r="BA95" s="17">
        <f t="shared" ca="1" si="64"/>
        <v>-8000</v>
      </c>
      <c r="BB95" s="17">
        <f t="shared" ca="1" si="65"/>
        <v>2400</v>
      </c>
      <c r="BC95" s="17">
        <f t="shared" ca="1" si="73"/>
        <v>1600</v>
      </c>
      <c r="BD95" s="17" t="e">
        <f>#REF!</f>
        <v>#REF!</v>
      </c>
      <c r="BE95" s="17">
        <f t="shared" ca="1" si="74"/>
        <v>-8000</v>
      </c>
      <c r="BF95" s="17">
        <f t="shared" ca="1" si="75"/>
        <v>2400</v>
      </c>
      <c r="BG95" s="17">
        <f t="shared" ca="1" si="76"/>
        <v>2400</v>
      </c>
      <c r="BH95" s="17">
        <f t="shared" ca="1" si="77"/>
        <v>2400</v>
      </c>
      <c r="BI95" s="17" t="e">
        <f t="shared" si="78"/>
        <v>#REF!</v>
      </c>
      <c r="BJ95" s="17" t="e">
        <f t="shared" si="79"/>
        <v>#REF!</v>
      </c>
      <c r="BK95" s="17" t="e">
        <f t="shared" si="80"/>
        <v>#REF!</v>
      </c>
      <c r="BL95" s="17" t="e">
        <f t="shared" si="81"/>
        <v>#REF!</v>
      </c>
      <c r="BM95" s="18" t="e">
        <f t="shared" ca="1" si="82"/>
        <v>#VALUE!</v>
      </c>
      <c r="BN95" s="19" t="e">
        <f ca="1">IF(BM95&gt;=#REF!/100,"Yes","No")</f>
        <v>#VALUE!</v>
      </c>
      <c r="BO95" s="20">
        <f t="shared" si="66"/>
        <v>2</v>
      </c>
      <c r="BP95" s="20" t="e">
        <f t="shared" ca="1" si="83"/>
        <v>#VALUE!</v>
      </c>
      <c r="BQ95" s="16" t="e">
        <f t="shared" ca="1" si="84"/>
        <v>#VALUE!</v>
      </c>
      <c r="BR95" s="17" t="e">
        <f t="shared" ca="1" si="67"/>
        <v>#VALUE!</v>
      </c>
      <c r="BS95" s="17" t="e">
        <f t="shared" ca="1" si="68"/>
        <v>#VALUE!</v>
      </c>
      <c r="BT95" s="17" t="e">
        <f t="shared" ca="1" si="85"/>
        <v>#VALUE!</v>
      </c>
      <c r="BU95" s="17" t="e">
        <f>#REF!</f>
        <v>#REF!</v>
      </c>
      <c r="BV95" s="17" t="e">
        <f t="shared" ca="1" si="86"/>
        <v>#VALUE!</v>
      </c>
      <c r="BW95" s="17" t="e">
        <f t="shared" ca="1" si="87"/>
        <v>#VALUE!</v>
      </c>
      <c r="BX95" s="17" t="e">
        <f t="shared" ca="1" si="88"/>
        <v>#VALUE!</v>
      </c>
      <c r="BY95" s="17" t="e">
        <f t="shared" ca="1" si="89"/>
        <v>#VALUE!</v>
      </c>
      <c r="BZ95" s="17" t="e">
        <f t="shared" si="90"/>
        <v>#REF!</v>
      </c>
      <c r="CA95" s="17" t="e">
        <f t="shared" si="91"/>
        <v>#REF!</v>
      </c>
      <c r="CB95" s="17" t="e">
        <f t="shared" si="92"/>
        <v>#REF!</v>
      </c>
      <c r="CC95" s="17" t="e">
        <f t="shared" si="93"/>
        <v>#REF!</v>
      </c>
      <c r="CD95" s="18" t="e">
        <f t="shared" ca="1" si="94"/>
        <v>#VALUE!</v>
      </c>
      <c r="CE95" s="19" t="e">
        <f ca="1">IF(CD95&gt;=#REF!/100,"Yes","No")</f>
        <v>#VALUE!</v>
      </c>
      <c r="CF95" s="20">
        <f t="shared" si="69"/>
        <v>1</v>
      </c>
      <c r="CG95" s="20" t="e">
        <f t="shared" ca="1" si="95"/>
        <v>#VALUE!</v>
      </c>
      <c r="CH95" s="16" t="e">
        <f t="shared" ca="1" si="96"/>
        <v>#VALUE!</v>
      </c>
      <c r="CI95" s="17" t="e">
        <f t="shared" ca="1" si="70"/>
        <v>#VALUE!</v>
      </c>
      <c r="CJ95" s="17" t="e">
        <f t="shared" ca="1" si="71"/>
        <v>#VALUE!</v>
      </c>
      <c r="CK95" s="17" t="e">
        <f t="shared" ca="1" si="97"/>
        <v>#VALUE!</v>
      </c>
      <c r="CL95" s="17" t="e">
        <f>#REF!</f>
        <v>#REF!</v>
      </c>
      <c r="CM95" s="17" t="e">
        <f t="shared" ca="1" si="98"/>
        <v>#VALUE!</v>
      </c>
      <c r="CN95" s="17" t="e">
        <f t="shared" ca="1" si="99"/>
        <v>#VALUE!</v>
      </c>
      <c r="CO95" s="17" t="e">
        <f t="shared" ca="1" si="100"/>
        <v>#VALUE!</v>
      </c>
      <c r="CP95" s="17" t="e">
        <f t="shared" ca="1" si="101"/>
        <v>#VALUE!</v>
      </c>
      <c r="CQ95" s="17" t="e">
        <f t="shared" si="102"/>
        <v>#REF!</v>
      </c>
      <c r="CR95" s="17" t="e">
        <f t="shared" si="103"/>
        <v>#REF!</v>
      </c>
      <c r="CS95" s="17" t="e">
        <f t="shared" si="104"/>
        <v>#REF!</v>
      </c>
      <c r="CT95" s="17" t="e">
        <f t="shared" si="105"/>
        <v>#REF!</v>
      </c>
      <c r="CU95" s="18" t="e">
        <f t="shared" ca="1" si="106"/>
        <v>#VALUE!</v>
      </c>
      <c r="CV95" s="19" t="e">
        <f ca="1">IF(CU95&gt;=#REF!/100,"Yes","No")</f>
        <v>#VALUE!</v>
      </c>
    </row>
    <row r="96" spans="1:100" x14ac:dyDescent="0.25">
      <c r="A96" t="s">
        <v>196</v>
      </c>
      <c r="B96" t="s">
        <v>197</v>
      </c>
      <c r="C96">
        <v>111204019</v>
      </c>
      <c r="D96" t="str">
        <f t="shared" si="61"/>
        <v>Dayı, Kaan İsmail-111204019</v>
      </c>
      <c r="E96" s="22">
        <v>4</v>
      </c>
      <c r="F96" s="22">
        <v>3</v>
      </c>
      <c r="G96" s="22">
        <v>15</v>
      </c>
      <c r="H96" s="22">
        <v>2488622</v>
      </c>
      <c r="I96" s="22">
        <v>6841157</v>
      </c>
      <c r="J96" s="22">
        <v>4882765</v>
      </c>
      <c r="K96" s="22">
        <v>4727879</v>
      </c>
      <c r="L96" s="22">
        <v>100000</v>
      </c>
      <c r="M96" s="22">
        <v>109900</v>
      </c>
      <c r="N96" s="22">
        <v>119200</v>
      </c>
      <c r="O96" s="22">
        <v>128100</v>
      </c>
      <c r="P96" s="22">
        <v>109900</v>
      </c>
      <c r="Q96" s="22">
        <v>119200</v>
      </c>
      <c r="R96" s="22">
        <v>128100</v>
      </c>
      <c r="S96" s="22">
        <v>100000</v>
      </c>
      <c r="T96" s="24">
        <v>29000</v>
      </c>
      <c r="U96" s="22">
        <v>26992</v>
      </c>
      <c r="V96" s="22">
        <v>24892</v>
      </c>
      <c r="W96" s="22">
        <v>22392</v>
      </c>
      <c r="X96" s="22">
        <v>26992</v>
      </c>
      <c r="Y96" s="22">
        <v>24892</v>
      </c>
      <c r="Z96" s="22">
        <v>22392</v>
      </c>
      <c r="AA96" s="22">
        <v>29092</v>
      </c>
      <c r="AB96" s="24">
        <v>92000</v>
      </c>
      <c r="AC96" s="24">
        <v>90000</v>
      </c>
      <c r="AD96" s="24">
        <v>89000</v>
      </c>
      <c r="AE96" s="24">
        <v>93000</v>
      </c>
      <c r="AF96" s="24">
        <v>90000</v>
      </c>
      <c r="AG96" s="24">
        <v>88500</v>
      </c>
      <c r="AH96" s="24">
        <v>86000</v>
      </c>
      <c r="AI96" s="24">
        <v>89500</v>
      </c>
      <c r="AJ96" s="25">
        <v>5</v>
      </c>
      <c r="AK96" s="25">
        <v>8.3000000000000007</v>
      </c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8">
        <f t="shared" si="62"/>
        <v>2</v>
      </c>
      <c r="AY96" s="8">
        <f t="shared" si="63"/>
        <v>4</v>
      </c>
      <c r="AZ96" s="13" t="str">
        <f t="shared" si="72"/>
        <v>∆(2-4)</v>
      </c>
      <c r="BA96" s="10">
        <f t="shared" ca="1" si="64"/>
        <v>-8900</v>
      </c>
      <c r="BB96" s="10">
        <f t="shared" ca="1" si="65"/>
        <v>2200</v>
      </c>
      <c r="BC96" s="10">
        <f t="shared" ca="1" si="73"/>
        <v>1780</v>
      </c>
      <c r="BD96" s="10" t="e">
        <f>#REF!</f>
        <v>#REF!</v>
      </c>
      <c r="BE96" s="10">
        <f t="shared" ca="1" si="74"/>
        <v>-8900</v>
      </c>
      <c r="BF96" s="10">
        <f t="shared" ca="1" si="75"/>
        <v>2200</v>
      </c>
      <c r="BG96" s="10">
        <f t="shared" ca="1" si="76"/>
        <v>2200</v>
      </c>
      <c r="BH96" s="10">
        <f t="shared" ca="1" si="77"/>
        <v>2200</v>
      </c>
      <c r="BI96" s="10" t="e">
        <f t="shared" si="78"/>
        <v>#REF!</v>
      </c>
      <c r="BJ96" s="10" t="e">
        <f t="shared" si="79"/>
        <v>#REF!</v>
      </c>
      <c r="BK96" s="10" t="e">
        <f t="shared" si="80"/>
        <v>#REF!</v>
      </c>
      <c r="BL96" s="10" t="e">
        <f t="shared" si="81"/>
        <v>#REF!</v>
      </c>
      <c r="BM96" s="14" t="e">
        <f t="shared" ca="1" si="82"/>
        <v>#VALUE!</v>
      </c>
      <c r="BN96" s="15" t="e">
        <f ca="1">IF(BM96&gt;=#REF!/100,"Yes","No")</f>
        <v>#VALUE!</v>
      </c>
      <c r="BO96" s="6">
        <f t="shared" si="66"/>
        <v>3</v>
      </c>
      <c r="BP96" s="6" t="e">
        <f t="shared" ca="1" si="83"/>
        <v>#VALUE!</v>
      </c>
      <c r="BQ96" s="13" t="e">
        <f t="shared" ca="1" si="84"/>
        <v>#VALUE!</v>
      </c>
      <c r="BR96" s="10" t="e">
        <f t="shared" ca="1" si="67"/>
        <v>#VALUE!</v>
      </c>
      <c r="BS96" s="10" t="e">
        <f t="shared" ca="1" si="68"/>
        <v>#VALUE!</v>
      </c>
      <c r="BT96" s="10" t="e">
        <f t="shared" ca="1" si="85"/>
        <v>#VALUE!</v>
      </c>
      <c r="BU96" s="10" t="e">
        <f>#REF!</f>
        <v>#REF!</v>
      </c>
      <c r="BV96" s="10" t="e">
        <f t="shared" ca="1" si="86"/>
        <v>#VALUE!</v>
      </c>
      <c r="BW96" s="10" t="e">
        <f t="shared" ca="1" si="87"/>
        <v>#VALUE!</v>
      </c>
      <c r="BX96" s="10" t="e">
        <f t="shared" ca="1" si="88"/>
        <v>#VALUE!</v>
      </c>
      <c r="BY96" s="10" t="e">
        <f t="shared" ca="1" si="89"/>
        <v>#VALUE!</v>
      </c>
      <c r="BZ96" s="10" t="e">
        <f t="shared" si="90"/>
        <v>#REF!</v>
      </c>
      <c r="CA96" s="10" t="e">
        <f t="shared" si="91"/>
        <v>#REF!</v>
      </c>
      <c r="CB96" s="10" t="e">
        <f t="shared" si="92"/>
        <v>#REF!</v>
      </c>
      <c r="CC96" s="10" t="e">
        <f t="shared" si="93"/>
        <v>#REF!</v>
      </c>
      <c r="CD96" s="14" t="e">
        <f t="shared" ca="1" si="94"/>
        <v>#VALUE!</v>
      </c>
      <c r="CE96" s="15" t="e">
        <f ca="1">IF(CD96&gt;=#REF!/100,"Yes","No")</f>
        <v>#VALUE!</v>
      </c>
      <c r="CF96" s="6">
        <f t="shared" si="69"/>
        <v>1</v>
      </c>
      <c r="CG96" s="6" t="e">
        <f t="shared" ca="1" si="95"/>
        <v>#VALUE!</v>
      </c>
      <c r="CH96" s="13" t="e">
        <f t="shared" ca="1" si="96"/>
        <v>#VALUE!</v>
      </c>
      <c r="CI96" s="10" t="e">
        <f t="shared" ca="1" si="70"/>
        <v>#VALUE!</v>
      </c>
      <c r="CJ96" s="10" t="e">
        <f t="shared" ca="1" si="71"/>
        <v>#VALUE!</v>
      </c>
      <c r="CK96" s="10" t="e">
        <f t="shared" ca="1" si="97"/>
        <v>#VALUE!</v>
      </c>
      <c r="CL96" s="10" t="e">
        <f>#REF!</f>
        <v>#REF!</v>
      </c>
      <c r="CM96" s="10" t="e">
        <f t="shared" ca="1" si="98"/>
        <v>#VALUE!</v>
      </c>
      <c r="CN96" s="10" t="e">
        <f t="shared" ca="1" si="99"/>
        <v>#VALUE!</v>
      </c>
      <c r="CO96" s="10" t="e">
        <f t="shared" ca="1" si="100"/>
        <v>#VALUE!</v>
      </c>
      <c r="CP96" s="10" t="e">
        <f t="shared" ca="1" si="101"/>
        <v>#VALUE!</v>
      </c>
      <c r="CQ96" s="10" t="e">
        <f t="shared" si="102"/>
        <v>#REF!</v>
      </c>
      <c r="CR96" s="10" t="e">
        <f t="shared" si="103"/>
        <v>#REF!</v>
      </c>
      <c r="CS96" s="10" t="e">
        <f t="shared" si="104"/>
        <v>#REF!</v>
      </c>
      <c r="CT96" s="10" t="e">
        <f t="shared" si="105"/>
        <v>#REF!</v>
      </c>
      <c r="CU96" s="14" t="e">
        <f t="shared" ca="1" si="106"/>
        <v>#VALUE!</v>
      </c>
      <c r="CV96" s="15" t="e">
        <f ca="1">IF(CU96&gt;=#REF!/100,"Yes","No")</f>
        <v>#VALUE!</v>
      </c>
    </row>
    <row r="97" spans="1:100" x14ac:dyDescent="0.25">
      <c r="A97" t="s">
        <v>198</v>
      </c>
      <c r="B97" t="s">
        <v>199</v>
      </c>
      <c r="C97">
        <v>115206072</v>
      </c>
      <c r="D97" t="str">
        <f t="shared" si="61"/>
        <v>Değer, Kerem Ozan-115206072</v>
      </c>
      <c r="E97" s="22">
        <v>5</v>
      </c>
      <c r="F97" s="22">
        <v>3</v>
      </c>
      <c r="G97" s="22">
        <v>15</v>
      </c>
      <c r="H97" s="22">
        <v>5594638</v>
      </c>
      <c r="I97" s="22">
        <v>7904854</v>
      </c>
      <c r="J97" s="22">
        <v>3001044</v>
      </c>
      <c r="K97" s="22">
        <v>2464438</v>
      </c>
      <c r="L97" s="22">
        <v>100000</v>
      </c>
      <c r="M97" s="22">
        <v>109300</v>
      </c>
      <c r="N97" s="22">
        <v>118600</v>
      </c>
      <c r="O97" s="22">
        <v>127000</v>
      </c>
      <c r="P97" s="22">
        <v>109300</v>
      </c>
      <c r="Q97" s="22">
        <v>100000</v>
      </c>
      <c r="R97" s="22">
        <v>118600</v>
      </c>
      <c r="S97" s="22">
        <v>127000</v>
      </c>
      <c r="T97" s="24">
        <v>26000</v>
      </c>
      <c r="U97" s="22">
        <v>26993</v>
      </c>
      <c r="V97" s="22">
        <v>24893</v>
      </c>
      <c r="W97" s="22">
        <v>22393</v>
      </c>
      <c r="X97" s="22">
        <v>26993</v>
      </c>
      <c r="Y97" s="22">
        <v>29093</v>
      </c>
      <c r="Z97" s="22">
        <v>24893</v>
      </c>
      <c r="AA97" s="22">
        <v>22393</v>
      </c>
      <c r="AB97" s="24">
        <v>100000</v>
      </c>
      <c r="AC97" s="24">
        <v>99000</v>
      </c>
      <c r="AD97" s="24">
        <v>98000</v>
      </c>
      <c r="AE97" s="24">
        <v>97000</v>
      </c>
      <c r="AF97" s="24">
        <v>97000</v>
      </c>
      <c r="AG97" s="24">
        <v>97500</v>
      </c>
      <c r="AH97" s="24">
        <v>94000</v>
      </c>
      <c r="AI97" s="24">
        <v>94000</v>
      </c>
      <c r="AJ97" s="25">
        <v>4.0999999999999996</v>
      </c>
      <c r="AK97" s="25">
        <v>8.1</v>
      </c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8">
        <f t="shared" si="62"/>
        <v>1</v>
      </c>
      <c r="AY97" s="8">
        <f t="shared" si="63"/>
        <v>4</v>
      </c>
      <c r="AZ97" s="16" t="str">
        <f t="shared" si="72"/>
        <v>∆(1-4)</v>
      </c>
      <c r="BA97" s="17">
        <f t="shared" ca="1" si="64"/>
        <v>-9900</v>
      </c>
      <c r="BB97" s="17">
        <f t="shared" ca="1" si="65"/>
        <v>2100</v>
      </c>
      <c r="BC97" s="17">
        <f t="shared" ca="1" si="73"/>
        <v>1980</v>
      </c>
      <c r="BD97" s="17" t="e">
        <f>#REF!</f>
        <v>#REF!</v>
      </c>
      <c r="BE97" s="17">
        <f t="shared" ca="1" si="74"/>
        <v>-9900</v>
      </c>
      <c r="BF97" s="17">
        <f t="shared" ca="1" si="75"/>
        <v>2100</v>
      </c>
      <c r="BG97" s="17">
        <f t="shared" ca="1" si="76"/>
        <v>2100</v>
      </c>
      <c r="BH97" s="17">
        <f t="shared" ca="1" si="77"/>
        <v>2100</v>
      </c>
      <c r="BI97" s="17" t="e">
        <f t="shared" si="78"/>
        <v>#REF!</v>
      </c>
      <c r="BJ97" s="17" t="e">
        <f t="shared" si="79"/>
        <v>#REF!</v>
      </c>
      <c r="BK97" s="17" t="e">
        <f t="shared" si="80"/>
        <v>#REF!</v>
      </c>
      <c r="BL97" s="17" t="e">
        <f t="shared" si="81"/>
        <v>#REF!</v>
      </c>
      <c r="BM97" s="18" t="e">
        <f t="shared" ca="1" si="82"/>
        <v>#VALUE!</v>
      </c>
      <c r="BN97" s="19" t="e">
        <f ca="1">IF(BM97&gt;=#REF!/100,"Yes","No")</f>
        <v>#VALUE!</v>
      </c>
      <c r="BO97" s="20">
        <f t="shared" si="66"/>
        <v>2</v>
      </c>
      <c r="BP97" s="20" t="e">
        <f t="shared" ca="1" si="83"/>
        <v>#VALUE!</v>
      </c>
      <c r="BQ97" s="16" t="e">
        <f t="shared" ca="1" si="84"/>
        <v>#VALUE!</v>
      </c>
      <c r="BR97" s="17" t="e">
        <f t="shared" ca="1" si="67"/>
        <v>#VALUE!</v>
      </c>
      <c r="BS97" s="17" t="e">
        <f t="shared" ca="1" si="68"/>
        <v>#VALUE!</v>
      </c>
      <c r="BT97" s="17" t="e">
        <f t="shared" ca="1" si="85"/>
        <v>#VALUE!</v>
      </c>
      <c r="BU97" s="17" t="e">
        <f>#REF!</f>
        <v>#REF!</v>
      </c>
      <c r="BV97" s="17" t="e">
        <f t="shared" ca="1" si="86"/>
        <v>#VALUE!</v>
      </c>
      <c r="BW97" s="17" t="e">
        <f t="shared" ca="1" si="87"/>
        <v>#VALUE!</v>
      </c>
      <c r="BX97" s="17" t="e">
        <f t="shared" ca="1" si="88"/>
        <v>#VALUE!</v>
      </c>
      <c r="BY97" s="17" t="e">
        <f t="shared" ca="1" si="89"/>
        <v>#VALUE!</v>
      </c>
      <c r="BZ97" s="17" t="e">
        <f t="shared" si="90"/>
        <v>#REF!</v>
      </c>
      <c r="CA97" s="17" t="e">
        <f t="shared" si="91"/>
        <v>#REF!</v>
      </c>
      <c r="CB97" s="17" t="e">
        <f t="shared" si="92"/>
        <v>#REF!</v>
      </c>
      <c r="CC97" s="17" t="e">
        <f t="shared" si="93"/>
        <v>#REF!</v>
      </c>
      <c r="CD97" s="18" t="e">
        <f t="shared" ca="1" si="94"/>
        <v>#VALUE!</v>
      </c>
      <c r="CE97" s="19" t="e">
        <f ca="1">IF(CD97&gt;=#REF!/100,"Yes","No")</f>
        <v>#VALUE!</v>
      </c>
      <c r="CF97" s="20">
        <f t="shared" si="69"/>
        <v>3</v>
      </c>
      <c r="CG97" s="20" t="e">
        <f t="shared" ca="1" si="95"/>
        <v>#VALUE!</v>
      </c>
      <c r="CH97" s="16" t="e">
        <f t="shared" ca="1" si="96"/>
        <v>#VALUE!</v>
      </c>
      <c r="CI97" s="17" t="e">
        <f t="shared" ca="1" si="70"/>
        <v>#VALUE!</v>
      </c>
      <c r="CJ97" s="17" t="e">
        <f t="shared" ca="1" si="71"/>
        <v>#VALUE!</v>
      </c>
      <c r="CK97" s="17" t="e">
        <f t="shared" ca="1" si="97"/>
        <v>#VALUE!</v>
      </c>
      <c r="CL97" s="17" t="e">
        <f>#REF!</f>
        <v>#REF!</v>
      </c>
      <c r="CM97" s="17" t="e">
        <f t="shared" ca="1" si="98"/>
        <v>#VALUE!</v>
      </c>
      <c r="CN97" s="17" t="e">
        <f t="shared" ca="1" si="99"/>
        <v>#VALUE!</v>
      </c>
      <c r="CO97" s="17" t="e">
        <f t="shared" ca="1" si="100"/>
        <v>#VALUE!</v>
      </c>
      <c r="CP97" s="17" t="e">
        <f t="shared" ca="1" si="101"/>
        <v>#VALUE!</v>
      </c>
      <c r="CQ97" s="17" t="e">
        <f t="shared" si="102"/>
        <v>#REF!</v>
      </c>
      <c r="CR97" s="17" t="e">
        <f t="shared" si="103"/>
        <v>#REF!</v>
      </c>
      <c r="CS97" s="17" t="e">
        <f t="shared" si="104"/>
        <v>#REF!</v>
      </c>
      <c r="CT97" s="17" t="e">
        <f t="shared" si="105"/>
        <v>#REF!</v>
      </c>
      <c r="CU97" s="18" t="e">
        <f t="shared" ca="1" si="106"/>
        <v>#VALUE!</v>
      </c>
      <c r="CV97" s="19" t="e">
        <f ca="1">IF(CU97&gt;=#REF!/100,"Yes","No")</f>
        <v>#VALUE!</v>
      </c>
    </row>
    <row r="98" spans="1:100" x14ac:dyDescent="0.25">
      <c r="A98" t="s">
        <v>200</v>
      </c>
      <c r="B98" t="s">
        <v>201</v>
      </c>
      <c r="C98">
        <v>114205034</v>
      </c>
      <c r="D98" t="str">
        <f t="shared" si="61"/>
        <v>Demer, Beril-114205034</v>
      </c>
      <c r="E98" s="22">
        <v>6</v>
      </c>
      <c r="F98" s="22">
        <v>3</v>
      </c>
      <c r="G98" s="22">
        <v>15</v>
      </c>
      <c r="H98" s="22">
        <v>8144748</v>
      </c>
      <c r="I98" s="22">
        <v>9069579</v>
      </c>
      <c r="J98" s="22">
        <v>6787970</v>
      </c>
      <c r="K98" s="22">
        <v>142756</v>
      </c>
      <c r="L98" s="22">
        <v>100000</v>
      </c>
      <c r="M98" s="22">
        <v>108200</v>
      </c>
      <c r="N98" s="22">
        <v>116700</v>
      </c>
      <c r="O98" s="22">
        <v>126100</v>
      </c>
      <c r="P98" s="22">
        <v>108200</v>
      </c>
      <c r="Q98" s="22">
        <v>100000</v>
      </c>
      <c r="R98" s="22">
        <v>116700</v>
      </c>
      <c r="S98" s="22">
        <v>126100</v>
      </c>
      <c r="T98" s="24">
        <v>29000</v>
      </c>
      <c r="U98" s="22">
        <v>26894</v>
      </c>
      <c r="V98" s="22">
        <v>24794</v>
      </c>
      <c r="W98" s="22">
        <v>22594</v>
      </c>
      <c r="X98" s="22">
        <v>26894</v>
      </c>
      <c r="Y98" s="22">
        <v>29094</v>
      </c>
      <c r="Z98" s="22">
        <v>24794</v>
      </c>
      <c r="AA98" s="22">
        <v>22594</v>
      </c>
      <c r="AB98" s="24">
        <v>114000</v>
      </c>
      <c r="AC98" s="24">
        <v>113000</v>
      </c>
      <c r="AD98" s="24">
        <v>114000</v>
      </c>
      <c r="AE98" s="24">
        <v>115000</v>
      </c>
      <c r="AF98" s="24">
        <v>112000</v>
      </c>
      <c r="AG98" s="24">
        <v>111000</v>
      </c>
      <c r="AH98" s="24">
        <v>111500</v>
      </c>
      <c r="AI98" s="24">
        <v>112500</v>
      </c>
      <c r="AJ98" s="25">
        <v>4.5</v>
      </c>
      <c r="AK98" s="25">
        <v>8</v>
      </c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8">
        <f t="shared" si="62"/>
        <v>1</v>
      </c>
      <c r="AY98" s="8">
        <f t="shared" si="63"/>
        <v>2</v>
      </c>
      <c r="AZ98" s="13" t="str">
        <f t="shared" si="72"/>
        <v>∆(1-2)</v>
      </c>
      <c r="BA98" s="10">
        <f t="shared" ca="1" si="64"/>
        <v>-9300</v>
      </c>
      <c r="BB98" s="10">
        <f t="shared" ca="1" si="65"/>
        <v>2100</v>
      </c>
      <c r="BC98" s="10">
        <f t="shared" ca="1" si="73"/>
        <v>1860</v>
      </c>
      <c r="BD98" s="10" t="e">
        <f>#REF!</f>
        <v>#REF!</v>
      </c>
      <c r="BE98" s="10">
        <f t="shared" ca="1" si="74"/>
        <v>-9300</v>
      </c>
      <c r="BF98" s="10">
        <f t="shared" ca="1" si="75"/>
        <v>2100</v>
      </c>
      <c r="BG98" s="10">
        <f t="shared" ca="1" si="76"/>
        <v>2100</v>
      </c>
      <c r="BH98" s="10">
        <f t="shared" ca="1" si="77"/>
        <v>2100</v>
      </c>
      <c r="BI98" s="10" t="e">
        <f t="shared" si="78"/>
        <v>#REF!</v>
      </c>
      <c r="BJ98" s="10" t="e">
        <f t="shared" si="79"/>
        <v>#REF!</v>
      </c>
      <c r="BK98" s="10" t="e">
        <f t="shared" si="80"/>
        <v>#REF!</v>
      </c>
      <c r="BL98" s="10" t="e">
        <f t="shared" si="81"/>
        <v>#REF!</v>
      </c>
      <c r="BM98" s="14" t="e">
        <f t="shared" ca="1" si="82"/>
        <v>#VALUE!</v>
      </c>
      <c r="BN98" s="15" t="e">
        <f ca="1">IF(BM98&gt;=#REF!/100,"Yes","No")</f>
        <v>#VALUE!</v>
      </c>
      <c r="BO98" s="6">
        <f t="shared" si="66"/>
        <v>3</v>
      </c>
      <c r="BP98" s="6" t="e">
        <f t="shared" ca="1" si="83"/>
        <v>#VALUE!</v>
      </c>
      <c r="BQ98" s="13" t="e">
        <f t="shared" ca="1" si="84"/>
        <v>#VALUE!</v>
      </c>
      <c r="BR98" s="10" t="e">
        <f t="shared" ca="1" si="67"/>
        <v>#VALUE!</v>
      </c>
      <c r="BS98" s="10" t="e">
        <f t="shared" ca="1" si="68"/>
        <v>#VALUE!</v>
      </c>
      <c r="BT98" s="10" t="e">
        <f t="shared" ca="1" si="85"/>
        <v>#VALUE!</v>
      </c>
      <c r="BU98" s="10" t="e">
        <f>#REF!</f>
        <v>#REF!</v>
      </c>
      <c r="BV98" s="10" t="e">
        <f t="shared" ca="1" si="86"/>
        <v>#VALUE!</v>
      </c>
      <c r="BW98" s="10" t="e">
        <f t="shared" ca="1" si="87"/>
        <v>#VALUE!</v>
      </c>
      <c r="BX98" s="10" t="e">
        <f t="shared" ca="1" si="88"/>
        <v>#VALUE!</v>
      </c>
      <c r="BY98" s="10" t="e">
        <f t="shared" ca="1" si="89"/>
        <v>#VALUE!</v>
      </c>
      <c r="BZ98" s="10" t="e">
        <f t="shared" si="90"/>
        <v>#REF!</v>
      </c>
      <c r="CA98" s="10" t="e">
        <f t="shared" si="91"/>
        <v>#REF!</v>
      </c>
      <c r="CB98" s="10" t="e">
        <f t="shared" si="92"/>
        <v>#REF!</v>
      </c>
      <c r="CC98" s="10" t="e">
        <f t="shared" si="93"/>
        <v>#REF!</v>
      </c>
      <c r="CD98" s="14" t="e">
        <f t="shared" ca="1" si="94"/>
        <v>#VALUE!</v>
      </c>
      <c r="CE98" s="15" t="e">
        <f ca="1">IF(CD98&gt;=#REF!/100,"Yes","No")</f>
        <v>#VALUE!</v>
      </c>
      <c r="CF98" s="6">
        <f t="shared" si="69"/>
        <v>4</v>
      </c>
      <c r="CG98" s="6" t="e">
        <f t="shared" ca="1" si="95"/>
        <v>#VALUE!</v>
      </c>
      <c r="CH98" s="13" t="e">
        <f t="shared" ca="1" si="96"/>
        <v>#VALUE!</v>
      </c>
      <c r="CI98" s="10" t="e">
        <f t="shared" ca="1" si="70"/>
        <v>#VALUE!</v>
      </c>
      <c r="CJ98" s="10" t="e">
        <f t="shared" ca="1" si="71"/>
        <v>#VALUE!</v>
      </c>
      <c r="CK98" s="10" t="e">
        <f t="shared" ca="1" si="97"/>
        <v>#VALUE!</v>
      </c>
      <c r="CL98" s="10" t="e">
        <f>#REF!</f>
        <v>#REF!</v>
      </c>
      <c r="CM98" s="10" t="e">
        <f t="shared" ca="1" si="98"/>
        <v>#VALUE!</v>
      </c>
      <c r="CN98" s="10" t="e">
        <f t="shared" ca="1" si="99"/>
        <v>#VALUE!</v>
      </c>
      <c r="CO98" s="10" t="e">
        <f t="shared" ca="1" si="100"/>
        <v>#VALUE!</v>
      </c>
      <c r="CP98" s="10" t="e">
        <f t="shared" ca="1" si="101"/>
        <v>#VALUE!</v>
      </c>
      <c r="CQ98" s="10" t="e">
        <f t="shared" si="102"/>
        <v>#REF!</v>
      </c>
      <c r="CR98" s="10" t="e">
        <f t="shared" si="103"/>
        <v>#REF!</v>
      </c>
      <c r="CS98" s="10" t="e">
        <f t="shared" si="104"/>
        <v>#REF!</v>
      </c>
      <c r="CT98" s="10" t="e">
        <f t="shared" si="105"/>
        <v>#REF!</v>
      </c>
      <c r="CU98" s="14" t="e">
        <f t="shared" ca="1" si="106"/>
        <v>#VALUE!</v>
      </c>
      <c r="CV98" s="15" t="e">
        <f ca="1">IF(CU98&gt;=#REF!/100,"Yes","No")</f>
        <v>#VALUE!</v>
      </c>
    </row>
    <row r="99" spans="1:100" x14ac:dyDescent="0.25">
      <c r="A99" t="s">
        <v>202</v>
      </c>
      <c r="B99" t="s">
        <v>47</v>
      </c>
      <c r="C99">
        <v>113204011</v>
      </c>
      <c r="D99" t="str">
        <f t="shared" si="61"/>
        <v>Demir, Emre-113204011</v>
      </c>
      <c r="E99" s="22">
        <v>5</v>
      </c>
      <c r="F99" s="22">
        <v>3</v>
      </c>
      <c r="G99" s="22">
        <v>15</v>
      </c>
      <c r="H99" s="22">
        <v>1045753</v>
      </c>
      <c r="I99" s="22">
        <v>8862608</v>
      </c>
      <c r="J99" s="22">
        <v>1682243</v>
      </c>
      <c r="K99" s="22">
        <v>2238955</v>
      </c>
      <c r="L99" s="22">
        <v>100000</v>
      </c>
      <c r="M99" s="22">
        <v>108800</v>
      </c>
      <c r="N99" s="22">
        <v>118800</v>
      </c>
      <c r="O99" s="22">
        <v>128300</v>
      </c>
      <c r="P99" s="22">
        <v>108800</v>
      </c>
      <c r="Q99" s="22">
        <v>128300</v>
      </c>
      <c r="R99" s="22">
        <v>118800</v>
      </c>
      <c r="S99" s="22">
        <v>100000</v>
      </c>
      <c r="T99" s="24">
        <v>27000</v>
      </c>
      <c r="U99" s="22">
        <v>26595</v>
      </c>
      <c r="V99" s="22">
        <v>24195</v>
      </c>
      <c r="W99" s="22">
        <v>22095</v>
      </c>
      <c r="X99" s="22">
        <v>26595</v>
      </c>
      <c r="Y99" s="22">
        <v>22095</v>
      </c>
      <c r="Z99" s="22">
        <v>24195</v>
      </c>
      <c r="AA99" s="22">
        <v>29095</v>
      </c>
      <c r="AB99" s="24">
        <v>119000</v>
      </c>
      <c r="AC99" s="24">
        <v>117000</v>
      </c>
      <c r="AD99" s="24">
        <v>119000</v>
      </c>
      <c r="AE99" s="24">
        <v>123000</v>
      </c>
      <c r="AF99" s="24">
        <v>115500</v>
      </c>
      <c r="AG99" s="24">
        <v>113500</v>
      </c>
      <c r="AH99" s="24">
        <v>115000</v>
      </c>
      <c r="AI99" s="24">
        <v>121000</v>
      </c>
      <c r="AJ99" s="25">
        <v>4.4000000000000004</v>
      </c>
      <c r="AK99" s="25">
        <v>7.3</v>
      </c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8">
        <f t="shared" si="62"/>
        <v>1</v>
      </c>
      <c r="AY99" s="8">
        <f t="shared" si="63"/>
        <v>2</v>
      </c>
      <c r="AZ99" s="16" t="str">
        <f t="shared" si="72"/>
        <v>∆(1-2)</v>
      </c>
      <c r="BA99" s="17">
        <f t="shared" ca="1" si="64"/>
        <v>-8200</v>
      </c>
      <c r="BB99" s="17">
        <f t="shared" ca="1" si="65"/>
        <v>2200</v>
      </c>
      <c r="BC99" s="17">
        <f t="shared" ca="1" si="73"/>
        <v>1640</v>
      </c>
      <c r="BD99" s="17" t="e">
        <f>#REF!</f>
        <v>#REF!</v>
      </c>
      <c r="BE99" s="17">
        <f t="shared" ca="1" si="74"/>
        <v>-8200</v>
      </c>
      <c r="BF99" s="17">
        <f t="shared" ca="1" si="75"/>
        <v>2200</v>
      </c>
      <c r="BG99" s="17">
        <f t="shared" ca="1" si="76"/>
        <v>2200</v>
      </c>
      <c r="BH99" s="17">
        <f t="shared" ca="1" si="77"/>
        <v>2200</v>
      </c>
      <c r="BI99" s="17" t="e">
        <f t="shared" si="78"/>
        <v>#REF!</v>
      </c>
      <c r="BJ99" s="17" t="e">
        <f t="shared" si="79"/>
        <v>#REF!</v>
      </c>
      <c r="BK99" s="17" t="e">
        <f t="shared" si="80"/>
        <v>#REF!</v>
      </c>
      <c r="BL99" s="17" t="e">
        <f t="shared" si="81"/>
        <v>#REF!</v>
      </c>
      <c r="BM99" s="18" t="e">
        <f t="shared" ca="1" si="82"/>
        <v>#VALUE!</v>
      </c>
      <c r="BN99" s="19" t="e">
        <f ca="1">IF(BM99&gt;=#REF!/100,"Yes","No")</f>
        <v>#VALUE!</v>
      </c>
      <c r="BO99" s="20">
        <f t="shared" si="66"/>
        <v>3</v>
      </c>
      <c r="BP99" s="20" t="e">
        <f t="shared" ca="1" si="83"/>
        <v>#VALUE!</v>
      </c>
      <c r="BQ99" s="16" t="e">
        <f t="shared" ca="1" si="84"/>
        <v>#VALUE!</v>
      </c>
      <c r="BR99" s="17" t="e">
        <f t="shared" ca="1" si="67"/>
        <v>#VALUE!</v>
      </c>
      <c r="BS99" s="17" t="e">
        <f t="shared" ca="1" si="68"/>
        <v>#VALUE!</v>
      </c>
      <c r="BT99" s="17" t="e">
        <f t="shared" ca="1" si="85"/>
        <v>#VALUE!</v>
      </c>
      <c r="BU99" s="17" t="e">
        <f>#REF!</f>
        <v>#REF!</v>
      </c>
      <c r="BV99" s="17" t="e">
        <f t="shared" ca="1" si="86"/>
        <v>#VALUE!</v>
      </c>
      <c r="BW99" s="17" t="e">
        <f t="shared" ca="1" si="87"/>
        <v>#VALUE!</v>
      </c>
      <c r="BX99" s="17" t="e">
        <f t="shared" ca="1" si="88"/>
        <v>#VALUE!</v>
      </c>
      <c r="BY99" s="17" t="e">
        <f t="shared" ca="1" si="89"/>
        <v>#VALUE!</v>
      </c>
      <c r="BZ99" s="17" t="e">
        <f t="shared" si="90"/>
        <v>#REF!</v>
      </c>
      <c r="CA99" s="17" t="e">
        <f t="shared" si="91"/>
        <v>#REF!</v>
      </c>
      <c r="CB99" s="17" t="e">
        <f t="shared" si="92"/>
        <v>#REF!</v>
      </c>
      <c r="CC99" s="17" t="e">
        <f t="shared" si="93"/>
        <v>#REF!</v>
      </c>
      <c r="CD99" s="18" t="e">
        <f t="shared" ca="1" si="94"/>
        <v>#VALUE!</v>
      </c>
      <c r="CE99" s="19" t="e">
        <f ca="1">IF(CD99&gt;=#REF!/100,"Yes","No")</f>
        <v>#VALUE!</v>
      </c>
      <c r="CF99" s="20">
        <f t="shared" si="69"/>
        <v>4</v>
      </c>
      <c r="CG99" s="20" t="e">
        <f t="shared" ca="1" si="95"/>
        <v>#VALUE!</v>
      </c>
      <c r="CH99" s="16" t="e">
        <f t="shared" ca="1" si="96"/>
        <v>#VALUE!</v>
      </c>
      <c r="CI99" s="17" t="e">
        <f t="shared" ca="1" si="70"/>
        <v>#VALUE!</v>
      </c>
      <c r="CJ99" s="17" t="e">
        <f t="shared" ca="1" si="71"/>
        <v>#VALUE!</v>
      </c>
      <c r="CK99" s="17" t="e">
        <f t="shared" ca="1" si="97"/>
        <v>#VALUE!</v>
      </c>
      <c r="CL99" s="17" t="e">
        <f>#REF!</f>
        <v>#REF!</v>
      </c>
      <c r="CM99" s="17" t="e">
        <f t="shared" ca="1" si="98"/>
        <v>#VALUE!</v>
      </c>
      <c r="CN99" s="17" t="e">
        <f t="shared" ca="1" si="99"/>
        <v>#VALUE!</v>
      </c>
      <c r="CO99" s="17" t="e">
        <f t="shared" ca="1" si="100"/>
        <v>#VALUE!</v>
      </c>
      <c r="CP99" s="17" t="e">
        <f t="shared" ca="1" si="101"/>
        <v>#VALUE!</v>
      </c>
      <c r="CQ99" s="17" t="e">
        <f t="shared" si="102"/>
        <v>#REF!</v>
      </c>
      <c r="CR99" s="17" t="e">
        <f t="shared" si="103"/>
        <v>#REF!</v>
      </c>
      <c r="CS99" s="17" t="e">
        <f t="shared" si="104"/>
        <v>#REF!</v>
      </c>
      <c r="CT99" s="17" t="e">
        <f t="shared" si="105"/>
        <v>#REF!</v>
      </c>
      <c r="CU99" s="18" t="e">
        <f t="shared" ca="1" si="106"/>
        <v>#VALUE!</v>
      </c>
      <c r="CV99" s="19" t="e">
        <f ca="1">IF(CU99&gt;=#REF!/100,"Yes","No")</f>
        <v>#VALUE!</v>
      </c>
    </row>
    <row r="100" spans="1:100" x14ac:dyDescent="0.25">
      <c r="A100" t="s">
        <v>203</v>
      </c>
      <c r="B100" t="s">
        <v>204</v>
      </c>
      <c r="C100">
        <v>116203048</v>
      </c>
      <c r="D100" t="str">
        <f t="shared" si="61"/>
        <v>Demirbaş, Ege-116203048</v>
      </c>
      <c r="E100" s="22">
        <v>6</v>
      </c>
      <c r="F100" s="22">
        <v>2</v>
      </c>
      <c r="G100" s="22">
        <v>10</v>
      </c>
      <c r="H100" s="22">
        <v>5338786</v>
      </c>
      <c r="I100" s="22">
        <v>2568921</v>
      </c>
      <c r="J100" s="22">
        <v>5869562</v>
      </c>
      <c r="K100" s="22">
        <v>8304586</v>
      </c>
      <c r="L100" s="22">
        <v>100000</v>
      </c>
      <c r="M100" s="22">
        <v>109600</v>
      </c>
      <c r="N100" s="22">
        <v>118100</v>
      </c>
      <c r="O100" s="22">
        <v>127300</v>
      </c>
      <c r="P100" s="22">
        <v>127300</v>
      </c>
      <c r="Q100" s="22">
        <v>118100</v>
      </c>
      <c r="R100" s="22">
        <v>100000</v>
      </c>
      <c r="S100" s="22">
        <v>109600</v>
      </c>
      <c r="T100" s="24">
        <v>23000</v>
      </c>
      <c r="U100" s="22">
        <v>26596</v>
      </c>
      <c r="V100" s="22">
        <v>24596</v>
      </c>
      <c r="W100" s="22">
        <v>22396</v>
      </c>
      <c r="X100" s="22">
        <v>22396</v>
      </c>
      <c r="Y100" s="22">
        <v>24596</v>
      </c>
      <c r="Z100" s="22">
        <v>29096</v>
      </c>
      <c r="AA100" s="22">
        <v>26596</v>
      </c>
      <c r="AB100" s="24">
        <v>109000</v>
      </c>
      <c r="AC100" s="24">
        <v>113000</v>
      </c>
      <c r="AD100" s="24">
        <v>110000</v>
      </c>
      <c r="AE100" s="24">
        <v>108000</v>
      </c>
      <c r="AF100" s="24">
        <v>106500</v>
      </c>
      <c r="AG100" s="24">
        <v>110500</v>
      </c>
      <c r="AH100" s="24">
        <v>107000</v>
      </c>
      <c r="AI100" s="24">
        <v>105000</v>
      </c>
      <c r="AJ100" s="25">
        <v>3.5</v>
      </c>
      <c r="AK100" s="25">
        <v>7.9</v>
      </c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8">
        <f t="shared" si="62"/>
        <v>1</v>
      </c>
      <c r="AY100" s="8">
        <f t="shared" si="63"/>
        <v>4</v>
      </c>
      <c r="AZ100" s="13" t="str">
        <f t="shared" si="72"/>
        <v>∆(1-4)</v>
      </c>
      <c r="BA100" s="10">
        <f t="shared" ca="1" si="64"/>
        <v>-8800</v>
      </c>
      <c r="BB100" s="10">
        <f t="shared" ca="1" si="65"/>
        <v>2500</v>
      </c>
      <c r="BC100" s="10">
        <f t="shared" ca="1" si="73"/>
        <v>1760</v>
      </c>
      <c r="BD100" s="10" t="e">
        <f>#REF!</f>
        <v>#REF!</v>
      </c>
      <c r="BE100" s="10">
        <f t="shared" ca="1" si="74"/>
        <v>-8800</v>
      </c>
      <c r="BF100" s="10">
        <f t="shared" ca="1" si="75"/>
        <v>2500</v>
      </c>
      <c r="BG100" s="10">
        <f t="shared" ca="1" si="76"/>
        <v>2500</v>
      </c>
      <c r="BH100" s="10">
        <f t="shared" ca="1" si="77"/>
        <v>2500</v>
      </c>
      <c r="BI100" s="10" t="e">
        <f t="shared" si="78"/>
        <v>#REF!</v>
      </c>
      <c r="BJ100" s="10" t="e">
        <f t="shared" si="79"/>
        <v>#REF!</v>
      </c>
      <c r="BK100" s="10" t="e">
        <f t="shared" si="80"/>
        <v>#REF!</v>
      </c>
      <c r="BL100" s="10" t="e">
        <f t="shared" si="81"/>
        <v>#REF!</v>
      </c>
      <c r="BM100" s="14" t="e">
        <f t="shared" ca="1" si="82"/>
        <v>#VALUE!</v>
      </c>
      <c r="BN100" s="15" t="e">
        <f ca="1">IF(BM100&gt;=#REF!/100,"Yes","No")</f>
        <v>#VALUE!</v>
      </c>
      <c r="BO100" s="6">
        <f t="shared" si="66"/>
        <v>3</v>
      </c>
      <c r="BP100" s="6" t="e">
        <f t="shared" ca="1" si="83"/>
        <v>#VALUE!</v>
      </c>
      <c r="BQ100" s="13" t="e">
        <f t="shared" ca="1" si="84"/>
        <v>#VALUE!</v>
      </c>
      <c r="BR100" s="10" t="e">
        <f t="shared" ca="1" si="67"/>
        <v>#VALUE!</v>
      </c>
      <c r="BS100" s="10" t="e">
        <f t="shared" ca="1" si="68"/>
        <v>#VALUE!</v>
      </c>
      <c r="BT100" s="10" t="e">
        <f t="shared" ca="1" si="85"/>
        <v>#VALUE!</v>
      </c>
      <c r="BU100" s="10" t="e">
        <f>#REF!</f>
        <v>#REF!</v>
      </c>
      <c r="BV100" s="10" t="e">
        <f t="shared" ca="1" si="86"/>
        <v>#VALUE!</v>
      </c>
      <c r="BW100" s="10" t="e">
        <f t="shared" ca="1" si="87"/>
        <v>#VALUE!</v>
      </c>
      <c r="BX100" s="10" t="e">
        <f t="shared" ca="1" si="88"/>
        <v>#VALUE!</v>
      </c>
      <c r="BY100" s="10" t="e">
        <f t="shared" ca="1" si="89"/>
        <v>#VALUE!</v>
      </c>
      <c r="BZ100" s="10" t="e">
        <f t="shared" si="90"/>
        <v>#REF!</v>
      </c>
      <c r="CA100" s="10" t="e">
        <f t="shared" si="91"/>
        <v>#REF!</v>
      </c>
      <c r="CB100" s="10" t="e">
        <f t="shared" si="92"/>
        <v>#REF!</v>
      </c>
      <c r="CC100" s="10" t="e">
        <f t="shared" si="93"/>
        <v>#REF!</v>
      </c>
      <c r="CD100" s="14" t="e">
        <f t="shared" ca="1" si="94"/>
        <v>#VALUE!</v>
      </c>
      <c r="CE100" s="15" t="e">
        <f ca="1">IF(CD100&gt;=#REF!/100,"Yes","No")</f>
        <v>#VALUE!</v>
      </c>
      <c r="CF100" s="6">
        <f t="shared" si="69"/>
        <v>2</v>
      </c>
      <c r="CG100" s="6" t="e">
        <f t="shared" ca="1" si="95"/>
        <v>#VALUE!</v>
      </c>
      <c r="CH100" s="13" t="e">
        <f t="shared" ca="1" si="96"/>
        <v>#VALUE!</v>
      </c>
      <c r="CI100" s="10" t="e">
        <f t="shared" ca="1" si="70"/>
        <v>#VALUE!</v>
      </c>
      <c r="CJ100" s="10" t="e">
        <f t="shared" ca="1" si="71"/>
        <v>#VALUE!</v>
      </c>
      <c r="CK100" s="10" t="e">
        <f t="shared" ca="1" si="97"/>
        <v>#VALUE!</v>
      </c>
      <c r="CL100" s="10" t="e">
        <f>#REF!</f>
        <v>#REF!</v>
      </c>
      <c r="CM100" s="10" t="e">
        <f t="shared" ca="1" si="98"/>
        <v>#VALUE!</v>
      </c>
      <c r="CN100" s="10" t="e">
        <f t="shared" ca="1" si="99"/>
        <v>#VALUE!</v>
      </c>
      <c r="CO100" s="10" t="e">
        <f t="shared" ca="1" si="100"/>
        <v>#VALUE!</v>
      </c>
      <c r="CP100" s="10" t="e">
        <f t="shared" ca="1" si="101"/>
        <v>#VALUE!</v>
      </c>
      <c r="CQ100" s="10" t="e">
        <f t="shared" si="102"/>
        <v>#REF!</v>
      </c>
      <c r="CR100" s="10" t="e">
        <f t="shared" si="103"/>
        <v>#REF!</v>
      </c>
      <c r="CS100" s="10" t="e">
        <f t="shared" si="104"/>
        <v>#REF!</v>
      </c>
      <c r="CT100" s="10" t="e">
        <f t="shared" si="105"/>
        <v>#REF!</v>
      </c>
      <c r="CU100" s="14" t="e">
        <f t="shared" ca="1" si="106"/>
        <v>#VALUE!</v>
      </c>
      <c r="CV100" s="15" t="e">
        <f ca="1">IF(CU100&gt;=#REF!/100,"Yes","No")</f>
        <v>#VALUE!</v>
      </c>
    </row>
    <row r="101" spans="1:100" x14ac:dyDescent="0.25">
      <c r="A101" t="s">
        <v>205</v>
      </c>
      <c r="B101" t="s">
        <v>206</v>
      </c>
      <c r="C101">
        <v>115200132</v>
      </c>
      <c r="D101" t="str">
        <f t="shared" si="61"/>
        <v>Demirbay, Rasim-115200132</v>
      </c>
      <c r="E101" s="22">
        <v>7</v>
      </c>
      <c r="F101" s="22">
        <v>1</v>
      </c>
      <c r="G101" s="22">
        <v>8</v>
      </c>
      <c r="H101" s="22">
        <v>2774598</v>
      </c>
      <c r="I101" s="22">
        <v>1094132</v>
      </c>
      <c r="J101" s="22">
        <v>5118370</v>
      </c>
      <c r="K101" s="22">
        <v>692305</v>
      </c>
      <c r="L101" s="22">
        <v>100000</v>
      </c>
      <c r="M101" s="22">
        <v>108800</v>
      </c>
      <c r="N101" s="22">
        <v>118200</v>
      </c>
      <c r="O101" s="22">
        <v>127200</v>
      </c>
      <c r="P101" s="22">
        <v>118200</v>
      </c>
      <c r="Q101" s="22">
        <v>100000</v>
      </c>
      <c r="R101" s="22">
        <v>108800</v>
      </c>
      <c r="S101" s="22">
        <v>127200</v>
      </c>
      <c r="T101" s="24">
        <v>28000</v>
      </c>
      <c r="U101" s="22">
        <v>26597</v>
      </c>
      <c r="V101" s="22">
        <v>24197</v>
      </c>
      <c r="W101" s="22">
        <v>22097</v>
      </c>
      <c r="X101" s="22">
        <v>24197</v>
      </c>
      <c r="Y101" s="22">
        <v>29097</v>
      </c>
      <c r="Z101" s="22">
        <v>26597</v>
      </c>
      <c r="AA101" s="22">
        <v>22097</v>
      </c>
      <c r="AB101" s="24">
        <v>97000</v>
      </c>
      <c r="AC101" s="24">
        <v>100000</v>
      </c>
      <c r="AD101" s="24">
        <v>103000</v>
      </c>
      <c r="AE101" s="24">
        <v>101000</v>
      </c>
      <c r="AF101" s="24">
        <v>94000</v>
      </c>
      <c r="AG101" s="24">
        <v>98000</v>
      </c>
      <c r="AH101" s="24">
        <v>99000</v>
      </c>
      <c r="AI101" s="24">
        <v>98000</v>
      </c>
      <c r="AJ101" s="25">
        <v>3.1</v>
      </c>
      <c r="AK101" s="25">
        <v>6.8</v>
      </c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8">
        <f t="shared" ref="AX101:AX130" si="107">MATCH(SMALL(P100:S100,2),P100:S100,0)</f>
        <v>4</v>
      </c>
      <c r="AY101" s="8">
        <f t="shared" ref="AY101:AY130" si="108">MATCH(SMALL(P100:S100,1),P100:S100,0)</f>
        <v>3</v>
      </c>
      <c r="AZ101" s="16" t="str">
        <f t="shared" si="72"/>
        <v>∆(4-3)</v>
      </c>
      <c r="BA101" s="17">
        <f t="shared" ref="BA101:BA130" ca="1" si="109">-OFFSET($O100,,AX101)+OFFSET($O100,,AY101)</f>
        <v>-9600</v>
      </c>
      <c r="BB101" s="17">
        <f t="shared" ref="BB101:BB130" ca="1" si="110">-OFFSET($W100,,AX101)+OFFSET($W100,,AY101)</f>
        <v>2500</v>
      </c>
      <c r="BC101" s="17">
        <f t="shared" ca="1" si="73"/>
        <v>1920</v>
      </c>
      <c r="BD101" s="17" t="e">
        <f>#REF!</f>
        <v>#REF!</v>
      </c>
      <c r="BE101" s="17">
        <f t="shared" ca="1" si="74"/>
        <v>-9600</v>
      </c>
      <c r="BF101" s="17">
        <f t="shared" ca="1" si="75"/>
        <v>2500</v>
      </c>
      <c r="BG101" s="17">
        <f t="shared" ca="1" si="76"/>
        <v>2500</v>
      </c>
      <c r="BH101" s="17">
        <f t="shared" ca="1" si="77"/>
        <v>2500</v>
      </c>
      <c r="BI101" s="17" t="e">
        <f t="shared" si="78"/>
        <v>#REF!</v>
      </c>
      <c r="BJ101" s="17" t="e">
        <f t="shared" si="79"/>
        <v>#REF!</v>
      </c>
      <c r="BK101" s="17" t="e">
        <f t="shared" si="80"/>
        <v>#REF!</v>
      </c>
      <c r="BL101" s="17" t="e">
        <f t="shared" si="81"/>
        <v>#REF!</v>
      </c>
      <c r="BM101" s="18" t="e">
        <f t="shared" ca="1" si="82"/>
        <v>#VALUE!</v>
      </c>
      <c r="BN101" s="19" t="e">
        <f ca="1">IF(BM101&gt;=#REF!/100,"Yes","No")</f>
        <v>#VALUE!</v>
      </c>
      <c r="BO101" s="20">
        <f t="shared" ref="BO101:BO130" si="111">MATCH(SMALL(P100:S100,3),P100:S100,0)</f>
        <v>2</v>
      </c>
      <c r="BP101" s="20" t="e">
        <f t="shared" ca="1" si="83"/>
        <v>#VALUE!</v>
      </c>
      <c r="BQ101" s="16" t="e">
        <f t="shared" ca="1" si="84"/>
        <v>#VALUE!</v>
      </c>
      <c r="BR101" s="17" t="e">
        <f t="shared" ref="BR101:BR130" ca="1" si="112">-OFFSET($O100,,BO101)+OFFSET($O100,,BP101)</f>
        <v>#VALUE!</v>
      </c>
      <c r="BS101" s="17" t="e">
        <f t="shared" ref="BS101:BS130" ca="1" si="113">-OFFSET($W100,,BO101)+OFFSET($W100,,BP101)</f>
        <v>#VALUE!</v>
      </c>
      <c r="BT101" s="17" t="e">
        <f t="shared" ca="1" si="85"/>
        <v>#VALUE!</v>
      </c>
      <c r="BU101" s="17" t="e">
        <f>#REF!</f>
        <v>#REF!</v>
      </c>
      <c r="BV101" s="17" t="e">
        <f t="shared" ca="1" si="86"/>
        <v>#VALUE!</v>
      </c>
      <c r="BW101" s="17" t="e">
        <f t="shared" ca="1" si="87"/>
        <v>#VALUE!</v>
      </c>
      <c r="BX101" s="17" t="e">
        <f t="shared" ca="1" si="88"/>
        <v>#VALUE!</v>
      </c>
      <c r="BY101" s="17" t="e">
        <f t="shared" ca="1" si="89"/>
        <v>#VALUE!</v>
      </c>
      <c r="BZ101" s="17" t="e">
        <f t="shared" si="90"/>
        <v>#REF!</v>
      </c>
      <c r="CA101" s="17" t="e">
        <f t="shared" si="91"/>
        <v>#REF!</v>
      </c>
      <c r="CB101" s="17" t="e">
        <f t="shared" si="92"/>
        <v>#REF!</v>
      </c>
      <c r="CC101" s="17" t="e">
        <f t="shared" si="93"/>
        <v>#REF!</v>
      </c>
      <c r="CD101" s="18" t="e">
        <f t="shared" ca="1" si="94"/>
        <v>#VALUE!</v>
      </c>
      <c r="CE101" s="19" t="e">
        <f ca="1">IF(CD101&gt;=#REF!/100,"Yes","No")</f>
        <v>#VALUE!</v>
      </c>
      <c r="CF101" s="20">
        <f t="shared" ref="CF101:CF130" si="114">MATCH(SMALL(P100:S100,4),P100:S100,0)</f>
        <v>1</v>
      </c>
      <c r="CG101" s="20" t="e">
        <f t="shared" ca="1" si="95"/>
        <v>#VALUE!</v>
      </c>
      <c r="CH101" s="16" t="e">
        <f t="shared" ca="1" si="96"/>
        <v>#VALUE!</v>
      </c>
      <c r="CI101" s="17" t="e">
        <f t="shared" ref="CI101:CI130" ca="1" si="115">-OFFSET($O100,,CF101)+OFFSET($O100,,CG101)</f>
        <v>#VALUE!</v>
      </c>
      <c r="CJ101" s="17" t="e">
        <f t="shared" ref="CJ101:CJ130" ca="1" si="116">-OFFSET($W100,,CF101)+OFFSET($W100,,CG101)</f>
        <v>#VALUE!</v>
      </c>
      <c r="CK101" s="17" t="e">
        <f t="shared" ca="1" si="97"/>
        <v>#VALUE!</v>
      </c>
      <c r="CL101" s="17" t="e">
        <f>#REF!</f>
        <v>#REF!</v>
      </c>
      <c r="CM101" s="17" t="e">
        <f t="shared" ca="1" si="98"/>
        <v>#VALUE!</v>
      </c>
      <c r="CN101" s="17" t="e">
        <f t="shared" ca="1" si="99"/>
        <v>#VALUE!</v>
      </c>
      <c r="CO101" s="17" t="e">
        <f t="shared" ca="1" si="100"/>
        <v>#VALUE!</v>
      </c>
      <c r="CP101" s="17" t="e">
        <f t="shared" ca="1" si="101"/>
        <v>#VALUE!</v>
      </c>
      <c r="CQ101" s="17" t="e">
        <f t="shared" si="102"/>
        <v>#REF!</v>
      </c>
      <c r="CR101" s="17" t="e">
        <f t="shared" si="103"/>
        <v>#REF!</v>
      </c>
      <c r="CS101" s="17" t="e">
        <f t="shared" si="104"/>
        <v>#REF!</v>
      </c>
      <c r="CT101" s="17" t="e">
        <f t="shared" si="105"/>
        <v>#REF!</v>
      </c>
      <c r="CU101" s="18" t="e">
        <f t="shared" ca="1" si="106"/>
        <v>#VALUE!</v>
      </c>
      <c r="CV101" s="19" t="e">
        <f ca="1">IF(CU101&gt;=#REF!/100,"Yes","No")</f>
        <v>#VALUE!</v>
      </c>
    </row>
    <row r="102" spans="1:100" x14ac:dyDescent="0.25">
      <c r="A102" t="s">
        <v>207</v>
      </c>
      <c r="B102" t="s">
        <v>208</v>
      </c>
      <c r="C102">
        <v>115203083</v>
      </c>
      <c r="D102" t="str">
        <f t="shared" si="61"/>
        <v>Demircioğlu, Sarp Berk-115203083</v>
      </c>
      <c r="E102" s="22">
        <v>7</v>
      </c>
      <c r="F102" s="22">
        <v>2</v>
      </c>
      <c r="G102" s="22">
        <v>10</v>
      </c>
      <c r="H102" s="22">
        <v>5804891</v>
      </c>
      <c r="I102" s="22">
        <v>7756240</v>
      </c>
      <c r="J102" s="22">
        <v>8617485</v>
      </c>
      <c r="K102" s="22">
        <v>7351600</v>
      </c>
      <c r="L102" s="22">
        <v>100000</v>
      </c>
      <c r="M102" s="22">
        <v>109500</v>
      </c>
      <c r="N102" s="22">
        <v>118100</v>
      </c>
      <c r="O102" s="22">
        <v>126600</v>
      </c>
      <c r="P102" s="22">
        <v>118100</v>
      </c>
      <c r="Q102" s="22">
        <v>109500</v>
      </c>
      <c r="R102" s="22">
        <v>126600</v>
      </c>
      <c r="S102" s="22">
        <v>100000</v>
      </c>
      <c r="T102" s="24">
        <v>23000</v>
      </c>
      <c r="U102" s="22">
        <v>26898</v>
      </c>
      <c r="V102" s="22">
        <v>24598</v>
      </c>
      <c r="W102" s="22">
        <v>22198</v>
      </c>
      <c r="X102" s="22">
        <v>24598</v>
      </c>
      <c r="Y102" s="22">
        <v>26898</v>
      </c>
      <c r="Z102" s="22">
        <v>22198</v>
      </c>
      <c r="AA102" s="22">
        <v>29098</v>
      </c>
      <c r="AB102" s="24">
        <v>104000</v>
      </c>
      <c r="AC102" s="24">
        <v>101000</v>
      </c>
      <c r="AD102" s="24">
        <v>101000</v>
      </c>
      <c r="AE102" s="24">
        <v>99000</v>
      </c>
      <c r="AF102" s="24">
        <v>100500</v>
      </c>
      <c r="AG102" s="24">
        <v>99000</v>
      </c>
      <c r="AH102" s="24">
        <v>98500</v>
      </c>
      <c r="AI102" s="24">
        <v>96500</v>
      </c>
      <c r="AJ102" s="25">
        <v>3.2</v>
      </c>
      <c r="AK102" s="25">
        <v>7.1</v>
      </c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8">
        <f t="shared" si="107"/>
        <v>3</v>
      </c>
      <c r="AY102" s="8">
        <f t="shared" si="108"/>
        <v>2</v>
      </c>
      <c r="AZ102" s="13" t="str">
        <f t="shared" si="72"/>
        <v>∆(3-2)</v>
      </c>
      <c r="BA102" s="10">
        <f t="shared" ca="1" si="109"/>
        <v>-8800</v>
      </c>
      <c r="BB102" s="10">
        <f t="shared" ca="1" si="110"/>
        <v>2500</v>
      </c>
      <c r="BC102" s="10">
        <f t="shared" ca="1" si="73"/>
        <v>1760</v>
      </c>
      <c r="BD102" s="10" t="e">
        <f>#REF!</f>
        <v>#REF!</v>
      </c>
      <c r="BE102" s="10">
        <f t="shared" ca="1" si="74"/>
        <v>-8800</v>
      </c>
      <c r="BF102" s="10">
        <f t="shared" ca="1" si="75"/>
        <v>2500</v>
      </c>
      <c r="BG102" s="10">
        <f t="shared" ca="1" si="76"/>
        <v>2500</v>
      </c>
      <c r="BH102" s="10">
        <f t="shared" ca="1" si="77"/>
        <v>2500</v>
      </c>
      <c r="BI102" s="10" t="e">
        <f t="shared" si="78"/>
        <v>#REF!</v>
      </c>
      <c r="BJ102" s="10" t="e">
        <f t="shared" si="79"/>
        <v>#REF!</v>
      </c>
      <c r="BK102" s="10" t="e">
        <f t="shared" si="80"/>
        <v>#REF!</v>
      </c>
      <c r="BL102" s="10" t="e">
        <f t="shared" si="81"/>
        <v>#REF!</v>
      </c>
      <c r="BM102" s="14" t="e">
        <f t="shared" ca="1" si="82"/>
        <v>#VALUE!</v>
      </c>
      <c r="BN102" s="15" t="e">
        <f ca="1">IF(BM102&gt;=#REF!/100,"Yes","No")</f>
        <v>#VALUE!</v>
      </c>
      <c r="BO102" s="6">
        <f t="shared" si="111"/>
        <v>1</v>
      </c>
      <c r="BP102" s="6" t="e">
        <f t="shared" ca="1" si="83"/>
        <v>#VALUE!</v>
      </c>
      <c r="BQ102" s="13" t="e">
        <f t="shared" ca="1" si="84"/>
        <v>#VALUE!</v>
      </c>
      <c r="BR102" s="10" t="e">
        <f t="shared" ca="1" si="112"/>
        <v>#VALUE!</v>
      </c>
      <c r="BS102" s="10" t="e">
        <f t="shared" ca="1" si="113"/>
        <v>#VALUE!</v>
      </c>
      <c r="BT102" s="10" t="e">
        <f t="shared" ca="1" si="85"/>
        <v>#VALUE!</v>
      </c>
      <c r="BU102" s="10" t="e">
        <f>#REF!</f>
        <v>#REF!</v>
      </c>
      <c r="BV102" s="10" t="e">
        <f t="shared" ca="1" si="86"/>
        <v>#VALUE!</v>
      </c>
      <c r="BW102" s="10" t="e">
        <f t="shared" ca="1" si="87"/>
        <v>#VALUE!</v>
      </c>
      <c r="BX102" s="10" t="e">
        <f t="shared" ca="1" si="88"/>
        <v>#VALUE!</v>
      </c>
      <c r="BY102" s="10" t="e">
        <f t="shared" ca="1" si="89"/>
        <v>#VALUE!</v>
      </c>
      <c r="BZ102" s="10" t="e">
        <f t="shared" si="90"/>
        <v>#REF!</v>
      </c>
      <c r="CA102" s="10" t="e">
        <f t="shared" si="91"/>
        <v>#REF!</v>
      </c>
      <c r="CB102" s="10" t="e">
        <f t="shared" si="92"/>
        <v>#REF!</v>
      </c>
      <c r="CC102" s="10" t="e">
        <f t="shared" si="93"/>
        <v>#REF!</v>
      </c>
      <c r="CD102" s="14" t="e">
        <f t="shared" ca="1" si="94"/>
        <v>#VALUE!</v>
      </c>
      <c r="CE102" s="15" t="e">
        <f ca="1">IF(CD102&gt;=#REF!/100,"Yes","No")</f>
        <v>#VALUE!</v>
      </c>
      <c r="CF102" s="6">
        <f t="shared" si="114"/>
        <v>4</v>
      </c>
      <c r="CG102" s="6" t="e">
        <f t="shared" ca="1" si="95"/>
        <v>#VALUE!</v>
      </c>
      <c r="CH102" s="13" t="e">
        <f t="shared" ca="1" si="96"/>
        <v>#VALUE!</v>
      </c>
      <c r="CI102" s="10" t="e">
        <f t="shared" ca="1" si="115"/>
        <v>#VALUE!</v>
      </c>
      <c r="CJ102" s="10" t="e">
        <f t="shared" ca="1" si="116"/>
        <v>#VALUE!</v>
      </c>
      <c r="CK102" s="10" t="e">
        <f t="shared" ca="1" si="97"/>
        <v>#VALUE!</v>
      </c>
      <c r="CL102" s="10" t="e">
        <f>#REF!</f>
        <v>#REF!</v>
      </c>
      <c r="CM102" s="10" t="e">
        <f t="shared" ca="1" si="98"/>
        <v>#VALUE!</v>
      </c>
      <c r="CN102" s="10" t="e">
        <f t="shared" ca="1" si="99"/>
        <v>#VALUE!</v>
      </c>
      <c r="CO102" s="10" t="e">
        <f t="shared" ca="1" si="100"/>
        <v>#VALUE!</v>
      </c>
      <c r="CP102" s="10" t="e">
        <f t="shared" ca="1" si="101"/>
        <v>#VALUE!</v>
      </c>
      <c r="CQ102" s="10" t="e">
        <f t="shared" si="102"/>
        <v>#REF!</v>
      </c>
      <c r="CR102" s="10" t="e">
        <f t="shared" si="103"/>
        <v>#REF!</v>
      </c>
      <c r="CS102" s="10" t="e">
        <f t="shared" si="104"/>
        <v>#REF!</v>
      </c>
      <c r="CT102" s="10" t="e">
        <f t="shared" si="105"/>
        <v>#REF!</v>
      </c>
      <c r="CU102" s="14" t="e">
        <f t="shared" ca="1" si="106"/>
        <v>#VALUE!</v>
      </c>
      <c r="CV102" s="15" t="e">
        <f ca="1">IF(CU102&gt;=#REF!/100,"Yes","No")</f>
        <v>#VALUE!</v>
      </c>
    </row>
    <row r="103" spans="1:100" x14ac:dyDescent="0.25">
      <c r="A103" t="s">
        <v>209</v>
      </c>
      <c r="B103" t="s">
        <v>210</v>
      </c>
      <c r="C103">
        <v>116201149</v>
      </c>
      <c r="D103" t="str">
        <f t="shared" si="61"/>
        <v>Demirkol, Nihal-116201149</v>
      </c>
      <c r="E103" s="22">
        <v>6</v>
      </c>
      <c r="F103" s="22">
        <v>2</v>
      </c>
      <c r="G103" s="22">
        <v>10</v>
      </c>
      <c r="H103" s="22">
        <v>5129286</v>
      </c>
      <c r="I103" s="22">
        <v>3194513</v>
      </c>
      <c r="J103" s="22">
        <v>6514112</v>
      </c>
      <c r="K103" s="22">
        <v>659704</v>
      </c>
      <c r="L103" s="22">
        <v>100000</v>
      </c>
      <c r="M103" s="22">
        <v>108000</v>
      </c>
      <c r="N103" s="22">
        <v>117100</v>
      </c>
      <c r="O103" s="22">
        <v>125100</v>
      </c>
      <c r="P103" s="22">
        <v>117100</v>
      </c>
      <c r="Q103" s="22">
        <v>100000</v>
      </c>
      <c r="R103" s="22">
        <v>108000</v>
      </c>
      <c r="S103" s="22">
        <v>125100</v>
      </c>
      <c r="T103" s="24">
        <v>24000</v>
      </c>
      <c r="U103" s="22">
        <v>26599</v>
      </c>
      <c r="V103" s="22">
        <v>24499</v>
      </c>
      <c r="W103" s="22">
        <v>21999</v>
      </c>
      <c r="X103" s="22">
        <v>24499</v>
      </c>
      <c r="Y103" s="22">
        <v>29099</v>
      </c>
      <c r="Z103" s="22">
        <v>26599</v>
      </c>
      <c r="AA103" s="22">
        <v>21999</v>
      </c>
      <c r="AB103" s="24">
        <v>109000</v>
      </c>
      <c r="AC103" s="24">
        <v>109000</v>
      </c>
      <c r="AD103" s="24">
        <v>107000</v>
      </c>
      <c r="AE103" s="24">
        <v>111000</v>
      </c>
      <c r="AF103" s="24">
        <v>107000</v>
      </c>
      <c r="AG103" s="24">
        <v>105500</v>
      </c>
      <c r="AH103" s="24">
        <v>105000</v>
      </c>
      <c r="AI103" s="24">
        <v>109500</v>
      </c>
      <c r="AJ103" s="25">
        <v>2.7</v>
      </c>
      <c r="AK103" s="25">
        <v>8.6999999999999993</v>
      </c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8">
        <f t="shared" si="107"/>
        <v>2</v>
      </c>
      <c r="AY103" s="8">
        <f t="shared" si="108"/>
        <v>4</v>
      </c>
      <c r="AZ103" s="16" t="str">
        <f t="shared" si="72"/>
        <v>∆(2-4)</v>
      </c>
      <c r="BA103" s="17">
        <f t="shared" ca="1" si="109"/>
        <v>-9500</v>
      </c>
      <c r="BB103" s="17">
        <f t="shared" ca="1" si="110"/>
        <v>2200</v>
      </c>
      <c r="BC103" s="17">
        <f t="shared" ca="1" si="73"/>
        <v>1900</v>
      </c>
      <c r="BD103" s="17" t="e">
        <f>#REF!</f>
        <v>#REF!</v>
      </c>
      <c r="BE103" s="17">
        <f t="shared" ca="1" si="74"/>
        <v>-9500</v>
      </c>
      <c r="BF103" s="17">
        <f t="shared" ca="1" si="75"/>
        <v>2200</v>
      </c>
      <c r="BG103" s="17">
        <f t="shared" ca="1" si="76"/>
        <v>2200</v>
      </c>
      <c r="BH103" s="17">
        <f t="shared" ca="1" si="77"/>
        <v>2200</v>
      </c>
      <c r="BI103" s="17" t="e">
        <f t="shared" si="78"/>
        <v>#REF!</v>
      </c>
      <c r="BJ103" s="17" t="e">
        <f t="shared" si="79"/>
        <v>#REF!</v>
      </c>
      <c r="BK103" s="17" t="e">
        <f t="shared" si="80"/>
        <v>#REF!</v>
      </c>
      <c r="BL103" s="17" t="e">
        <f t="shared" si="81"/>
        <v>#REF!</v>
      </c>
      <c r="BM103" s="18" t="e">
        <f t="shared" ca="1" si="82"/>
        <v>#VALUE!</v>
      </c>
      <c r="BN103" s="19" t="e">
        <f ca="1">IF(BM103&gt;=#REF!/100,"Yes","No")</f>
        <v>#VALUE!</v>
      </c>
      <c r="BO103" s="20">
        <f t="shared" si="111"/>
        <v>1</v>
      </c>
      <c r="BP103" s="20" t="e">
        <f t="shared" ca="1" si="83"/>
        <v>#VALUE!</v>
      </c>
      <c r="BQ103" s="16" t="e">
        <f t="shared" ca="1" si="84"/>
        <v>#VALUE!</v>
      </c>
      <c r="BR103" s="17" t="e">
        <f t="shared" ca="1" si="112"/>
        <v>#VALUE!</v>
      </c>
      <c r="BS103" s="17" t="e">
        <f t="shared" ca="1" si="113"/>
        <v>#VALUE!</v>
      </c>
      <c r="BT103" s="17" t="e">
        <f t="shared" ca="1" si="85"/>
        <v>#VALUE!</v>
      </c>
      <c r="BU103" s="17" t="e">
        <f>#REF!</f>
        <v>#REF!</v>
      </c>
      <c r="BV103" s="17" t="e">
        <f t="shared" ca="1" si="86"/>
        <v>#VALUE!</v>
      </c>
      <c r="BW103" s="17" t="e">
        <f t="shared" ca="1" si="87"/>
        <v>#VALUE!</v>
      </c>
      <c r="BX103" s="17" t="e">
        <f t="shared" ca="1" si="88"/>
        <v>#VALUE!</v>
      </c>
      <c r="BY103" s="17" t="e">
        <f t="shared" ca="1" si="89"/>
        <v>#VALUE!</v>
      </c>
      <c r="BZ103" s="17" t="e">
        <f t="shared" si="90"/>
        <v>#REF!</v>
      </c>
      <c r="CA103" s="17" t="e">
        <f t="shared" si="91"/>
        <v>#REF!</v>
      </c>
      <c r="CB103" s="17" t="e">
        <f t="shared" si="92"/>
        <v>#REF!</v>
      </c>
      <c r="CC103" s="17" t="e">
        <f t="shared" si="93"/>
        <v>#REF!</v>
      </c>
      <c r="CD103" s="18" t="e">
        <f t="shared" ca="1" si="94"/>
        <v>#VALUE!</v>
      </c>
      <c r="CE103" s="19" t="e">
        <f ca="1">IF(CD103&gt;=#REF!/100,"Yes","No")</f>
        <v>#VALUE!</v>
      </c>
      <c r="CF103" s="20">
        <f t="shared" si="114"/>
        <v>3</v>
      </c>
      <c r="CG103" s="20" t="e">
        <f t="shared" ca="1" si="95"/>
        <v>#VALUE!</v>
      </c>
      <c r="CH103" s="16" t="e">
        <f t="shared" ca="1" si="96"/>
        <v>#VALUE!</v>
      </c>
      <c r="CI103" s="17" t="e">
        <f t="shared" ca="1" si="115"/>
        <v>#VALUE!</v>
      </c>
      <c r="CJ103" s="17" t="e">
        <f t="shared" ca="1" si="116"/>
        <v>#VALUE!</v>
      </c>
      <c r="CK103" s="17" t="e">
        <f t="shared" ca="1" si="97"/>
        <v>#VALUE!</v>
      </c>
      <c r="CL103" s="17" t="e">
        <f>#REF!</f>
        <v>#REF!</v>
      </c>
      <c r="CM103" s="17" t="e">
        <f t="shared" ca="1" si="98"/>
        <v>#VALUE!</v>
      </c>
      <c r="CN103" s="17" t="e">
        <f t="shared" ca="1" si="99"/>
        <v>#VALUE!</v>
      </c>
      <c r="CO103" s="17" t="e">
        <f t="shared" ca="1" si="100"/>
        <v>#VALUE!</v>
      </c>
      <c r="CP103" s="17" t="e">
        <f t="shared" ca="1" si="101"/>
        <v>#VALUE!</v>
      </c>
      <c r="CQ103" s="17" t="e">
        <f t="shared" si="102"/>
        <v>#REF!</v>
      </c>
      <c r="CR103" s="17" t="e">
        <f t="shared" si="103"/>
        <v>#REF!</v>
      </c>
      <c r="CS103" s="17" t="e">
        <f t="shared" si="104"/>
        <v>#REF!</v>
      </c>
      <c r="CT103" s="17" t="e">
        <f t="shared" si="105"/>
        <v>#REF!</v>
      </c>
      <c r="CU103" s="18" t="e">
        <f t="shared" ca="1" si="106"/>
        <v>#VALUE!</v>
      </c>
      <c r="CV103" s="19" t="e">
        <f ca="1">IF(CU103&gt;=#REF!/100,"Yes","No")</f>
        <v>#VALUE!</v>
      </c>
    </row>
    <row r="104" spans="1:100" x14ac:dyDescent="0.25">
      <c r="A104" t="s">
        <v>211</v>
      </c>
      <c r="B104" t="s">
        <v>212</v>
      </c>
      <c r="C104">
        <v>115204002</v>
      </c>
      <c r="D104" t="str">
        <f t="shared" si="61"/>
        <v>Diken, Fırat-115204002</v>
      </c>
      <c r="E104" s="22">
        <v>4</v>
      </c>
      <c r="F104" s="22">
        <v>2</v>
      </c>
      <c r="G104" s="22">
        <v>10</v>
      </c>
      <c r="H104" s="22">
        <v>9631640</v>
      </c>
      <c r="I104" s="22">
        <v>9540454</v>
      </c>
      <c r="J104" s="22">
        <v>257557</v>
      </c>
      <c r="K104" s="22">
        <v>9187730</v>
      </c>
      <c r="L104" s="22">
        <v>100000</v>
      </c>
      <c r="M104" s="22">
        <v>108500</v>
      </c>
      <c r="N104" s="22">
        <v>118200</v>
      </c>
      <c r="O104" s="22">
        <v>127900</v>
      </c>
      <c r="P104" s="22">
        <v>100000</v>
      </c>
      <c r="Q104" s="22">
        <v>108500</v>
      </c>
      <c r="R104" s="22">
        <v>127900</v>
      </c>
      <c r="S104" s="22">
        <v>118200</v>
      </c>
      <c r="T104" s="24">
        <v>28000</v>
      </c>
      <c r="U104" s="22">
        <v>26600</v>
      </c>
      <c r="V104" s="22">
        <v>24400</v>
      </c>
      <c r="W104" s="22">
        <v>21900</v>
      </c>
      <c r="X104" s="22">
        <v>29100</v>
      </c>
      <c r="Y104" s="22">
        <v>26600</v>
      </c>
      <c r="Z104" s="22">
        <v>21900</v>
      </c>
      <c r="AA104" s="22">
        <v>24400</v>
      </c>
      <c r="AB104" s="24">
        <v>110000</v>
      </c>
      <c r="AC104" s="24">
        <v>112000</v>
      </c>
      <c r="AD104" s="24">
        <v>111000</v>
      </c>
      <c r="AE104" s="24">
        <v>112000</v>
      </c>
      <c r="AF104" s="24">
        <v>106000</v>
      </c>
      <c r="AG104" s="24">
        <v>108500</v>
      </c>
      <c r="AH104" s="24">
        <v>107000</v>
      </c>
      <c r="AI104" s="24">
        <v>110000</v>
      </c>
      <c r="AJ104" s="25">
        <v>3.1</v>
      </c>
      <c r="AK104" s="25">
        <v>7.9</v>
      </c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8">
        <f t="shared" si="107"/>
        <v>3</v>
      </c>
      <c r="AY104" s="8">
        <f t="shared" si="108"/>
        <v>2</v>
      </c>
      <c r="AZ104" s="13" t="str">
        <f t="shared" si="72"/>
        <v>∆(3-2)</v>
      </c>
      <c r="BA104" s="10">
        <f t="shared" ca="1" si="109"/>
        <v>-8000</v>
      </c>
      <c r="BB104" s="10">
        <f t="shared" ca="1" si="110"/>
        <v>2500</v>
      </c>
      <c r="BC104" s="10">
        <f t="shared" ca="1" si="73"/>
        <v>1600</v>
      </c>
      <c r="BD104" s="10" t="e">
        <f>#REF!</f>
        <v>#REF!</v>
      </c>
      <c r="BE104" s="10">
        <f t="shared" ca="1" si="74"/>
        <v>-8000</v>
      </c>
      <c r="BF104" s="10">
        <f t="shared" ca="1" si="75"/>
        <v>2500</v>
      </c>
      <c r="BG104" s="10">
        <f t="shared" ca="1" si="76"/>
        <v>2500</v>
      </c>
      <c r="BH104" s="10">
        <f t="shared" ca="1" si="77"/>
        <v>2500</v>
      </c>
      <c r="BI104" s="10" t="e">
        <f t="shared" si="78"/>
        <v>#REF!</v>
      </c>
      <c r="BJ104" s="10" t="e">
        <f t="shared" si="79"/>
        <v>#REF!</v>
      </c>
      <c r="BK104" s="10" t="e">
        <f t="shared" si="80"/>
        <v>#REF!</v>
      </c>
      <c r="BL104" s="10" t="e">
        <f t="shared" si="81"/>
        <v>#REF!</v>
      </c>
      <c r="BM104" s="14" t="e">
        <f t="shared" ca="1" si="82"/>
        <v>#VALUE!</v>
      </c>
      <c r="BN104" s="15" t="e">
        <f ca="1">IF(BM104&gt;=#REF!/100,"Yes","No")</f>
        <v>#VALUE!</v>
      </c>
      <c r="BO104" s="6">
        <f t="shared" si="111"/>
        <v>1</v>
      </c>
      <c r="BP104" s="6" t="e">
        <f t="shared" ca="1" si="83"/>
        <v>#VALUE!</v>
      </c>
      <c r="BQ104" s="13" t="e">
        <f t="shared" ca="1" si="84"/>
        <v>#VALUE!</v>
      </c>
      <c r="BR104" s="10" t="e">
        <f t="shared" ca="1" si="112"/>
        <v>#VALUE!</v>
      </c>
      <c r="BS104" s="10" t="e">
        <f t="shared" ca="1" si="113"/>
        <v>#VALUE!</v>
      </c>
      <c r="BT104" s="10" t="e">
        <f t="shared" ca="1" si="85"/>
        <v>#VALUE!</v>
      </c>
      <c r="BU104" s="10" t="e">
        <f>#REF!</f>
        <v>#REF!</v>
      </c>
      <c r="BV104" s="10" t="e">
        <f t="shared" ca="1" si="86"/>
        <v>#VALUE!</v>
      </c>
      <c r="BW104" s="10" t="e">
        <f t="shared" ca="1" si="87"/>
        <v>#VALUE!</v>
      </c>
      <c r="BX104" s="10" t="e">
        <f t="shared" ca="1" si="88"/>
        <v>#VALUE!</v>
      </c>
      <c r="BY104" s="10" t="e">
        <f t="shared" ca="1" si="89"/>
        <v>#VALUE!</v>
      </c>
      <c r="BZ104" s="10" t="e">
        <f t="shared" si="90"/>
        <v>#REF!</v>
      </c>
      <c r="CA104" s="10" t="e">
        <f t="shared" si="91"/>
        <v>#REF!</v>
      </c>
      <c r="CB104" s="10" t="e">
        <f t="shared" si="92"/>
        <v>#REF!</v>
      </c>
      <c r="CC104" s="10" t="e">
        <f t="shared" si="93"/>
        <v>#REF!</v>
      </c>
      <c r="CD104" s="14" t="e">
        <f t="shared" ca="1" si="94"/>
        <v>#VALUE!</v>
      </c>
      <c r="CE104" s="15" t="e">
        <f ca="1">IF(CD104&gt;=#REF!/100,"Yes","No")</f>
        <v>#VALUE!</v>
      </c>
      <c r="CF104" s="6">
        <f t="shared" si="114"/>
        <v>4</v>
      </c>
      <c r="CG104" s="6" t="e">
        <f t="shared" ca="1" si="95"/>
        <v>#VALUE!</v>
      </c>
      <c r="CH104" s="13" t="e">
        <f t="shared" ca="1" si="96"/>
        <v>#VALUE!</v>
      </c>
      <c r="CI104" s="10" t="e">
        <f t="shared" ca="1" si="115"/>
        <v>#VALUE!</v>
      </c>
      <c r="CJ104" s="10" t="e">
        <f t="shared" ca="1" si="116"/>
        <v>#VALUE!</v>
      </c>
      <c r="CK104" s="10" t="e">
        <f t="shared" ca="1" si="97"/>
        <v>#VALUE!</v>
      </c>
      <c r="CL104" s="10" t="e">
        <f>#REF!</f>
        <v>#REF!</v>
      </c>
      <c r="CM104" s="10" t="e">
        <f t="shared" ca="1" si="98"/>
        <v>#VALUE!</v>
      </c>
      <c r="CN104" s="10" t="e">
        <f t="shared" ca="1" si="99"/>
        <v>#VALUE!</v>
      </c>
      <c r="CO104" s="10" t="e">
        <f t="shared" ca="1" si="100"/>
        <v>#VALUE!</v>
      </c>
      <c r="CP104" s="10" t="e">
        <f t="shared" ca="1" si="101"/>
        <v>#VALUE!</v>
      </c>
      <c r="CQ104" s="10" t="e">
        <f t="shared" si="102"/>
        <v>#REF!</v>
      </c>
      <c r="CR104" s="10" t="e">
        <f t="shared" si="103"/>
        <v>#REF!</v>
      </c>
      <c r="CS104" s="10" t="e">
        <f t="shared" si="104"/>
        <v>#REF!</v>
      </c>
      <c r="CT104" s="10" t="e">
        <f t="shared" si="105"/>
        <v>#REF!</v>
      </c>
      <c r="CU104" s="14" t="e">
        <f t="shared" ca="1" si="106"/>
        <v>#VALUE!</v>
      </c>
      <c r="CV104" s="15" t="e">
        <f ca="1">IF(CU104&gt;=#REF!/100,"Yes","No")</f>
        <v>#VALUE!</v>
      </c>
    </row>
    <row r="105" spans="1:100" x14ac:dyDescent="0.25">
      <c r="A105" t="s">
        <v>213</v>
      </c>
      <c r="B105" t="s">
        <v>214</v>
      </c>
      <c r="C105">
        <v>116203084</v>
      </c>
      <c r="D105" t="str">
        <f t="shared" si="61"/>
        <v>Diriker, Çağla-116203084</v>
      </c>
      <c r="E105" s="22">
        <v>7</v>
      </c>
      <c r="F105" s="22">
        <v>3</v>
      </c>
      <c r="G105" s="22">
        <v>15</v>
      </c>
      <c r="H105" s="22">
        <v>3874645</v>
      </c>
      <c r="I105" s="22">
        <v>4831828</v>
      </c>
      <c r="J105" s="22">
        <v>7047464</v>
      </c>
      <c r="K105" s="22">
        <v>7048548</v>
      </c>
      <c r="L105" s="22">
        <v>100000</v>
      </c>
      <c r="M105" s="22">
        <v>109000</v>
      </c>
      <c r="N105" s="22">
        <v>117200</v>
      </c>
      <c r="O105" s="22">
        <v>125700</v>
      </c>
      <c r="P105" s="22">
        <v>125700</v>
      </c>
      <c r="Q105" s="22">
        <v>117200</v>
      </c>
      <c r="R105" s="22">
        <v>109000</v>
      </c>
      <c r="S105" s="22">
        <v>100000</v>
      </c>
      <c r="T105" s="24">
        <v>24000</v>
      </c>
      <c r="U105" s="22">
        <v>26601</v>
      </c>
      <c r="V105" s="22">
        <v>24501</v>
      </c>
      <c r="W105" s="22">
        <v>22101</v>
      </c>
      <c r="X105" s="22">
        <v>22101</v>
      </c>
      <c r="Y105" s="22">
        <v>24501</v>
      </c>
      <c r="Z105" s="22">
        <v>26601</v>
      </c>
      <c r="AA105" s="22">
        <v>29101</v>
      </c>
      <c r="AB105" s="24">
        <v>117000</v>
      </c>
      <c r="AC105" s="24">
        <v>119000</v>
      </c>
      <c r="AD105" s="24">
        <v>119000</v>
      </c>
      <c r="AE105" s="24">
        <v>123000</v>
      </c>
      <c r="AF105" s="24">
        <v>113500</v>
      </c>
      <c r="AG105" s="24">
        <v>117000</v>
      </c>
      <c r="AH105" s="24">
        <v>115000</v>
      </c>
      <c r="AI105" s="24">
        <v>120000</v>
      </c>
      <c r="AJ105" s="25">
        <v>3.5</v>
      </c>
      <c r="AK105" s="25">
        <v>7.4</v>
      </c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8">
        <f t="shared" si="107"/>
        <v>2</v>
      </c>
      <c r="AY105" s="8">
        <f t="shared" si="108"/>
        <v>1</v>
      </c>
      <c r="AZ105" s="16" t="str">
        <f t="shared" si="72"/>
        <v>∆(2-1)</v>
      </c>
      <c r="BA105" s="17">
        <f t="shared" ca="1" si="109"/>
        <v>-8500</v>
      </c>
      <c r="BB105" s="17">
        <f t="shared" ca="1" si="110"/>
        <v>2500</v>
      </c>
      <c r="BC105" s="17">
        <f t="shared" ca="1" si="73"/>
        <v>1700</v>
      </c>
      <c r="BD105" s="17" t="e">
        <f>#REF!</f>
        <v>#REF!</v>
      </c>
      <c r="BE105" s="17">
        <f t="shared" ca="1" si="74"/>
        <v>-8500</v>
      </c>
      <c r="BF105" s="17">
        <f t="shared" ca="1" si="75"/>
        <v>2500</v>
      </c>
      <c r="BG105" s="17">
        <f t="shared" ca="1" si="76"/>
        <v>2500</v>
      </c>
      <c r="BH105" s="17">
        <f t="shared" ca="1" si="77"/>
        <v>2500</v>
      </c>
      <c r="BI105" s="17" t="e">
        <f t="shared" si="78"/>
        <v>#REF!</v>
      </c>
      <c r="BJ105" s="17" t="e">
        <f t="shared" si="79"/>
        <v>#REF!</v>
      </c>
      <c r="BK105" s="17" t="e">
        <f t="shared" si="80"/>
        <v>#REF!</v>
      </c>
      <c r="BL105" s="17" t="e">
        <f t="shared" si="81"/>
        <v>#REF!</v>
      </c>
      <c r="BM105" s="18" t="e">
        <f t="shared" ca="1" si="82"/>
        <v>#VALUE!</v>
      </c>
      <c r="BN105" s="19" t="e">
        <f ca="1">IF(BM105&gt;=#REF!/100,"Yes","No")</f>
        <v>#VALUE!</v>
      </c>
      <c r="BO105" s="20">
        <f t="shared" si="111"/>
        <v>4</v>
      </c>
      <c r="BP105" s="20" t="e">
        <f t="shared" ca="1" si="83"/>
        <v>#VALUE!</v>
      </c>
      <c r="BQ105" s="16" t="e">
        <f t="shared" ca="1" si="84"/>
        <v>#VALUE!</v>
      </c>
      <c r="BR105" s="17" t="e">
        <f t="shared" ca="1" si="112"/>
        <v>#VALUE!</v>
      </c>
      <c r="BS105" s="17" t="e">
        <f t="shared" ca="1" si="113"/>
        <v>#VALUE!</v>
      </c>
      <c r="BT105" s="17" t="e">
        <f t="shared" ca="1" si="85"/>
        <v>#VALUE!</v>
      </c>
      <c r="BU105" s="17" t="e">
        <f>#REF!</f>
        <v>#REF!</v>
      </c>
      <c r="BV105" s="17" t="e">
        <f t="shared" ca="1" si="86"/>
        <v>#VALUE!</v>
      </c>
      <c r="BW105" s="17" t="e">
        <f t="shared" ca="1" si="87"/>
        <v>#VALUE!</v>
      </c>
      <c r="BX105" s="17" t="e">
        <f t="shared" ca="1" si="88"/>
        <v>#VALUE!</v>
      </c>
      <c r="BY105" s="17" t="e">
        <f t="shared" ca="1" si="89"/>
        <v>#VALUE!</v>
      </c>
      <c r="BZ105" s="17" t="e">
        <f t="shared" si="90"/>
        <v>#REF!</v>
      </c>
      <c r="CA105" s="17" t="e">
        <f t="shared" si="91"/>
        <v>#REF!</v>
      </c>
      <c r="CB105" s="17" t="e">
        <f t="shared" si="92"/>
        <v>#REF!</v>
      </c>
      <c r="CC105" s="17" t="e">
        <f t="shared" si="93"/>
        <v>#REF!</v>
      </c>
      <c r="CD105" s="18" t="e">
        <f t="shared" ca="1" si="94"/>
        <v>#VALUE!</v>
      </c>
      <c r="CE105" s="19" t="e">
        <f ca="1">IF(CD105&gt;=#REF!/100,"Yes","No")</f>
        <v>#VALUE!</v>
      </c>
      <c r="CF105" s="20">
        <f t="shared" si="114"/>
        <v>3</v>
      </c>
      <c r="CG105" s="20" t="e">
        <f t="shared" ca="1" si="95"/>
        <v>#VALUE!</v>
      </c>
      <c r="CH105" s="16" t="e">
        <f t="shared" ca="1" si="96"/>
        <v>#VALUE!</v>
      </c>
      <c r="CI105" s="17" t="e">
        <f t="shared" ca="1" si="115"/>
        <v>#VALUE!</v>
      </c>
      <c r="CJ105" s="17" t="e">
        <f t="shared" ca="1" si="116"/>
        <v>#VALUE!</v>
      </c>
      <c r="CK105" s="17" t="e">
        <f t="shared" ca="1" si="97"/>
        <v>#VALUE!</v>
      </c>
      <c r="CL105" s="17" t="e">
        <f>#REF!</f>
        <v>#REF!</v>
      </c>
      <c r="CM105" s="17" t="e">
        <f t="shared" ca="1" si="98"/>
        <v>#VALUE!</v>
      </c>
      <c r="CN105" s="17" t="e">
        <f t="shared" ca="1" si="99"/>
        <v>#VALUE!</v>
      </c>
      <c r="CO105" s="17" t="e">
        <f t="shared" ca="1" si="100"/>
        <v>#VALUE!</v>
      </c>
      <c r="CP105" s="17" t="e">
        <f t="shared" ca="1" si="101"/>
        <v>#VALUE!</v>
      </c>
      <c r="CQ105" s="17" t="e">
        <f t="shared" si="102"/>
        <v>#REF!</v>
      </c>
      <c r="CR105" s="17" t="e">
        <f t="shared" si="103"/>
        <v>#REF!</v>
      </c>
      <c r="CS105" s="17" t="e">
        <f t="shared" si="104"/>
        <v>#REF!</v>
      </c>
      <c r="CT105" s="17" t="e">
        <f t="shared" si="105"/>
        <v>#REF!</v>
      </c>
      <c r="CU105" s="18" t="e">
        <f t="shared" ca="1" si="106"/>
        <v>#VALUE!</v>
      </c>
      <c r="CV105" s="19" t="e">
        <f ca="1">IF(CU105&gt;=#REF!/100,"Yes","No")</f>
        <v>#VALUE!</v>
      </c>
    </row>
    <row r="106" spans="1:100" x14ac:dyDescent="0.25">
      <c r="A106" t="s">
        <v>215</v>
      </c>
      <c r="B106" t="s">
        <v>216</v>
      </c>
      <c r="C106">
        <v>114200081</v>
      </c>
      <c r="D106" t="str">
        <f t="shared" si="61"/>
        <v>Doğan, Ekim-114200081</v>
      </c>
      <c r="E106" s="22">
        <v>5</v>
      </c>
      <c r="F106" s="22">
        <v>3</v>
      </c>
      <c r="G106" s="22">
        <v>15</v>
      </c>
      <c r="H106" s="22">
        <v>5043734</v>
      </c>
      <c r="I106" s="22">
        <v>3910643</v>
      </c>
      <c r="J106" s="22">
        <v>5767532</v>
      </c>
      <c r="K106" s="22">
        <v>7769358</v>
      </c>
      <c r="L106" s="22">
        <v>100000</v>
      </c>
      <c r="M106" s="22">
        <v>109200</v>
      </c>
      <c r="N106" s="22">
        <v>117600</v>
      </c>
      <c r="O106" s="22">
        <v>127600</v>
      </c>
      <c r="P106" s="22">
        <v>127600</v>
      </c>
      <c r="Q106" s="22">
        <v>117600</v>
      </c>
      <c r="R106" s="22">
        <v>100000</v>
      </c>
      <c r="S106" s="22">
        <v>109200</v>
      </c>
      <c r="T106" s="24">
        <v>24000</v>
      </c>
      <c r="U106" s="22">
        <v>26802</v>
      </c>
      <c r="V106" s="22">
        <v>24502</v>
      </c>
      <c r="W106" s="22">
        <v>22402</v>
      </c>
      <c r="X106" s="22">
        <v>22402</v>
      </c>
      <c r="Y106" s="22">
        <v>24502</v>
      </c>
      <c r="Z106" s="22">
        <v>29102</v>
      </c>
      <c r="AA106" s="22">
        <v>26802</v>
      </c>
      <c r="AB106" s="24">
        <v>101000</v>
      </c>
      <c r="AC106" s="24">
        <v>102000</v>
      </c>
      <c r="AD106" s="24">
        <v>104000</v>
      </c>
      <c r="AE106" s="24">
        <v>103000</v>
      </c>
      <c r="AF106" s="24">
        <v>97000</v>
      </c>
      <c r="AG106" s="24">
        <v>99500</v>
      </c>
      <c r="AH106" s="24">
        <v>101000</v>
      </c>
      <c r="AI106" s="24">
        <v>100500</v>
      </c>
      <c r="AJ106" s="25">
        <v>2.9</v>
      </c>
      <c r="AK106" s="25">
        <v>6.8</v>
      </c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8">
        <f t="shared" si="107"/>
        <v>3</v>
      </c>
      <c r="AY106" s="8">
        <f t="shared" si="108"/>
        <v>4</v>
      </c>
      <c r="AZ106" s="13" t="str">
        <f t="shared" si="72"/>
        <v>∆(3-4)</v>
      </c>
      <c r="BA106" s="10">
        <f t="shared" ca="1" si="109"/>
        <v>-9000</v>
      </c>
      <c r="BB106" s="10">
        <f t="shared" ca="1" si="110"/>
        <v>2500</v>
      </c>
      <c r="BC106" s="10">
        <f t="shared" ca="1" si="73"/>
        <v>1800</v>
      </c>
      <c r="BD106" s="10" t="e">
        <f>#REF!</f>
        <v>#REF!</v>
      </c>
      <c r="BE106" s="10">
        <f t="shared" ca="1" si="74"/>
        <v>-9000</v>
      </c>
      <c r="BF106" s="10">
        <f t="shared" ca="1" si="75"/>
        <v>2500</v>
      </c>
      <c r="BG106" s="10">
        <f t="shared" ca="1" si="76"/>
        <v>2500</v>
      </c>
      <c r="BH106" s="10">
        <f t="shared" ca="1" si="77"/>
        <v>2500</v>
      </c>
      <c r="BI106" s="10" t="e">
        <f t="shared" si="78"/>
        <v>#REF!</v>
      </c>
      <c r="BJ106" s="10" t="e">
        <f t="shared" si="79"/>
        <v>#REF!</v>
      </c>
      <c r="BK106" s="10" t="e">
        <f t="shared" si="80"/>
        <v>#REF!</v>
      </c>
      <c r="BL106" s="10" t="e">
        <f t="shared" si="81"/>
        <v>#REF!</v>
      </c>
      <c r="BM106" s="14" t="e">
        <f t="shared" ca="1" si="82"/>
        <v>#VALUE!</v>
      </c>
      <c r="BN106" s="15" t="e">
        <f ca="1">IF(BM106&gt;=#REF!/100,"Yes","No")</f>
        <v>#VALUE!</v>
      </c>
      <c r="BO106" s="6">
        <f t="shared" si="111"/>
        <v>2</v>
      </c>
      <c r="BP106" s="6" t="e">
        <f t="shared" ca="1" si="83"/>
        <v>#VALUE!</v>
      </c>
      <c r="BQ106" s="13" t="e">
        <f t="shared" ca="1" si="84"/>
        <v>#VALUE!</v>
      </c>
      <c r="BR106" s="10" t="e">
        <f t="shared" ca="1" si="112"/>
        <v>#VALUE!</v>
      </c>
      <c r="BS106" s="10" t="e">
        <f t="shared" ca="1" si="113"/>
        <v>#VALUE!</v>
      </c>
      <c r="BT106" s="10" t="e">
        <f t="shared" ca="1" si="85"/>
        <v>#VALUE!</v>
      </c>
      <c r="BU106" s="10" t="e">
        <f>#REF!</f>
        <v>#REF!</v>
      </c>
      <c r="BV106" s="10" t="e">
        <f t="shared" ca="1" si="86"/>
        <v>#VALUE!</v>
      </c>
      <c r="BW106" s="10" t="e">
        <f t="shared" ca="1" si="87"/>
        <v>#VALUE!</v>
      </c>
      <c r="BX106" s="10" t="e">
        <f t="shared" ca="1" si="88"/>
        <v>#VALUE!</v>
      </c>
      <c r="BY106" s="10" t="e">
        <f t="shared" ca="1" si="89"/>
        <v>#VALUE!</v>
      </c>
      <c r="BZ106" s="10" t="e">
        <f t="shared" si="90"/>
        <v>#REF!</v>
      </c>
      <c r="CA106" s="10" t="e">
        <f t="shared" si="91"/>
        <v>#REF!</v>
      </c>
      <c r="CB106" s="10" t="e">
        <f t="shared" si="92"/>
        <v>#REF!</v>
      </c>
      <c r="CC106" s="10" t="e">
        <f t="shared" si="93"/>
        <v>#REF!</v>
      </c>
      <c r="CD106" s="14" t="e">
        <f t="shared" ca="1" si="94"/>
        <v>#VALUE!</v>
      </c>
      <c r="CE106" s="15" t="e">
        <f ca="1">IF(CD106&gt;=#REF!/100,"Yes","No")</f>
        <v>#VALUE!</v>
      </c>
      <c r="CF106" s="6">
        <f t="shared" si="114"/>
        <v>1</v>
      </c>
      <c r="CG106" s="6" t="e">
        <f t="shared" ca="1" si="95"/>
        <v>#VALUE!</v>
      </c>
      <c r="CH106" s="13" t="e">
        <f t="shared" ca="1" si="96"/>
        <v>#VALUE!</v>
      </c>
      <c r="CI106" s="10" t="e">
        <f t="shared" ca="1" si="115"/>
        <v>#VALUE!</v>
      </c>
      <c r="CJ106" s="10" t="e">
        <f t="shared" ca="1" si="116"/>
        <v>#VALUE!</v>
      </c>
      <c r="CK106" s="10" t="e">
        <f t="shared" ca="1" si="97"/>
        <v>#VALUE!</v>
      </c>
      <c r="CL106" s="10" t="e">
        <f>#REF!</f>
        <v>#REF!</v>
      </c>
      <c r="CM106" s="10" t="e">
        <f t="shared" ca="1" si="98"/>
        <v>#VALUE!</v>
      </c>
      <c r="CN106" s="10" t="e">
        <f t="shared" ca="1" si="99"/>
        <v>#VALUE!</v>
      </c>
      <c r="CO106" s="10" t="e">
        <f t="shared" ca="1" si="100"/>
        <v>#VALUE!</v>
      </c>
      <c r="CP106" s="10" t="e">
        <f t="shared" ca="1" si="101"/>
        <v>#VALUE!</v>
      </c>
      <c r="CQ106" s="10" t="e">
        <f t="shared" si="102"/>
        <v>#REF!</v>
      </c>
      <c r="CR106" s="10" t="e">
        <f t="shared" si="103"/>
        <v>#REF!</v>
      </c>
      <c r="CS106" s="10" t="e">
        <f t="shared" si="104"/>
        <v>#REF!</v>
      </c>
      <c r="CT106" s="10" t="e">
        <f t="shared" si="105"/>
        <v>#REF!</v>
      </c>
      <c r="CU106" s="14" t="e">
        <f t="shared" ca="1" si="106"/>
        <v>#VALUE!</v>
      </c>
      <c r="CV106" s="15" t="e">
        <f ca="1">IF(CU106&gt;=#REF!/100,"Yes","No")</f>
        <v>#VALUE!</v>
      </c>
    </row>
    <row r="107" spans="1:100" x14ac:dyDescent="0.25">
      <c r="A107" t="s">
        <v>217</v>
      </c>
      <c r="B107" t="s">
        <v>47</v>
      </c>
      <c r="C107">
        <v>114205022</v>
      </c>
      <c r="D107" t="str">
        <f t="shared" si="61"/>
        <v>Doğmuş, Emre-114205022</v>
      </c>
      <c r="E107" s="22">
        <v>4</v>
      </c>
      <c r="F107" s="22">
        <v>2</v>
      </c>
      <c r="G107" s="22">
        <v>10</v>
      </c>
      <c r="H107" s="22">
        <v>8039087</v>
      </c>
      <c r="I107" s="22">
        <v>7651398</v>
      </c>
      <c r="J107" s="22">
        <v>1878250</v>
      </c>
      <c r="K107" s="22">
        <v>5273668</v>
      </c>
      <c r="L107" s="22">
        <v>100000</v>
      </c>
      <c r="M107" s="22">
        <v>109100</v>
      </c>
      <c r="N107" s="22">
        <v>118600</v>
      </c>
      <c r="O107" s="22">
        <v>127300</v>
      </c>
      <c r="P107" s="22">
        <v>100000</v>
      </c>
      <c r="Q107" s="22">
        <v>109100</v>
      </c>
      <c r="R107" s="22">
        <v>127300</v>
      </c>
      <c r="S107" s="22">
        <v>118600</v>
      </c>
      <c r="T107" s="24">
        <v>26000</v>
      </c>
      <c r="U107" s="22">
        <v>26603</v>
      </c>
      <c r="V107" s="22">
        <v>24303</v>
      </c>
      <c r="W107" s="22">
        <v>21903</v>
      </c>
      <c r="X107" s="22">
        <v>29103</v>
      </c>
      <c r="Y107" s="22">
        <v>26603</v>
      </c>
      <c r="Z107" s="22">
        <v>21903</v>
      </c>
      <c r="AA107" s="22">
        <v>24303</v>
      </c>
      <c r="AB107" s="24">
        <v>102000</v>
      </c>
      <c r="AC107" s="24">
        <v>104000</v>
      </c>
      <c r="AD107" s="24">
        <v>102000</v>
      </c>
      <c r="AE107" s="24">
        <v>106000</v>
      </c>
      <c r="AF107" s="24">
        <v>98000</v>
      </c>
      <c r="AG107" s="24">
        <v>101000</v>
      </c>
      <c r="AH107" s="24">
        <v>99000</v>
      </c>
      <c r="AI107" s="24">
        <v>102500</v>
      </c>
      <c r="AJ107" s="25">
        <v>4.5999999999999996</v>
      </c>
      <c r="AK107" s="25">
        <v>7.9</v>
      </c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8">
        <f t="shared" si="107"/>
        <v>4</v>
      </c>
      <c r="AY107" s="8">
        <f t="shared" si="108"/>
        <v>3</v>
      </c>
      <c r="AZ107" s="16" t="str">
        <f t="shared" si="72"/>
        <v>∆(4-3)</v>
      </c>
      <c r="BA107" s="17">
        <f t="shared" ca="1" si="109"/>
        <v>-9200</v>
      </c>
      <c r="BB107" s="17">
        <f t="shared" ca="1" si="110"/>
        <v>2300</v>
      </c>
      <c r="BC107" s="17">
        <f t="shared" ca="1" si="73"/>
        <v>1840</v>
      </c>
      <c r="BD107" s="17" t="e">
        <f>#REF!</f>
        <v>#REF!</v>
      </c>
      <c r="BE107" s="17">
        <f t="shared" ca="1" si="74"/>
        <v>-9200</v>
      </c>
      <c r="BF107" s="17">
        <f t="shared" ca="1" si="75"/>
        <v>2300</v>
      </c>
      <c r="BG107" s="17">
        <f t="shared" ca="1" si="76"/>
        <v>2300</v>
      </c>
      <c r="BH107" s="17">
        <f t="shared" ca="1" si="77"/>
        <v>2300</v>
      </c>
      <c r="BI107" s="17" t="e">
        <f t="shared" si="78"/>
        <v>#REF!</v>
      </c>
      <c r="BJ107" s="17" t="e">
        <f t="shared" si="79"/>
        <v>#REF!</v>
      </c>
      <c r="BK107" s="17" t="e">
        <f t="shared" si="80"/>
        <v>#REF!</v>
      </c>
      <c r="BL107" s="17" t="e">
        <f t="shared" si="81"/>
        <v>#REF!</v>
      </c>
      <c r="BM107" s="18" t="e">
        <f t="shared" ca="1" si="82"/>
        <v>#VALUE!</v>
      </c>
      <c r="BN107" s="19" t="e">
        <f ca="1">IF(BM107&gt;=#REF!/100,"Yes","No")</f>
        <v>#VALUE!</v>
      </c>
      <c r="BO107" s="20">
        <f t="shared" si="111"/>
        <v>2</v>
      </c>
      <c r="BP107" s="20" t="e">
        <f t="shared" ca="1" si="83"/>
        <v>#VALUE!</v>
      </c>
      <c r="BQ107" s="16" t="e">
        <f t="shared" ca="1" si="84"/>
        <v>#VALUE!</v>
      </c>
      <c r="BR107" s="17" t="e">
        <f t="shared" ca="1" si="112"/>
        <v>#VALUE!</v>
      </c>
      <c r="BS107" s="17" t="e">
        <f t="shared" ca="1" si="113"/>
        <v>#VALUE!</v>
      </c>
      <c r="BT107" s="17" t="e">
        <f t="shared" ca="1" si="85"/>
        <v>#VALUE!</v>
      </c>
      <c r="BU107" s="17" t="e">
        <f>#REF!</f>
        <v>#REF!</v>
      </c>
      <c r="BV107" s="17" t="e">
        <f t="shared" ca="1" si="86"/>
        <v>#VALUE!</v>
      </c>
      <c r="BW107" s="17" t="e">
        <f t="shared" ca="1" si="87"/>
        <v>#VALUE!</v>
      </c>
      <c r="BX107" s="17" t="e">
        <f t="shared" ca="1" si="88"/>
        <v>#VALUE!</v>
      </c>
      <c r="BY107" s="17" t="e">
        <f t="shared" ca="1" si="89"/>
        <v>#VALUE!</v>
      </c>
      <c r="BZ107" s="17" t="e">
        <f t="shared" si="90"/>
        <v>#REF!</v>
      </c>
      <c r="CA107" s="17" t="e">
        <f t="shared" si="91"/>
        <v>#REF!</v>
      </c>
      <c r="CB107" s="17" t="e">
        <f t="shared" si="92"/>
        <v>#REF!</v>
      </c>
      <c r="CC107" s="17" t="e">
        <f t="shared" si="93"/>
        <v>#REF!</v>
      </c>
      <c r="CD107" s="18" t="e">
        <f t="shared" ca="1" si="94"/>
        <v>#VALUE!</v>
      </c>
      <c r="CE107" s="19" t="e">
        <f ca="1">IF(CD107&gt;=#REF!/100,"Yes","No")</f>
        <v>#VALUE!</v>
      </c>
      <c r="CF107" s="20">
        <f t="shared" si="114"/>
        <v>1</v>
      </c>
      <c r="CG107" s="20" t="e">
        <f t="shared" ca="1" si="95"/>
        <v>#VALUE!</v>
      </c>
      <c r="CH107" s="16" t="e">
        <f t="shared" ca="1" si="96"/>
        <v>#VALUE!</v>
      </c>
      <c r="CI107" s="17" t="e">
        <f t="shared" ca="1" si="115"/>
        <v>#VALUE!</v>
      </c>
      <c r="CJ107" s="17" t="e">
        <f t="shared" ca="1" si="116"/>
        <v>#VALUE!</v>
      </c>
      <c r="CK107" s="17" t="e">
        <f t="shared" ca="1" si="97"/>
        <v>#VALUE!</v>
      </c>
      <c r="CL107" s="17" t="e">
        <f>#REF!</f>
        <v>#REF!</v>
      </c>
      <c r="CM107" s="17" t="e">
        <f t="shared" ca="1" si="98"/>
        <v>#VALUE!</v>
      </c>
      <c r="CN107" s="17" t="e">
        <f t="shared" ca="1" si="99"/>
        <v>#VALUE!</v>
      </c>
      <c r="CO107" s="17" t="e">
        <f t="shared" ca="1" si="100"/>
        <v>#VALUE!</v>
      </c>
      <c r="CP107" s="17" t="e">
        <f t="shared" ca="1" si="101"/>
        <v>#VALUE!</v>
      </c>
      <c r="CQ107" s="17" t="e">
        <f t="shared" si="102"/>
        <v>#REF!</v>
      </c>
      <c r="CR107" s="17" t="e">
        <f t="shared" si="103"/>
        <v>#REF!</v>
      </c>
      <c r="CS107" s="17" t="e">
        <f t="shared" si="104"/>
        <v>#REF!</v>
      </c>
      <c r="CT107" s="17" t="e">
        <f t="shared" si="105"/>
        <v>#REF!</v>
      </c>
      <c r="CU107" s="18" t="e">
        <f t="shared" ca="1" si="106"/>
        <v>#VALUE!</v>
      </c>
      <c r="CV107" s="19" t="e">
        <f ca="1">IF(CU107&gt;=#REF!/100,"Yes","No")</f>
        <v>#VALUE!</v>
      </c>
    </row>
    <row r="108" spans="1:100" x14ac:dyDescent="0.25">
      <c r="A108" t="s">
        <v>218</v>
      </c>
      <c r="B108" t="s">
        <v>219</v>
      </c>
      <c r="C108">
        <v>115205052</v>
      </c>
      <c r="D108" t="str">
        <f t="shared" si="61"/>
        <v>Dondurmacı, Can-115205052</v>
      </c>
      <c r="E108" s="22">
        <v>4</v>
      </c>
      <c r="F108" s="22">
        <v>2</v>
      </c>
      <c r="G108" s="22">
        <v>10</v>
      </c>
      <c r="H108" s="22">
        <v>2268685</v>
      </c>
      <c r="I108" s="22">
        <v>4612029</v>
      </c>
      <c r="J108" s="22">
        <v>6848421</v>
      </c>
      <c r="K108" s="22">
        <v>9381507</v>
      </c>
      <c r="L108" s="22">
        <v>100000</v>
      </c>
      <c r="M108" s="22">
        <v>110000</v>
      </c>
      <c r="N108" s="22">
        <v>119200</v>
      </c>
      <c r="O108" s="22">
        <v>128400</v>
      </c>
      <c r="P108" s="22">
        <v>128400</v>
      </c>
      <c r="Q108" s="22">
        <v>119200</v>
      </c>
      <c r="R108" s="22">
        <v>110000</v>
      </c>
      <c r="S108" s="22">
        <v>100000</v>
      </c>
      <c r="T108" s="24">
        <v>28000</v>
      </c>
      <c r="U108" s="22">
        <v>27104</v>
      </c>
      <c r="V108" s="22">
        <v>24904</v>
      </c>
      <c r="W108" s="22">
        <v>22804</v>
      </c>
      <c r="X108" s="22">
        <v>22804</v>
      </c>
      <c r="Y108" s="22">
        <v>24904</v>
      </c>
      <c r="Z108" s="22">
        <v>27104</v>
      </c>
      <c r="AA108" s="22">
        <v>29104</v>
      </c>
      <c r="AB108" s="24">
        <v>119000</v>
      </c>
      <c r="AC108" s="24">
        <v>117000</v>
      </c>
      <c r="AD108" s="24">
        <v>119000</v>
      </c>
      <c r="AE108" s="24">
        <v>120000</v>
      </c>
      <c r="AF108" s="24">
        <v>117500</v>
      </c>
      <c r="AG108" s="24">
        <v>113500</v>
      </c>
      <c r="AH108" s="24">
        <v>117500</v>
      </c>
      <c r="AI108" s="24">
        <v>118500</v>
      </c>
      <c r="AJ108" s="25">
        <v>3.2</v>
      </c>
      <c r="AK108" s="25">
        <v>6.7</v>
      </c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8">
        <f t="shared" si="107"/>
        <v>2</v>
      </c>
      <c r="AY108" s="8">
        <f t="shared" si="108"/>
        <v>1</v>
      </c>
      <c r="AZ108" s="13" t="str">
        <f t="shared" si="72"/>
        <v>∆(2-1)</v>
      </c>
      <c r="BA108" s="10">
        <f t="shared" ca="1" si="109"/>
        <v>-9100</v>
      </c>
      <c r="BB108" s="10">
        <f t="shared" ca="1" si="110"/>
        <v>2500</v>
      </c>
      <c r="BC108" s="10">
        <f t="shared" ca="1" si="73"/>
        <v>1820</v>
      </c>
      <c r="BD108" s="10" t="e">
        <f>#REF!</f>
        <v>#REF!</v>
      </c>
      <c r="BE108" s="10">
        <f t="shared" ca="1" si="74"/>
        <v>-9100</v>
      </c>
      <c r="BF108" s="10">
        <f t="shared" ca="1" si="75"/>
        <v>2500</v>
      </c>
      <c r="BG108" s="10">
        <f t="shared" ca="1" si="76"/>
        <v>2500</v>
      </c>
      <c r="BH108" s="10">
        <f t="shared" ca="1" si="77"/>
        <v>2500</v>
      </c>
      <c r="BI108" s="10" t="e">
        <f t="shared" si="78"/>
        <v>#REF!</v>
      </c>
      <c r="BJ108" s="10" t="e">
        <f t="shared" si="79"/>
        <v>#REF!</v>
      </c>
      <c r="BK108" s="10" t="e">
        <f t="shared" si="80"/>
        <v>#REF!</v>
      </c>
      <c r="BL108" s="10" t="e">
        <f t="shared" si="81"/>
        <v>#REF!</v>
      </c>
      <c r="BM108" s="14" t="e">
        <f t="shared" ca="1" si="82"/>
        <v>#VALUE!</v>
      </c>
      <c r="BN108" s="15" t="e">
        <f ca="1">IF(BM108&gt;=#REF!/100,"Yes","No")</f>
        <v>#VALUE!</v>
      </c>
      <c r="BO108" s="6">
        <f t="shared" si="111"/>
        <v>4</v>
      </c>
      <c r="BP108" s="6" t="e">
        <f t="shared" ca="1" si="83"/>
        <v>#VALUE!</v>
      </c>
      <c r="BQ108" s="13" t="e">
        <f t="shared" ca="1" si="84"/>
        <v>#VALUE!</v>
      </c>
      <c r="BR108" s="10" t="e">
        <f t="shared" ca="1" si="112"/>
        <v>#VALUE!</v>
      </c>
      <c r="BS108" s="10" t="e">
        <f t="shared" ca="1" si="113"/>
        <v>#VALUE!</v>
      </c>
      <c r="BT108" s="10" t="e">
        <f t="shared" ca="1" si="85"/>
        <v>#VALUE!</v>
      </c>
      <c r="BU108" s="10" t="e">
        <f>#REF!</f>
        <v>#REF!</v>
      </c>
      <c r="BV108" s="10" t="e">
        <f t="shared" ca="1" si="86"/>
        <v>#VALUE!</v>
      </c>
      <c r="BW108" s="10" t="e">
        <f t="shared" ca="1" si="87"/>
        <v>#VALUE!</v>
      </c>
      <c r="BX108" s="10" t="e">
        <f t="shared" ca="1" si="88"/>
        <v>#VALUE!</v>
      </c>
      <c r="BY108" s="10" t="e">
        <f t="shared" ca="1" si="89"/>
        <v>#VALUE!</v>
      </c>
      <c r="BZ108" s="10" t="e">
        <f t="shared" si="90"/>
        <v>#REF!</v>
      </c>
      <c r="CA108" s="10" t="e">
        <f t="shared" si="91"/>
        <v>#REF!</v>
      </c>
      <c r="CB108" s="10" t="e">
        <f t="shared" si="92"/>
        <v>#REF!</v>
      </c>
      <c r="CC108" s="10" t="e">
        <f t="shared" si="93"/>
        <v>#REF!</v>
      </c>
      <c r="CD108" s="14" t="e">
        <f t="shared" ca="1" si="94"/>
        <v>#VALUE!</v>
      </c>
      <c r="CE108" s="15" t="e">
        <f ca="1">IF(CD108&gt;=#REF!/100,"Yes","No")</f>
        <v>#VALUE!</v>
      </c>
      <c r="CF108" s="6">
        <f t="shared" si="114"/>
        <v>3</v>
      </c>
      <c r="CG108" s="6" t="e">
        <f t="shared" ca="1" si="95"/>
        <v>#VALUE!</v>
      </c>
      <c r="CH108" s="13" t="e">
        <f t="shared" ca="1" si="96"/>
        <v>#VALUE!</v>
      </c>
      <c r="CI108" s="10" t="e">
        <f t="shared" ca="1" si="115"/>
        <v>#VALUE!</v>
      </c>
      <c r="CJ108" s="10" t="e">
        <f t="shared" ca="1" si="116"/>
        <v>#VALUE!</v>
      </c>
      <c r="CK108" s="10" t="e">
        <f t="shared" ca="1" si="97"/>
        <v>#VALUE!</v>
      </c>
      <c r="CL108" s="10" t="e">
        <f>#REF!</f>
        <v>#REF!</v>
      </c>
      <c r="CM108" s="10" t="e">
        <f t="shared" ca="1" si="98"/>
        <v>#VALUE!</v>
      </c>
      <c r="CN108" s="10" t="e">
        <f t="shared" ca="1" si="99"/>
        <v>#VALUE!</v>
      </c>
      <c r="CO108" s="10" t="e">
        <f t="shared" ca="1" si="100"/>
        <v>#VALUE!</v>
      </c>
      <c r="CP108" s="10" t="e">
        <f t="shared" ca="1" si="101"/>
        <v>#VALUE!</v>
      </c>
      <c r="CQ108" s="10" t="e">
        <f t="shared" si="102"/>
        <v>#REF!</v>
      </c>
      <c r="CR108" s="10" t="e">
        <f t="shared" si="103"/>
        <v>#REF!</v>
      </c>
      <c r="CS108" s="10" t="e">
        <f t="shared" si="104"/>
        <v>#REF!</v>
      </c>
      <c r="CT108" s="10" t="e">
        <f t="shared" si="105"/>
        <v>#REF!</v>
      </c>
      <c r="CU108" s="14" t="e">
        <f t="shared" ca="1" si="106"/>
        <v>#VALUE!</v>
      </c>
      <c r="CV108" s="15" t="e">
        <f ca="1">IF(CU108&gt;=#REF!/100,"Yes","No")</f>
        <v>#VALUE!</v>
      </c>
    </row>
    <row r="109" spans="1:100" x14ac:dyDescent="0.25">
      <c r="A109" t="s">
        <v>220</v>
      </c>
      <c r="B109" t="s">
        <v>221</v>
      </c>
      <c r="C109">
        <v>115204021</v>
      </c>
      <c r="D109" t="str">
        <f t="shared" si="61"/>
        <v>Duymaz, Adem-115204021</v>
      </c>
      <c r="E109" s="22">
        <v>4</v>
      </c>
      <c r="F109" s="22">
        <v>3</v>
      </c>
      <c r="G109" s="22">
        <v>15</v>
      </c>
      <c r="H109" s="22">
        <v>8304877</v>
      </c>
      <c r="I109" s="22">
        <v>3565778</v>
      </c>
      <c r="J109" s="22">
        <v>391992</v>
      </c>
      <c r="K109" s="22">
        <v>4312137</v>
      </c>
      <c r="L109" s="22">
        <v>100000</v>
      </c>
      <c r="M109" s="22">
        <v>109900</v>
      </c>
      <c r="N109" s="22">
        <v>118200</v>
      </c>
      <c r="O109" s="22">
        <v>127800</v>
      </c>
      <c r="P109" s="22">
        <v>100000</v>
      </c>
      <c r="Q109" s="22">
        <v>127800</v>
      </c>
      <c r="R109" s="22">
        <v>109900</v>
      </c>
      <c r="S109" s="22">
        <v>118200</v>
      </c>
      <c r="T109" s="24">
        <v>25000</v>
      </c>
      <c r="U109" s="22">
        <v>27105</v>
      </c>
      <c r="V109" s="22">
        <v>24705</v>
      </c>
      <c r="W109" s="22">
        <v>22505</v>
      </c>
      <c r="X109" s="22">
        <v>29105</v>
      </c>
      <c r="Y109" s="22">
        <v>22505</v>
      </c>
      <c r="Z109" s="22">
        <v>27105</v>
      </c>
      <c r="AA109" s="22">
        <v>24705</v>
      </c>
      <c r="AB109" s="24">
        <v>117000</v>
      </c>
      <c r="AC109" s="24">
        <v>114000</v>
      </c>
      <c r="AD109" s="24">
        <v>117000</v>
      </c>
      <c r="AE109" s="24">
        <v>120000</v>
      </c>
      <c r="AF109" s="24">
        <v>113000</v>
      </c>
      <c r="AG109" s="24">
        <v>110500</v>
      </c>
      <c r="AH109" s="24">
        <v>115500</v>
      </c>
      <c r="AI109" s="24">
        <v>117000</v>
      </c>
      <c r="AJ109" s="25">
        <v>5</v>
      </c>
      <c r="AK109" s="25">
        <v>9.6</v>
      </c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8">
        <f t="shared" si="107"/>
        <v>3</v>
      </c>
      <c r="AY109" s="8">
        <f t="shared" si="108"/>
        <v>4</v>
      </c>
      <c r="AZ109" s="16" t="str">
        <f t="shared" si="72"/>
        <v>∆(3-4)</v>
      </c>
      <c r="BA109" s="17">
        <f t="shared" ca="1" si="109"/>
        <v>-10000</v>
      </c>
      <c r="BB109" s="17">
        <f t="shared" ca="1" si="110"/>
        <v>2000</v>
      </c>
      <c r="BC109" s="17">
        <f t="shared" ca="1" si="73"/>
        <v>2000</v>
      </c>
      <c r="BD109" s="17" t="e">
        <f>#REF!</f>
        <v>#REF!</v>
      </c>
      <c r="BE109" s="17">
        <f t="shared" ca="1" si="74"/>
        <v>-10000</v>
      </c>
      <c r="BF109" s="17">
        <f t="shared" ca="1" si="75"/>
        <v>2000</v>
      </c>
      <c r="BG109" s="17">
        <f t="shared" ca="1" si="76"/>
        <v>2000</v>
      </c>
      <c r="BH109" s="17">
        <f t="shared" ca="1" si="77"/>
        <v>2000</v>
      </c>
      <c r="BI109" s="17" t="e">
        <f t="shared" si="78"/>
        <v>#REF!</v>
      </c>
      <c r="BJ109" s="17" t="e">
        <f t="shared" si="79"/>
        <v>#REF!</v>
      </c>
      <c r="BK109" s="17" t="e">
        <f t="shared" si="80"/>
        <v>#REF!</v>
      </c>
      <c r="BL109" s="17" t="e">
        <f t="shared" si="81"/>
        <v>#REF!</v>
      </c>
      <c r="BM109" s="18" t="e">
        <f t="shared" ca="1" si="82"/>
        <v>#VALUE!</v>
      </c>
      <c r="BN109" s="19" t="e">
        <f ca="1">IF(BM109&gt;=#REF!/100,"Yes","No")</f>
        <v>#VALUE!</v>
      </c>
      <c r="BO109" s="20">
        <f t="shared" si="111"/>
        <v>2</v>
      </c>
      <c r="BP109" s="20" t="e">
        <f t="shared" ca="1" si="83"/>
        <v>#VALUE!</v>
      </c>
      <c r="BQ109" s="16" t="e">
        <f t="shared" ca="1" si="84"/>
        <v>#VALUE!</v>
      </c>
      <c r="BR109" s="17" t="e">
        <f t="shared" ca="1" si="112"/>
        <v>#VALUE!</v>
      </c>
      <c r="BS109" s="17" t="e">
        <f t="shared" ca="1" si="113"/>
        <v>#VALUE!</v>
      </c>
      <c r="BT109" s="17" t="e">
        <f t="shared" ca="1" si="85"/>
        <v>#VALUE!</v>
      </c>
      <c r="BU109" s="17" t="e">
        <f>#REF!</f>
        <v>#REF!</v>
      </c>
      <c r="BV109" s="17" t="e">
        <f t="shared" ca="1" si="86"/>
        <v>#VALUE!</v>
      </c>
      <c r="BW109" s="17" t="e">
        <f t="shared" ca="1" si="87"/>
        <v>#VALUE!</v>
      </c>
      <c r="BX109" s="17" t="e">
        <f t="shared" ca="1" si="88"/>
        <v>#VALUE!</v>
      </c>
      <c r="BY109" s="17" t="e">
        <f t="shared" ca="1" si="89"/>
        <v>#VALUE!</v>
      </c>
      <c r="BZ109" s="17" t="e">
        <f t="shared" si="90"/>
        <v>#REF!</v>
      </c>
      <c r="CA109" s="17" t="e">
        <f t="shared" si="91"/>
        <v>#REF!</v>
      </c>
      <c r="CB109" s="17" t="e">
        <f t="shared" si="92"/>
        <v>#REF!</v>
      </c>
      <c r="CC109" s="17" t="e">
        <f t="shared" si="93"/>
        <v>#REF!</v>
      </c>
      <c r="CD109" s="18" t="e">
        <f t="shared" ca="1" si="94"/>
        <v>#VALUE!</v>
      </c>
      <c r="CE109" s="19" t="e">
        <f ca="1">IF(CD109&gt;=#REF!/100,"Yes","No")</f>
        <v>#VALUE!</v>
      </c>
      <c r="CF109" s="20">
        <f t="shared" si="114"/>
        <v>1</v>
      </c>
      <c r="CG109" s="20" t="e">
        <f t="shared" ca="1" si="95"/>
        <v>#VALUE!</v>
      </c>
      <c r="CH109" s="16" t="e">
        <f t="shared" ca="1" si="96"/>
        <v>#VALUE!</v>
      </c>
      <c r="CI109" s="17" t="e">
        <f t="shared" ca="1" si="115"/>
        <v>#VALUE!</v>
      </c>
      <c r="CJ109" s="17" t="e">
        <f t="shared" ca="1" si="116"/>
        <v>#VALUE!</v>
      </c>
      <c r="CK109" s="17" t="e">
        <f t="shared" ca="1" si="97"/>
        <v>#VALUE!</v>
      </c>
      <c r="CL109" s="17" t="e">
        <f>#REF!</f>
        <v>#REF!</v>
      </c>
      <c r="CM109" s="17" t="e">
        <f t="shared" ca="1" si="98"/>
        <v>#VALUE!</v>
      </c>
      <c r="CN109" s="17" t="e">
        <f t="shared" ca="1" si="99"/>
        <v>#VALUE!</v>
      </c>
      <c r="CO109" s="17" t="e">
        <f t="shared" ca="1" si="100"/>
        <v>#VALUE!</v>
      </c>
      <c r="CP109" s="17" t="e">
        <f t="shared" ca="1" si="101"/>
        <v>#VALUE!</v>
      </c>
      <c r="CQ109" s="17" t="e">
        <f t="shared" si="102"/>
        <v>#REF!</v>
      </c>
      <c r="CR109" s="17" t="e">
        <f t="shared" si="103"/>
        <v>#REF!</v>
      </c>
      <c r="CS109" s="17" t="e">
        <f t="shared" si="104"/>
        <v>#REF!</v>
      </c>
      <c r="CT109" s="17" t="e">
        <f t="shared" si="105"/>
        <v>#REF!</v>
      </c>
      <c r="CU109" s="18" t="e">
        <f t="shared" ca="1" si="106"/>
        <v>#VALUE!</v>
      </c>
      <c r="CV109" s="19" t="e">
        <f ca="1">IF(CU109&gt;=#REF!/100,"Yes","No")</f>
        <v>#VALUE!</v>
      </c>
    </row>
    <row r="110" spans="1:100" x14ac:dyDescent="0.25">
      <c r="A110" t="s">
        <v>222</v>
      </c>
      <c r="B110" t="s">
        <v>223</v>
      </c>
      <c r="C110">
        <v>114207005</v>
      </c>
      <c r="D110" t="str">
        <f t="shared" si="61"/>
        <v>Ebiller, Halit Ege-114207005</v>
      </c>
      <c r="E110" s="22">
        <v>4</v>
      </c>
      <c r="F110" s="22">
        <v>2</v>
      </c>
      <c r="G110" s="22">
        <v>10</v>
      </c>
      <c r="H110" s="22">
        <v>4971761</v>
      </c>
      <c r="I110" s="22">
        <v>9162666</v>
      </c>
      <c r="J110" s="22">
        <v>5133085</v>
      </c>
      <c r="K110" s="22">
        <v>4996533</v>
      </c>
      <c r="L110" s="22">
        <v>100000</v>
      </c>
      <c r="M110" s="22">
        <v>108300</v>
      </c>
      <c r="N110" s="22">
        <v>118000</v>
      </c>
      <c r="O110" s="22">
        <v>127400</v>
      </c>
      <c r="P110" s="22">
        <v>108300</v>
      </c>
      <c r="Q110" s="22">
        <v>118000</v>
      </c>
      <c r="R110" s="22">
        <v>127400</v>
      </c>
      <c r="S110" s="22">
        <v>100000</v>
      </c>
      <c r="T110" s="24">
        <v>27000</v>
      </c>
      <c r="U110" s="22">
        <v>26906</v>
      </c>
      <c r="V110" s="22">
        <v>24706</v>
      </c>
      <c r="W110" s="22">
        <v>22406</v>
      </c>
      <c r="X110" s="22">
        <v>26906</v>
      </c>
      <c r="Y110" s="22">
        <v>24706</v>
      </c>
      <c r="Z110" s="22">
        <v>22406</v>
      </c>
      <c r="AA110" s="22">
        <v>29106</v>
      </c>
      <c r="AB110" s="24">
        <v>103000</v>
      </c>
      <c r="AC110" s="24">
        <v>104000</v>
      </c>
      <c r="AD110" s="24">
        <v>102000</v>
      </c>
      <c r="AE110" s="24">
        <v>106000</v>
      </c>
      <c r="AF110" s="24">
        <v>99000</v>
      </c>
      <c r="AG110" s="24">
        <v>102000</v>
      </c>
      <c r="AH110" s="24">
        <v>99000</v>
      </c>
      <c r="AI110" s="24">
        <v>104000</v>
      </c>
      <c r="AJ110" s="25">
        <v>4.2</v>
      </c>
      <c r="AK110" s="25">
        <v>7.8</v>
      </c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8">
        <f t="shared" si="107"/>
        <v>3</v>
      </c>
      <c r="AY110" s="8">
        <f t="shared" si="108"/>
        <v>1</v>
      </c>
      <c r="AZ110" s="13" t="str">
        <f t="shared" si="72"/>
        <v>∆(3-1)</v>
      </c>
      <c r="BA110" s="10">
        <f t="shared" ca="1" si="109"/>
        <v>-9900</v>
      </c>
      <c r="BB110" s="10">
        <f t="shared" ca="1" si="110"/>
        <v>2000</v>
      </c>
      <c r="BC110" s="10">
        <f t="shared" ca="1" si="73"/>
        <v>1980</v>
      </c>
      <c r="BD110" s="10" t="e">
        <f>#REF!</f>
        <v>#REF!</v>
      </c>
      <c r="BE110" s="10">
        <f t="shared" ca="1" si="74"/>
        <v>-9900</v>
      </c>
      <c r="BF110" s="10">
        <f t="shared" ca="1" si="75"/>
        <v>2000</v>
      </c>
      <c r="BG110" s="10">
        <f t="shared" ca="1" si="76"/>
        <v>2000</v>
      </c>
      <c r="BH110" s="10">
        <f t="shared" ca="1" si="77"/>
        <v>2000</v>
      </c>
      <c r="BI110" s="10" t="e">
        <f t="shared" si="78"/>
        <v>#REF!</v>
      </c>
      <c r="BJ110" s="10" t="e">
        <f t="shared" si="79"/>
        <v>#REF!</v>
      </c>
      <c r="BK110" s="10" t="e">
        <f t="shared" si="80"/>
        <v>#REF!</v>
      </c>
      <c r="BL110" s="10" t="e">
        <f t="shared" si="81"/>
        <v>#REF!</v>
      </c>
      <c r="BM110" s="14" t="e">
        <f t="shared" ca="1" si="82"/>
        <v>#VALUE!</v>
      </c>
      <c r="BN110" s="15" t="e">
        <f ca="1">IF(BM110&gt;=#REF!/100,"Yes","No")</f>
        <v>#VALUE!</v>
      </c>
      <c r="BO110" s="6">
        <f t="shared" si="111"/>
        <v>4</v>
      </c>
      <c r="BP110" s="6" t="e">
        <f t="shared" ca="1" si="83"/>
        <v>#VALUE!</v>
      </c>
      <c r="BQ110" s="13" t="e">
        <f t="shared" ca="1" si="84"/>
        <v>#VALUE!</v>
      </c>
      <c r="BR110" s="10" t="e">
        <f t="shared" ca="1" si="112"/>
        <v>#VALUE!</v>
      </c>
      <c r="BS110" s="10" t="e">
        <f t="shared" ca="1" si="113"/>
        <v>#VALUE!</v>
      </c>
      <c r="BT110" s="10" t="e">
        <f t="shared" ca="1" si="85"/>
        <v>#VALUE!</v>
      </c>
      <c r="BU110" s="10" t="e">
        <f>#REF!</f>
        <v>#REF!</v>
      </c>
      <c r="BV110" s="10" t="e">
        <f t="shared" ca="1" si="86"/>
        <v>#VALUE!</v>
      </c>
      <c r="BW110" s="10" t="e">
        <f t="shared" ca="1" si="87"/>
        <v>#VALUE!</v>
      </c>
      <c r="BX110" s="10" t="e">
        <f t="shared" ca="1" si="88"/>
        <v>#VALUE!</v>
      </c>
      <c r="BY110" s="10" t="e">
        <f t="shared" ca="1" si="89"/>
        <v>#VALUE!</v>
      </c>
      <c r="BZ110" s="10" t="e">
        <f t="shared" si="90"/>
        <v>#REF!</v>
      </c>
      <c r="CA110" s="10" t="e">
        <f t="shared" si="91"/>
        <v>#REF!</v>
      </c>
      <c r="CB110" s="10" t="e">
        <f t="shared" si="92"/>
        <v>#REF!</v>
      </c>
      <c r="CC110" s="10" t="e">
        <f t="shared" si="93"/>
        <v>#REF!</v>
      </c>
      <c r="CD110" s="14" t="e">
        <f t="shared" ca="1" si="94"/>
        <v>#VALUE!</v>
      </c>
      <c r="CE110" s="15" t="e">
        <f ca="1">IF(CD110&gt;=#REF!/100,"Yes","No")</f>
        <v>#VALUE!</v>
      </c>
      <c r="CF110" s="6">
        <f t="shared" si="114"/>
        <v>2</v>
      </c>
      <c r="CG110" s="6" t="e">
        <f t="shared" ca="1" si="95"/>
        <v>#VALUE!</v>
      </c>
      <c r="CH110" s="13" t="e">
        <f t="shared" ca="1" si="96"/>
        <v>#VALUE!</v>
      </c>
      <c r="CI110" s="10" t="e">
        <f t="shared" ca="1" si="115"/>
        <v>#VALUE!</v>
      </c>
      <c r="CJ110" s="10" t="e">
        <f t="shared" ca="1" si="116"/>
        <v>#VALUE!</v>
      </c>
      <c r="CK110" s="10" t="e">
        <f t="shared" ca="1" si="97"/>
        <v>#VALUE!</v>
      </c>
      <c r="CL110" s="10" t="e">
        <f>#REF!</f>
        <v>#REF!</v>
      </c>
      <c r="CM110" s="10" t="e">
        <f t="shared" ca="1" si="98"/>
        <v>#VALUE!</v>
      </c>
      <c r="CN110" s="10" t="e">
        <f t="shared" ca="1" si="99"/>
        <v>#VALUE!</v>
      </c>
      <c r="CO110" s="10" t="e">
        <f t="shared" ca="1" si="100"/>
        <v>#VALUE!</v>
      </c>
      <c r="CP110" s="10" t="e">
        <f t="shared" ca="1" si="101"/>
        <v>#VALUE!</v>
      </c>
      <c r="CQ110" s="10" t="e">
        <f t="shared" si="102"/>
        <v>#REF!</v>
      </c>
      <c r="CR110" s="10" t="e">
        <f t="shared" si="103"/>
        <v>#REF!</v>
      </c>
      <c r="CS110" s="10" t="e">
        <f t="shared" si="104"/>
        <v>#REF!</v>
      </c>
      <c r="CT110" s="10" t="e">
        <f t="shared" si="105"/>
        <v>#REF!</v>
      </c>
      <c r="CU110" s="14" t="e">
        <f t="shared" ca="1" si="106"/>
        <v>#VALUE!</v>
      </c>
      <c r="CV110" s="15" t="e">
        <f ca="1">IF(CU110&gt;=#REF!/100,"Yes","No")</f>
        <v>#VALUE!</v>
      </c>
    </row>
    <row r="111" spans="1:100" x14ac:dyDescent="0.25">
      <c r="A111" t="s">
        <v>224</v>
      </c>
      <c r="B111" t="s">
        <v>55</v>
      </c>
      <c r="C111">
        <v>116203021</v>
      </c>
      <c r="D111" t="str">
        <f t="shared" si="61"/>
        <v>Ecesoy, Zeynep-116203021</v>
      </c>
      <c r="E111" s="22">
        <v>7</v>
      </c>
      <c r="F111" s="22">
        <v>3</v>
      </c>
      <c r="G111" s="22">
        <v>15</v>
      </c>
      <c r="H111" s="22">
        <v>9012550</v>
      </c>
      <c r="I111" s="22">
        <v>7804671</v>
      </c>
      <c r="J111" s="22">
        <v>1852755</v>
      </c>
      <c r="K111" s="22">
        <v>6193429</v>
      </c>
      <c r="L111" s="22">
        <v>100000</v>
      </c>
      <c r="M111" s="22">
        <v>109400</v>
      </c>
      <c r="N111" s="22">
        <v>117900</v>
      </c>
      <c r="O111" s="22">
        <v>125900</v>
      </c>
      <c r="P111" s="22">
        <v>100000</v>
      </c>
      <c r="Q111" s="22">
        <v>109400</v>
      </c>
      <c r="R111" s="22">
        <v>125900</v>
      </c>
      <c r="S111" s="22">
        <v>117900</v>
      </c>
      <c r="T111" s="24">
        <v>29000</v>
      </c>
      <c r="U111" s="22">
        <v>26707</v>
      </c>
      <c r="V111" s="22">
        <v>24607</v>
      </c>
      <c r="W111" s="22">
        <v>22107</v>
      </c>
      <c r="X111" s="22">
        <v>29107</v>
      </c>
      <c r="Y111" s="22">
        <v>26707</v>
      </c>
      <c r="Z111" s="22">
        <v>22107</v>
      </c>
      <c r="AA111" s="22">
        <v>24607</v>
      </c>
      <c r="AB111" s="24">
        <v>111000</v>
      </c>
      <c r="AC111" s="24">
        <v>110000</v>
      </c>
      <c r="AD111" s="24">
        <v>108000</v>
      </c>
      <c r="AE111" s="24">
        <v>108000</v>
      </c>
      <c r="AF111" s="24">
        <v>109500</v>
      </c>
      <c r="AG111" s="24">
        <v>108000</v>
      </c>
      <c r="AH111" s="24">
        <v>105500</v>
      </c>
      <c r="AI111" s="24">
        <v>106000</v>
      </c>
      <c r="AJ111" s="25">
        <v>3</v>
      </c>
      <c r="AK111" s="25">
        <v>8.8000000000000007</v>
      </c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8">
        <f t="shared" si="107"/>
        <v>1</v>
      </c>
      <c r="AY111" s="8">
        <f t="shared" si="108"/>
        <v>4</v>
      </c>
      <c r="AZ111" s="16" t="str">
        <f t="shared" si="72"/>
        <v>∆(1-4)</v>
      </c>
      <c r="BA111" s="17">
        <f t="shared" ca="1" si="109"/>
        <v>-8300</v>
      </c>
      <c r="BB111" s="17">
        <f t="shared" ca="1" si="110"/>
        <v>2200</v>
      </c>
      <c r="BC111" s="17">
        <f t="shared" ca="1" si="73"/>
        <v>1660</v>
      </c>
      <c r="BD111" s="17" t="e">
        <f>#REF!</f>
        <v>#REF!</v>
      </c>
      <c r="BE111" s="17">
        <f t="shared" ca="1" si="74"/>
        <v>-8300</v>
      </c>
      <c r="BF111" s="17">
        <f t="shared" ca="1" si="75"/>
        <v>2200</v>
      </c>
      <c r="BG111" s="17">
        <f t="shared" ca="1" si="76"/>
        <v>2200</v>
      </c>
      <c r="BH111" s="17">
        <f t="shared" ca="1" si="77"/>
        <v>2200</v>
      </c>
      <c r="BI111" s="17" t="e">
        <f t="shared" si="78"/>
        <v>#REF!</v>
      </c>
      <c r="BJ111" s="17" t="e">
        <f t="shared" si="79"/>
        <v>#REF!</v>
      </c>
      <c r="BK111" s="17" t="e">
        <f t="shared" si="80"/>
        <v>#REF!</v>
      </c>
      <c r="BL111" s="17" t="e">
        <f t="shared" si="81"/>
        <v>#REF!</v>
      </c>
      <c r="BM111" s="18" t="e">
        <f t="shared" ca="1" si="82"/>
        <v>#VALUE!</v>
      </c>
      <c r="BN111" s="19" t="e">
        <f ca="1">IF(BM111&gt;=#REF!/100,"Yes","No")</f>
        <v>#VALUE!</v>
      </c>
      <c r="BO111" s="20">
        <f t="shared" si="111"/>
        <v>2</v>
      </c>
      <c r="BP111" s="20" t="e">
        <f t="shared" ca="1" si="83"/>
        <v>#VALUE!</v>
      </c>
      <c r="BQ111" s="16" t="e">
        <f t="shared" ca="1" si="84"/>
        <v>#VALUE!</v>
      </c>
      <c r="BR111" s="17" t="e">
        <f t="shared" ca="1" si="112"/>
        <v>#VALUE!</v>
      </c>
      <c r="BS111" s="17" t="e">
        <f t="shared" ca="1" si="113"/>
        <v>#VALUE!</v>
      </c>
      <c r="BT111" s="17" t="e">
        <f t="shared" ca="1" si="85"/>
        <v>#VALUE!</v>
      </c>
      <c r="BU111" s="17" t="e">
        <f>#REF!</f>
        <v>#REF!</v>
      </c>
      <c r="BV111" s="17" t="e">
        <f t="shared" ca="1" si="86"/>
        <v>#VALUE!</v>
      </c>
      <c r="BW111" s="17" t="e">
        <f t="shared" ca="1" si="87"/>
        <v>#VALUE!</v>
      </c>
      <c r="BX111" s="17" t="e">
        <f t="shared" ca="1" si="88"/>
        <v>#VALUE!</v>
      </c>
      <c r="BY111" s="17" t="e">
        <f t="shared" ca="1" si="89"/>
        <v>#VALUE!</v>
      </c>
      <c r="BZ111" s="17" t="e">
        <f t="shared" si="90"/>
        <v>#REF!</v>
      </c>
      <c r="CA111" s="17" t="e">
        <f t="shared" si="91"/>
        <v>#REF!</v>
      </c>
      <c r="CB111" s="17" t="e">
        <f t="shared" si="92"/>
        <v>#REF!</v>
      </c>
      <c r="CC111" s="17" t="e">
        <f t="shared" si="93"/>
        <v>#REF!</v>
      </c>
      <c r="CD111" s="18" t="e">
        <f t="shared" ca="1" si="94"/>
        <v>#VALUE!</v>
      </c>
      <c r="CE111" s="19" t="e">
        <f ca="1">IF(CD111&gt;=#REF!/100,"Yes","No")</f>
        <v>#VALUE!</v>
      </c>
      <c r="CF111" s="20">
        <f t="shared" si="114"/>
        <v>3</v>
      </c>
      <c r="CG111" s="20" t="e">
        <f t="shared" ca="1" si="95"/>
        <v>#VALUE!</v>
      </c>
      <c r="CH111" s="16" t="e">
        <f t="shared" ca="1" si="96"/>
        <v>#VALUE!</v>
      </c>
      <c r="CI111" s="17" t="e">
        <f t="shared" ca="1" si="115"/>
        <v>#VALUE!</v>
      </c>
      <c r="CJ111" s="17" t="e">
        <f t="shared" ca="1" si="116"/>
        <v>#VALUE!</v>
      </c>
      <c r="CK111" s="17" t="e">
        <f t="shared" ca="1" si="97"/>
        <v>#VALUE!</v>
      </c>
      <c r="CL111" s="17" t="e">
        <f>#REF!</f>
        <v>#REF!</v>
      </c>
      <c r="CM111" s="17" t="e">
        <f t="shared" ca="1" si="98"/>
        <v>#VALUE!</v>
      </c>
      <c r="CN111" s="17" t="e">
        <f t="shared" ca="1" si="99"/>
        <v>#VALUE!</v>
      </c>
      <c r="CO111" s="17" t="e">
        <f t="shared" ca="1" si="100"/>
        <v>#VALUE!</v>
      </c>
      <c r="CP111" s="17" t="e">
        <f t="shared" ca="1" si="101"/>
        <v>#VALUE!</v>
      </c>
      <c r="CQ111" s="17" t="e">
        <f t="shared" si="102"/>
        <v>#REF!</v>
      </c>
      <c r="CR111" s="17" t="e">
        <f t="shared" si="103"/>
        <v>#REF!</v>
      </c>
      <c r="CS111" s="17" t="e">
        <f t="shared" si="104"/>
        <v>#REF!</v>
      </c>
      <c r="CT111" s="17" t="e">
        <f t="shared" si="105"/>
        <v>#REF!</v>
      </c>
      <c r="CU111" s="18" t="e">
        <f t="shared" ca="1" si="106"/>
        <v>#VALUE!</v>
      </c>
      <c r="CV111" s="19" t="e">
        <f ca="1">IF(CU111&gt;=#REF!/100,"Yes","No")</f>
        <v>#VALUE!</v>
      </c>
    </row>
    <row r="112" spans="1:100" x14ac:dyDescent="0.25">
      <c r="A112" t="s">
        <v>225</v>
      </c>
      <c r="B112" t="s">
        <v>51</v>
      </c>
      <c r="C112">
        <v>115207041</v>
      </c>
      <c r="D112" t="str">
        <f t="shared" si="61"/>
        <v>Eldem, Berk-115207041</v>
      </c>
      <c r="E112" s="22">
        <v>5</v>
      </c>
      <c r="F112" s="22">
        <v>2</v>
      </c>
      <c r="G112" s="22">
        <v>10</v>
      </c>
      <c r="H112" s="22">
        <v>7043355</v>
      </c>
      <c r="I112" s="22">
        <v>3022145</v>
      </c>
      <c r="J112" s="22">
        <v>8558806</v>
      </c>
      <c r="K112" s="22">
        <v>3558754</v>
      </c>
      <c r="L112" s="22">
        <v>100000</v>
      </c>
      <c r="M112" s="22">
        <v>109500</v>
      </c>
      <c r="N112" s="22">
        <v>118500</v>
      </c>
      <c r="O112" s="22">
        <v>126700</v>
      </c>
      <c r="P112" s="22">
        <v>118500</v>
      </c>
      <c r="Q112" s="22">
        <v>100000</v>
      </c>
      <c r="R112" s="22">
        <v>126700</v>
      </c>
      <c r="S112" s="22">
        <v>109500</v>
      </c>
      <c r="T112" s="24">
        <v>28000</v>
      </c>
      <c r="U112" s="22">
        <v>26608</v>
      </c>
      <c r="V112" s="22">
        <v>24108</v>
      </c>
      <c r="W112" s="22">
        <v>22108</v>
      </c>
      <c r="X112" s="22">
        <v>24108</v>
      </c>
      <c r="Y112" s="22">
        <v>29108</v>
      </c>
      <c r="Z112" s="22">
        <v>22108</v>
      </c>
      <c r="AA112" s="22">
        <v>26608</v>
      </c>
      <c r="AB112" s="24">
        <v>93000</v>
      </c>
      <c r="AC112" s="24">
        <v>94000</v>
      </c>
      <c r="AD112" s="24">
        <v>97000</v>
      </c>
      <c r="AE112" s="24">
        <v>96000</v>
      </c>
      <c r="AF112" s="24">
        <v>89500</v>
      </c>
      <c r="AG112" s="24">
        <v>90000</v>
      </c>
      <c r="AH112" s="24">
        <v>93500</v>
      </c>
      <c r="AI112" s="24">
        <v>94000</v>
      </c>
      <c r="AJ112" s="25">
        <v>3.2</v>
      </c>
      <c r="AK112" s="25">
        <v>9.6</v>
      </c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8">
        <f t="shared" si="107"/>
        <v>2</v>
      </c>
      <c r="AY112" s="8">
        <f t="shared" si="108"/>
        <v>1</v>
      </c>
      <c r="AZ112" s="13" t="str">
        <f t="shared" si="72"/>
        <v>∆(2-1)</v>
      </c>
      <c r="BA112" s="10">
        <f t="shared" ca="1" si="109"/>
        <v>-9400</v>
      </c>
      <c r="BB112" s="10">
        <f t="shared" ca="1" si="110"/>
        <v>2400</v>
      </c>
      <c r="BC112" s="10">
        <f t="shared" ca="1" si="73"/>
        <v>1880</v>
      </c>
      <c r="BD112" s="10" t="e">
        <f>#REF!</f>
        <v>#REF!</v>
      </c>
      <c r="BE112" s="10">
        <f t="shared" ca="1" si="74"/>
        <v>-9400</v>
      </c>
      <c r="BF112" s="10">
        <f t="shared" ca="1" si="75"/>
        <v>2400</v>
      </c>
      <c r="BG112" s="10">
        <f t="shared" ca="1" si="76"/>
        <v>2400</v>
      </c>
      <c r="BH112" s="10">
        <f t="shared" ca="1" si="77"/>
        <v>2400</v>
      </c>
      <c r="BI112" s="10" t="e">
        <f t="shared" si="78"/>
        <v>#REF!</v>
      </c>
      <c r="BJ112" s="10" t="e">
        <f t="shared" si="79"/>
        <v>#REF!</v>
      </c>
      <c r="BK112" s="10" t="e">
        <f t="shared" si="80"/>
        <v>#REF!</v>
      </c>
      <c r="BL112" s="10" t="e">
        <f t="shared" si="81"/>
        <v>#REF!</v>
      </c>
      <c r="BM112" s="14" t="e">
        <f t="shared" ca="1" si="82"/>
        <v>#VALUE!</v>
      </c>
      <c r="BN112" s="15" t="e">
        <f ca="1">IF(BM112&gt;=#REF!/100,"Yes","No")</f>
        <v>#VALUE!</v>
      </c>
      <c r="BO112" s="6">
        <f t="shared" si="111"/>
        <v>4</v>
      </c>
      <c r="BP112" s="6" t="e">
        <f t="shared" ca="1" si="83"/>
        <v>#VALUE!</v>
      </c>
      <c r="BQ112" s="13" t="e">
        <f t="shared" ca="1" si="84"/>
        <v>#VALUE!</v>
      </c>
      <c r="BR112" s="10" t="e">
        <f t="shared" ca="1" si="112"/>
        <v>#VALUE!</v>
      </c>
      <c r="BS112" s="10" t="e">
        <f t="shared" ca="1" si="113"/>
        <v>#VALUE!</v>
      </c>
      <c r="BT112" s="10" t="e">
        <f t="shared" ca="1" si="85"/>
        <v>#VALUE!</v>
      </c>
      <c r="BU112" s="10" t="e">
        <f>#REF!</f>
        <v>#REF!</v>
      </c>
      <c r="BV112" s="10" t="e">
        <f t="shared" ca="1" si="86"/>
        <v>#VALUE!</v>
      </c>
      <c r="BW112" s="10" t="e">
        <f t="shared" ca="1" si="87"/>
        <v>#VALUE!</v>
      </c>
      <c r="BX112" s="10" t="e">
        <f t="shared" ca="1" si="88"/>
        <v>#VALUE!</v>
      </c>
      <c r="BY112" s="10" t="e">
        <f t="shared" ca="1" si="89"/>
        <v>#VALUE!</v>
      </c>
      <c r="BZ112" s="10" t="e">
        <f t="shared" si="90"/>
        <v>#REF!</v>
      </c>
      <c r="CA112" s="10" t="e">
        <f t="shared" si="91"/>
        <v>#REF!</v>
      </c>
      <c r="CB112" s="10" t="e">
        <f t="shared" si="92"/>
        <v>#REF!</v>
      </c>
      <c r="CC112" s="10" t="e">
        <f t="shared" si="93"/>
        <v>#REF!</v>
      </c>
      <c r="CD112" s="14" t="e">
        <f t="shared" ca="1" si="94"/>
        <v>#VALUE!</v>
      </c>
      <c r="CE112" s="15" t="e">
        <f ca="1">IF(CD112&gt;=#REF!/100,"Yes","No")</f>
        <v>#VALUE!</v>
      </c>
      <c r="CF112" s="6">
        <f t="shared" si="114"/>
        <v>3</v>
      </c>
      <c r="CG112" s="6" t="e">
        <f t="shared" ca="1" si="95"/>
        <v>#VALUE!</v>
      </c>
      <c r="CH112" s="13" t="e">
        <f t="shared" ca="1" si="96"/>
        <v>#VALUE!</v>
      </c>
      <c r="CI112" s="10" t="e">
        <f t="shared" ca="1" si="115"/>
        <v>#VALUE!</v>
      </c>
      <c r="CJ112" s="10" t="e">
        <f t="shared" ca="1" si="116"/>
        <v>#VALUE!</v>
      </c>
      <c r="CK112" s="10" t="e">
        <f t="shared" ca="1" si="97"/>
        <v>#VALUE!</v>
      </c>
      <c r="CL112" s="10" t="e">
        <f>#REF!</f>
        <v>#REF!</v>
      </c>
      <c r="CM112" s="10" t="e">
        <f t="shared" ca="1" si="98"/>
        <v>#VALUE!</v>
      </c>
      <c r="CN112" s="10" t="e">
        <f t="shared" ca="1" si="99"/>
        <v>#VALUE!</v>
      </c>
      <c r="CO112" s="10" t="e">
        <f t="shared" ca="1" si="100"/>
        <v>#VALUE!</v>
      </c>
      <c r="CP112" s="10" t="e">
        <f t="shared" ca="1" si="101"/>
        <v>#VALUE!</v>
      </c>
      <c r="CQ112" s="10" t="e">
        <f t="shared" si="102"/>
        <v>#REF!</v>
      </c>
      <c r="CR112" s="10" t="e">
        <f t="shared" si="103"/>
        <v>#REF!</v>
      </c>
      <c r="CS112" s="10" t="e">
        <f t="shared" si="104"/>
        <v>#REF!</v>
      </c>
      <c r="CT112" s="10" t="e">
        <f t="shared" si="105"/>
        <v>#REF!</v>
      </c>
      <c r="CU112" s="14" t="e">
        <f t="shared" ca="1" si="106"/>
        <v>#VALUE!</v>
      </c>
      <c r="CV112" s="15" t="e">
        <f ca="1">IF(CU112&gt;=#REF!/100,"Yes","No")</f>
        <v>#VALUE!</v>
      </c>
    </row>
    <row r="113" spans="1:100" x14ac:dyDescent="0.25">
      <c r="A113" t="s">
        <v>226</v>
      </c>
      <c r="B113" t="s">
        <v>227</v>
      </c>
      <c r="C113">
        <v>114200015</v>
      </c>
      <c r="D113" t="str">
        <f t="shared" si="61"/>
        <v>Emecen, Utku-114200015</v>
      </c>
      <c r="E113" s="22">
        <v>4</v>
      </c>
      <c r="F113" s="22">
        <v>3</v>
      </c>
      <c r="G113" s="22">
        <v>15</v>
      </c>
      <c r="H113" s="22">
        <v>6663876</v>
      </c>
      <c r="I113" s="22">
        <v>5640617</v>
      </c>
      <c r="J113" s="22">
        <v>6923999</v>
      </c>
      <c r="K113" s="22">
        <v>925634</v>
      </c>
      <c r="L113" s="22">
        <v>100000</v>
      </c>
      <c r="M113" s="22">
        <v>109200</v>
      </c>
      <c r="N113" s="22">
        <v>119100</v>
      </c>
      <c r="O113" s="22">
        <v>127600</v>
      </c>
      <c r="P113" s="22">
        <v>119100</v>
      </c>
      <c r="Q113" s="22">
        <v>100000</v>
      </c>
      <c r="R113" s="22">
        <v>109200</v>
      </c>
      <c r="S113" s="22">
        <v>127600</v>
      </c>
      <c r="T113" s="24">
        <v>28000</v>
      </c>
      <c r="U113" s="22">
        <v>26709</v>
      </c>
      <c r="V113" s="22">
        <v>24709</v>
      </c>
      <c r="W113" s="22">
        <v>22609</v>
      </c>
      <c r="X113" s="22">
        <v>24709</v>
      </c>
      <c r="Y113" s="22">
        <v>29109</v>
      </c>
      <c r="Z113" s="22">
        <v>26709</v>
      </c>
      <c r="AA113" s="22">
        <v>22609</v>
      </c>
      <c r="AB113" s="24">
        <v>100000</v>
      </c>
      <c r="AC113" s="24">
        <v>101000</v>
      </c>
      <c r="AD113" s="24">
        <v>102000</v>
      </c>
      <c r="AE113" s="24">
        <v>101000</v>
      </c>
      <c r="AF113" s="24">
        <v>96500</v>
      </c>
      <c r="AG113" s="24">
        <v>97000</v>
      </c>
      <c r="AH113" s="24">
        <v>99000</v>
      </c>
      <c r="AI113" s="24">
        <v>99500</v>
      </c>
      <c r="AJ113" s="25">
        <v>4.8</v>
      </c>
      <c r="AK113" s="25">
        <v>6.8</v>
      </c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8">
        <f t="shared" si="107"/>
        <v>4</v>
      </c>
      <c r="AY113" s="8">
        <f t="shared" si="108"/>
        <v>2</v>
      </c>
      <c r="AZ113" s="16" t="str">
        <f t="shared" si="72"/>
        <v>∆(4-2)</v>
      </c>
      <c r="BA113" s="17">
        <f t="shared" ca="1" si="109"/>
        <v>-9500</v>
      </c>
      <c r="BB113" s="17">
        <f t="shared" ca="1" si="110"/>
        <v>2500</v>
      </c>
      <c r="BC113" s="17">
        <f t="shared" ca="1" si="73"/>
        <v>1900</v>
      </c>
      <c r="BD113" s="17" t="e">
        <f>#REF!</f>
        <v>#REF!</v>
      </c>
      <c r="BE113" s="17">
        <f t="shared" ca="1" si="74"/>
        <v>-9500</v>
      </c>
      <c r="BF113" s="17">
        <f t="shared" ca="1" si="75"/>
        <v>2500</v>
      </c>
      <c r="BG113" s="17">
        <f t="shared" ca="1" si="76"/>
        <v>2500</v>
      </c>
      <c r="BH113" s="17">
        <f t="shared" ca="1" si="77"/>
        <v>2500</v>
      </c>
      <c r="BI113" s="17" t="e">
        <f t="shared" si="78"/>
        <v>#REF!</v>
      </c>
      <c r="BJ113" s="17" t="e">
        <f t="shared" si="79"/>
        <v>#REF!</v>
      </c>
      <c r="BK113" s="17" t="e">
        <f t="shared" si="80"/>
        <v>#REF!</v>
      </c>
      <c r="BL113" s="17" t="e">
        <f t="shared" si="81"/>
        <v>#REF!</v>
      </c>
      <c r="BM113" s="18" t="e">
        <f t="shared" ca="1" si="82"/>
        <v>#VALUE!</v>
      </c>
      <c r="BN113" s="19" t="e">
        <f ca="1">IF(BM113&gt;=#REF!/100,"Yes","No")</f>
        <v>#VALUE!</v>
      </c>
      <c r="BO113" s="20">
        <f t="shared" si="111"/>
        <v>1</v>
      </c>
      <c r="BP113" s="20" t="e">
        <f t="shared" ca="1" si="83"/>
        <v>#VALUE!</v>
      </c>
      <c r="BQ113" s="16" t="e">
        <f t="shared" ca="1" si="84"/>
        <v>#VALUE!</v>
      </c>
      <c r="BR113" s="17" t="e">
        <f t="shared" ca="1" si="112"/>
        <v>#VALUE!</v>
      </c>
      <c r="BS113" s="17" t="e">
        <f t="shared" ca="1" si="113"/>
        <v>#VALUE!</v>
      </c>
      <c r="BT113" s="17" t="e">
        <f t="shared" ca="1" si="85"/>
        <v>#VALUE!</v>
      </c>
      <c r="BU113" s="17" t="e">
        <f>#REF!</f>
        <v>#REF!</v>
      </c>
      <c r="BV113" s="17" t="e">
        <f t="shared" ca="1" si="86"/>
        <v>#VALUE!</v>
      </c>
      <c r="BW113" s="17" t="e">
        <f t="shared" ca="1" si="87"/>
        <v>#VALUE!</v>
      </c>
      <c r="BX113" s="17" t="e">
        <f t="shared" ca="1" si="88"/>
        <v>#VALUE!</v>
      </c>
      <c r="BY113" s="17" t="e">
        <f t="shared" ca="1" si="89"/>
        <v>#VALUE!</v>
      </c>
      <c r="BZ113" s="17" t="e">
        <f t="shared" si="90"/>
        <v>#REF!</v>
      </c>
      <c r="CA113" s="17" t="e">
        <f t="shared" si="91"/>
        <v>#REF!</v>
      </c>
      <c r="CB113" s="17" t="e">
        <f t="shared" si="92"/>
        <v>#REF!</v>
      </c>
      <c r="CC113" s="17" t="e">
        <f t="shared" si="93"/>
        <v>#REF!</v>
      </c>
      <c r="CD113" s="18" t="e">
        <f t="shared" ca="1" si="94"/>
        <v>#VALUE!</v>
      </c>
      <c r="CE113" s="19" t="e">
        <f ca="1">IF(CD113&gt;=#REF!/100,"Yes","No")</f>
        <v>#VALUE!</v>
      </c>
      <c r="CF113" s="20">
        <f t="shared" si="114"/>
        <v>3</v>
      </c>
      <c r="CG113" s="20" t="e">
        <f t="shared" ca="1" si="95"/>
        <v>#VALUE!</v>
      </c>
      <c r="CH113" s="16" t="e">
        <f t="shared" ca="1" si="96"/>
        <v>#VALUE!</v>
      </c>
      <c r="CI113" s="17" t="e">
        <f t="shared" ca="1" si="115"/>
        <v>#VALUE!</v>
      </c>
      <c r="CJ113" s="17" t="e">
        <f t="shared" ca="1" si="116"/>
        <v>#VALUE!</v>
      </c>
      <c r="CK113" s="17" t="e">
        <f t="shared" ca="1" si="97"/>
        <v>#VALUE!</v>
      </c>
      <c r="CL113" s="17" t="e">
        <f>#REF!</f>
        <v>#REF!</v>
      </c>
      <c r="CM113" s="17" t="e">
        <f t="shared" ca="1" si="98"/>
        <v>#VALUE!</v>
      </c>
      <c r="CN113" s="17" t="e">
        <f t="shared" ca="1" si="99"/>
        <v>#VALUE!</v>
      </c>
      <c r="CO113" s="17" t="e">
        <f t="shared" ca="1" si="100"/>
        <v>#VALUE!</v>
      </c>
      <c r="CP113" s="17" t="e">
        <f t="shared" ca="1" si="101"/>
        <v>#VALUE!</v>
      </c>
      <c r="CQ113" s="17" t="e">
        <f t="shared" si="102"/>
        <v>#REF!</v>
      </c>
      <c r="CR113" s="17" t="e">
        <f t="shared" si="103"/>
        <v>#REF!</v>
      </c>
      <c r="CS113" s="17" t="e">
        <f t="shared" si="104"/>
        <v>#REF!</v>
      </c>
      <c r="CT113" s="17" t="e">
        <f t="shared" si="105"/>
        <v>#REF!</v>
      </c>
      <c r="CU113" s="18" t="e">
        <f t="shared" ca="1" si="106"/>
        <v>#VALUE!</v>
      </c>
      <c r="CV113" s="19" t="e">
        <f ca="1">IF(CU113&gt;=#REF!/100,"Yes","No")</f>
        <v>#VALUE!</v>
      </c>
    </row>
    <row r="114" spans="1:100" x14ac:dyDescent="0.25">
      <c r="A114" t="s">
        <v>228</v>
      </c>
      <c r="B114" t="s">
        <v>229</v>
      </c>
      <c r="C114">
        <v>114207010</v>
      </c>
      <c r="D114" t="str">
        <f t="shared" si="61"/>
        <v>Enderer, Berkan-114207010</v>
      </c>
      <c r="E114" s="22">
        <v>5</v>
      </c>
      <c r="F114" s="22">
        <v>3</v>
      </c>
      <c r="G114" s="22">
        <v>15</v>
      </c>
      <c r="H114" s="22">
        <v>656283</v>
      </c>
      <c r="I114" s="22">
        <v>873585</v>
      </c>
      <c r="J114" s="22">
        <v>7870894</v>
      </c>
      <c r="K114" s="22">
        <v>1474078</v>
      </c>
      <c r="L114" s="22">
        <v>100000</v>
      </c>
      <c r="M114" s="22">
        <v>109600</v>
      </c>
      <c r="N114" s="22">
        <v>118200</v>
      </c>
      <c r="O114" s="22">
        <v>128100</v>
      </c>
      <c r="P114" s="22">
        <v>118200</v>
      </c>
      <c r="Q114" s="22">
        <v>128100</v>
      </c>
      <c r="R114" s="22">
        <v>109600</v>
      </c>
      <c r="S114" s="22">
        <v>100000</v>
      </c>
      <c r="T114" s="24">
        <v>29000</v>
      </c>
      <c r="U114" s="22">
        <v>26910</v>
      </c>
      <c r="V114" s="22">
        <v>24810</v>
      </c>
      <c r="W114" s="22">
        <v>22610</v>
      </c>
      <c r="X114" s="22">
        <v>24810</v>
      </c>
      <c r="Y114" s="22">
        <v>22610</v>
      </c>
      <c r="Z114" s="22">
        <v>26910</v>
      </c>
      <c r="AA114" s="22">
        <v>29110</v>
      </c>
      <c r="AB114" s="24">
        <v>109000</v>
      </c>
      <c r="AC114" s="24">
        <v>108000</v>
      </c>
      <c r="AD114" s="24">
        <v>111000</v>
      </c>
      <c r="AE114" s="24">
        <v>115000</v>
      </c>
      <c r="AF114" s="24">
        <v>105500</v>
      </c>
      <c r="AG114" s="24">
        <v>105500</v>
      </c>
      <c r="AH114" s="24">
        <v>109500</v>
      </c>
      <c r="AI114" s="24">
        <v>113500</v>
      </c>
      <c r="AJ114" s="25">
        <v>4.7</v>
      </c>
      <c r="AK114" s="25">
        <v>9.6</v>
      </c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8">
        <f t="shared" si="107"/>
        <v>3</v>
      </c>
      <c r="AY114" s="8">
        <f t="shared" si="108"/>
        <v>2</v>
      </c>
      <c r="AZ114" s="13" t="str">
        <f t="shared" si="72"/>
        <v>∆(3-2)</v>
      </c>
      <c r="BA114" s="10">
        <f t="shared" ca="1" si="109"/>
        <v>-9200</v>
      </c>
      <c r="BB114" s="10">
        <f t="shared" ca="1" si="110"/>
        <v>2400</v>
      </c>
      <c r="BC114" s="10">
        <f t="shared" ca="1" si="73"/>
        <v>1840</v>
      </c>
      <c r="BD114" s="10" t="e">
        <f>#REF!</f>
        <v>#REF!</v>
      </c>
      <c r="BE114" s="10">
        <f t="shared" ca="1" si="74"/>
        <v>-9200</v>
      </c>
      <c r="BF114" s="10">
        <f t="shared" ca="1" si="75"/>
        <v>2400</v>
      </c>
      <c r="BG114" s="10">
        <f t="shared" ca="1" si="76"/>
        <v>2400</v>
      </c>
      <c r="BH114" s="10">
        <f t="shared" ca="1" si="77"/>
        <v>2400</v>
      </c>
      <c r="BI114" s="10" t="e">
        <f t="shared" si="78"/>
        <v>#REF!</v>
      </c>
      <c r="BJ114" s="10" t="e">
        <f t="shared" si="79"/>
        <v>#REF!</v>
      </c>
      <c r="BK114" s="10" t="e">
        <f t="shared" si="80"/>
        <v>#REF!</v>
      </c>
      <c r="BL114" s="10" t="e">
        <f t="shared" si="81"/>
        <v>#REF!</v>
      </c>
      <c r="BM114" s="14" t="e">
        <f t="shared" ca="1" si="82"/>
        <v>#VALUE!</v>
      </c>
      <c r="BN114" s="15" t="e">
        <f ca="1">IF(BM114&gt;=#REF!/100,"Yes","No")</f>
        <v>#VALUE!</v>
      </c>
      <c r="BO114" s="6">
        <f t="shared" si="111"/>
        <v>1</v>
      </c>
      <c r="BP114" s="6" t="e">
        <f t="shared" ca="1" si="83"/>
        <v>#VALUE!</v>
      </c>
      <c r="BQ114" s="13" t="e">
        <f t="shared" ca="1" si="84"/>
        <v>#VALUE!</v>
      </c>
      <c r="BR114" s="10" t="e">
        <f t="shared" ca="1" si="112"/>
        <v>#VALUE!</v>
      </c>
      <c r="BS114" s="10" t="e">
        <f t="shared" ca="1" si="113"/>
        <v>#VALUE!</v>
      </c>
      <c r="BT114" s="10" t="e">
        <f t="shared" ca="1" si="85"/>
        <v>#VALUE!</v>
      </c>
      <c r="BU114" s="10" t="e">
        <f>#REF!</f>
        <v>#REF!</v>
      </c>
      <c r="BV114" s="10" t="e">
        <f t="shared" ca="1" si="86"/>
        <v>#VALUE!</v>
      </c>
      <c r="BW114" s="10" t="e">
        <f t="shared" ca="1" si="87"/>
        <v>#VALUE!</v>
      </c>
      <c r="BX114" s="10" t="e">
        <f t="shared" ca="1" si="88"/>
        <v>#VALUE!</v>
      </c>
      <c r="BY114" s="10" t="e">
        <f t="shared" ca="1" si="89"/>
        <v>#VALUE!</v>
      </c>
      <c r="BZ114" s="10" t="e">
        <f t="shared" si="90"/>
        <v>#REF!</v>
      </c>
      <c r="CA114" s="10" t="e">
        <f t="shared" si="91"/>
        <v>#REF!</v>
      </c>
      <c r="CB114" s="10" t="e">
        <f t="shared" si="92"/>
        <v>#REF!</v>
      </c>
      <c r="CC114" s="10" t="e">
        <f t="shared" si="93"/>
        <v>#REF!</v>
      </c>
      <c r="CD114" s="14" t="e">
        <f t="shared" ca="1" si="94"/>
        <v>#VALUE!</v>
      </c>
      <c r="CE114" s="15" t="e">
        <f ca="1">IF(CD114&gt;=#REF!/100,"Yes","No")</f>
        <v>#VALUE!</v>
      </c>
      <c r="CF114" s="6">
        <f t="shared" si="114"/>
        <v>4</v>
      </c>
      <c r="CG114" s="6" t="e">
        <f t="shared" ca="1" si="95"/>
        <v>#VALUE!</v>
      </c>
      <c r="CH114" s="13" t="e">
        <f t="shared" ca="1" si="96"/>
        <v>#VALUE!</v>
      </c>
      <c r="CI114" s="10" t="e">
        <f t="shared" ca="1" si="115"/>
        <v>#VALUE!</v>
      </c>
      <c r="CJ114" s="10" t="e">
        <f t="shared" ca="1" si="116"/>
        <v>#VALUE!</v>
      </c>
      <c r="CK114" s="10" t="e">
        <f t="shared" ca="1" si="97"/>
        <v>#VALUE!</v>
      </c>
      <c r="CL114" s="10" t="e">
        <f>#REF!</f>
        <v>#REF!</v>
      </c>
      <c r="CM114" s="10" t="e">
        <f t="shared" ca="1" si="98"/>
        <v>#VALUE!</v>
      </c>
      <c r="CN114" s="10" t="e">
        <f t="shared" ca="1" si="99"/>
        <v>#VALUE!</v>
      </c>
      <c r="CO114" s="10" t="e">
        <f t="shared" ca="1" si="100"/>
        <v>#VALUE!</v>
      </c>
      <c r="CP114" s="10" t="e">
        <f t="shared" ca="1" si="101"/>
        <v>#VALUE!</v>
      </c>
      <c r="CQ114" s="10" t="e">
        <f t="shared" si="102"/>
        <v>#REF!</v>
      </c>
      <c r="CR114" s="10" t="e">
        <f t="shared" si="103"/>
        <v>#REF!</v>
      </c>
      <c r="CS114" s="10" t="e">
        <f t="shared" si="104"/>
        <v>#REF!</v>
      </c>
      <c r="CT114" s="10" t="e">
        <f t="shared" si="105"/>
        <v>#REF!</v>
      </c>
      <c r="CU114" s="14" t="e">
        <f t="shared" ca="1" si="106"/>
        <v>#VALUE!</v>
      </c>
      <c r="CV114" s="15" t="e">
        <f ca="1">IF(CU114&gt;=#REF!/100,"Yes","No")</f>
        <v>#VALUE!</v>
      </c>
    </row>
    <row r="115" spans="1:100" x14ac:dyDescent="0.25">
      <c r="A115" t="s">
        <v>230</v>
      </c>
      <c r="B115" t="s">
        <v>231</v>
      </c>
      <c r="C115">
        <v>114200070</v>
      </c>
      <c r="D115" t="str">
        <f t="shared" si="61"/>
        <v>Ercan, Eda-114200070</v>
      </c>
      <c r="E115" s="22">
        <v>6</v>
      </c>
      <c r="F115" s="22">
        <v>2</v>
      </c>
      <c r="G115" s="22">
        <v>10</v>
      </c>
      <c r="H115" s="22">
        <v>5589046</v>
      </c>
      <c r="I115" s="22">
        <v>3180799</v>
      </c>
      <c r="J115" s="22">
        <v>9522161</v>
      </c>
      <c r="K115" s="22">
        <v>3776182</v>
      </c>
      <c r="L115" s="22">
        <v>100000</v>
      </c>
      <c r="M115" s="22">
        <v>109000</v>
      </c>
      <c r="N115" s="22">
        <v>117300</v>
      </c>
      <c r="O115" s="22">
        <v>125900</v>
      </c>
      <c r="P115" s="22">
        <v>117300</v>
      </c>
      <c r="Q115" s="22">
        <v>100000</v>
      </c>
      <c r="R115" s="22">
        <v>125900</v>
      </c>
      <c r="S115" s="22">
        <v>109000</v>
      </c>
      <c r="T115" s="24">
        <v>26000</v>
      </c>
      <c r="U115" s="22">
        <v>26711</v>
      </c>
      <c r="V115" s="22">
        <v>24511</v>
      </c>
      <c r="W115" s="22">
        <v>22311</v>
      </c>
      <c r="X115" s="22">
        <v>24511</v>
      </c>
      <c r="Y115" s="22">
        <v>29111</v>
      </c>
      <c r="Z115" s="22">
        <v>22311</v>
      </c>
      <c r="AA115" s="22">
        <v>26711</v>
      </c>
      <c r="AB115" s="24">
        <v>119000</v>
      </c>
      <c r="AC115" s="24">
        <v>122000</v>
      </c>
      <c r="AD115" s="24">
        <v>122000</v>
      </c>
      <c r="AE115" s="24">
        <v>119000</v>
      </c>
      <c r="AF115" s="24">
        <v>116500</v>
      </c>
      <c r="AG115" s="24">
        <v>120000</v>
      </c>
      <c r="AH115" s="24">
        <v>120500</v>
      </c>
      <c r="AI115" s="24">
        <v>117500</v>
      </c>
      <c r="AJ115" s="25">
        <v>4.3</v>
      </c>
      <c r="AK115" s="25">
        <v>8.9</v>
      </c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8">
        <f t="shared" si="107"/>
        <v>3</v>
      </c>
      <c r="AY115" s="8">
        <f t="shared" si="108"/>
        <v>4</v>
      </c>
      <c r="AZ115" s="16" t="str">
        <f t="shared" si="72"/>
        <v>∆(3-4)</v>
      </c>
      <c r="BA115" s="17">
        <f t="shared" ca="1" si="109"/>
        <v>-9600</v>
      </c>
      <c r="BB115" s="17">
        <f t="shared" ca="1" si="110"/>
        <v>2200</v>
      </c>
      <c r="BC115" s="17">
        <f t="shared" ca="1" si="73"/>
        <v>1920</v>
      </c>
      <c r="BD115" s="17" t="e">
        <f>#REF!</f>
        <v>#REF!</v>
      </c>
      <c r="BE115" s="17">
        <f t="shared" ca="1" si="74"/>
        <v>-9600</v>
      </c>
      <c r="BF115" s="17">
        <f t="shared" ca="1" si="75"/>
        <v>2200</v>
      </c>
      <c r="BG115" s="17">
        <f t="shared" ca="1" si="76"/>
        <v>2200</v>
      </c>
      <c r="BH115" s="17">
        <f t="shared" ca="1" si="77"/>
        <v>2200</v>
      </c>
      <c r="BI115" s="17" t="e">
        <f t="shared" si="78"/>
        <v>#REF!</v>
      </c>
      <c r="BJ115" s="17" t="e">
        <f t="shared" si="79"/>
        <v>#REF!</v>
      </c>
      <c r="BK115" s="17" t="e">
        <f t="shared" si="80"/>
        <v>#REF!</v>
      </c>
      <c r="BL115" s="17" t="e">
        <f t="shared" si="81"/>
        <v>#REF!</v>
      </c>
      <c r="BM115" s="18" t="e">
        <f t="shared" ca="1" si="82"/>
        <v>#VALUE!</v>
      </c>
      <c r="BN115" s="19" t="e">
        <f ca="1">IF(BM115&gt;=#REF!/100,"Yes","No")</f>
        <v>#VALUE!</v>
      </c>
      <c r="BO115" s="20">
        <f t="shared" si="111"/>
        <v>1</v>
      </c>
      <c r="BP115" s="20" t="e">
        <f t="shared" ca="1" si="83"/>
        <v>#VALUE!</v>
      </c>
      <c r="BQ115" s="16" t="e">
        <f t="shared" ca="1" si="84"/>
        <v>#VALUE!</v>
      </c>
      <c r="BR115" s="17" t="e">
        <f t="shared" ca="1" si="112"/>
        <v>#VALUE!</v>
      </c>
      <c r="BS115" s="17" t="e">
        <f t="shared" ca="1" si="113"/>
        <v>#VALUE!</v>
      </c>
      <c r="BT115" s="17" t="e">
        <f t="shared" ca="1" si="85"/>
        <v>#VALUE!</v>
      </c>
      <c r="BU115" s="17" t="e">
        <f>#REF!</f>
        <v>#REF!</v>
      </c>
      <c r="BV115" s="17" t="e">
        <f t="shared" ca="1" si="86"/>
        <v>#VALUE!</v>
      </c>
      <c r="BW115" s="17" t="e">
        <f t="shared" ca="1" si="87"/>
        <v>#VALUE!</v>
      </c>
      <c r="BX115" s="17" t="e">
        <f t="shared" ca="1" si="88"/>
        <v>#VALUE!</v>
      </c>
      <c r="BY115" s="17" t="e">
        <f t="shared" ca="1" si="89"/>
        <v>#VALUE!</v>
      </c>
      <c r="BZ115" s="17" t="e">
        <f t="shared" si="90"/>
        <v>#REF!</v>
      </c>
      <c r="CA115" s="17" t="e">
        <f t="shared" si="91"/>
        <v>#REF!</v>
      </c>
      <c r="CB115" s="17" t="e">
        <f t="shared" si="92"/>
        <v>#REF!</v>
      </c>
      <c r="CC115" s="17" t="e">
        <f t="shared" si="93"/>
        <v>#REF!</v>
      </c>
      <c r="CD115" s="18" t="e">
        <f t="shared" ca="1" si="94"/>
        <v>#VALUE!</v>
      </c>
      <c r="CE115" s="19" t="e">
        <f ca="1">IF(CD115&gt;=#REF!/100,"Yes","No")</f>
        <v>#VALUE!</v>
      </c>
      <c r="CF115" s="20">
        <f t="shared" si="114"/>
        <v>2</v>
      </c>
      <c r="CG115" s="20" t="e">
        <f t="shared" ca="1" si="95"/>
        <v>#VALUE!</v>
      </c>
      <c r="CH115" s="16" t="e">
        <f t="shared" ca="1" si="96"/>
        <v>#VALUE!</v>
      </c>
      <c r="CI115" s="17" t="e">
        <f t="shared" ca="1" si="115"/>
        <v>#VALUE!</v>
      </c>
      <c r="CJ115" s="17" t="e">
        <f t="shared" ca="1" si="116"/>
        <v>#VALUE!</v>
      </c>
      <c r="CK115" s="17" t="e">
        <f t="shared" ca="1" si="97"/>
        <v>#VALUE!</v>
      </c>
      <c r="CL115" s="17" t="e">
        <f>#REF!</f>
        <v>#REF!</v>
      </c>
      <c r="CM115" s="17" t="e">
        <f t="shared" ca="1" si="98"/>
        <v>#VALUE!</v>
      </c>
      <c r="CN115" s="17" t="e">
        <f t="shared" ca="1" si="99"/>
        <v>#VALUE!</v>
      </c>
      <c r="CO115" s="17" t="e">
        <f t="shared" ca="1" si="100"/>
        <v>#VALUE!</v>
      </c>
      <c r="CP115" s="17" t="e">
        <f t="shared" ca="1" si="101"/>
        <v>#VALUE!</v>
      </c>
      <c r="CQ115" s="17" t="e">
        <f t="shared" si="102"/>
        <v>#REF!</v>
      </c>
      <c r="CR115" s="17" t="e">
        <f t="shared" si="103"/>
        <v>#REF!</v>
      </c>
      <c r="CS115" s="17" t="e">
        <f t="shared" si="104"/>
        <v>#REF!</v>
      </c>
      <c r="CT115" s="17" t="e">
        <f t="shared" si="105"/>
        <v>#REF!</v>
      </c>
      <c r="CU115" s="18" t="e">
        <f t="shared" ca="1" si="106"/>
        <v>#VALUE!</v>
      </c>
      <c r="CV115" s="19" t="e">
        <f ca="1">IF(CU115&gt;=#REF!/100,"Yes","No")</f>
        <v>#VALUE!</v>
      </c>
    </row>
    <row r="116" spans="1:100" x14ac:dyDescent="0.25">
      <c r="A116" t="s">
        <v>232</v>
      </c>
      <c r="B116" t="s">
        <v>233</v>
      </c>
      <c r="C116">
        <v>115205062</v>
      </c>
      <c r="D116" t="str">
        <f t="shared" si="61"/>
        <v>Erdoğan, Burak-115205062</v>
      </c>
      <c r="E116" s="22">
        <v>6</v>
      </c>
      <c r="F116" s="22">
        <v>1</v>
      </c>
      <c r="G116" s="22">
        <v>8</v>
      </c>
      <c r="H116" s="22">
        <v>999258</v>
      </c>
      <c r="I116" s="22">
        <v>6095770</v>
      </c>
      <c r="J116" s="22">
        <v>7863643</v>
      </c>
      <c r="K116" s="22">
        <v>3623140</v>
      </c>
      <c r="L116" s="22">
        <v>100000</v>
      </c>
      <c r="M116" s="22">
        <v>108700</v>
      </c>
      <c r="N116" s="22">
        <v>118300</v>
      </c>
      <c r="O116" s="22">
        <v>126600</v>
      </c>
      <c r="P116" s="22">
        <v>118300</v>
      </c>
      <c r="Q116" s="22">
        <v>108700</v>
      </c>
      <c r="R116" s="22">
        <v>126600</v>
      </c>
      <c r="S116" s="22">
        <v>100000</v>
      </c>
      <c r="T116" s="24">
        <v>29000</v>
      </c>
      <c r="U116" s="22">
        <v>27112</v>
      </c>
      <c r="V116" s="22">
        <v>24712</v>
      </c>
      <c r="W116" s="22">
        <v>22312</v>
      </c>
      <c r="X116" s="22">
        <v>24712</v>
      </c>
      <c r="Y116" s="22">
        <v>27112</v>
      </c>
      <c r="Z116" s="22">
        <v>22312</v>
      </c>
      <c r="AA116" s="22">
        <v>29112</v>
      </c>
      <c r="AB116" s="24">
        <v>118000</v>
      </c>
      <c r="AC116" s="24">
        <v>116000</v>
      </c>
      <c r="AD116" s="24">
        <v>114000</v>
      </c>
      <c r="AE116" s="24">
        <v>116000</v>
      </c>
      <c r="AF116" s="24">
        <v>115000</v>
      </c>
      <c r="AG116" s="24">
        <v>112500</v>
      </c>
      <c r="AH116" s="24">
        <v>110000</v>
      </c>
      <c r="AI116" s="24">
        <v>114000</v>
      </c>
      <c r="AJ116" s="25">
        <v>4.3</v>
      </c>
      <c r="AK116" s="25">
        <v>6.6</v>
      </c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8">
        <f t="shared" si="107"/>
        <v>4</v>
      </c>
      <c r="AY116" s="8">
        <f t="shared" si="108"/>
        <v>2</v>
      </c>
      <c r="AZ116" s="13" t="str">
        <f t="shared" si="72"/>
        <v>∆(4-2)</v>
      </c>
      <c r="BA116" s="10">
        <f t="shared" ca="1" si="109"/>
        <v>-9000</v>
      </c>
      <c r="BB116" s="10">
        <f t="shared" ca="1" si="110"/>
        <v>2400</v>
      </c>
      <c r="BC116" s="10">
        <f t="shared" ca="1" si="73"/>
        <v>1800</v>
      </c>
      <c r="BD116" s="10" t="e">
        <f>#REF!</f>
        <v>#REF!</v>
      </c>
      <c r="BE116" s="10">
        <f t="shared" ca="1" si="74"/>
        <v>-9000</v>
      </c>
      <c r="BF116" s="10">
        <f t="shared" ca="1" si="75"/>
        <v>2400</v>
      </c>
      <c r="BG116" s="10">
        <f t="shared" ca="1" si="76"/>
        <v>2400</v>
      </c>
      <c r="BH116" s="10">
        <f t="shared" ca="1" si="77"/>
        <v>2400</v>
      </c>
      <c r="BI116" s="10" t="e">
        <f t="shared" si="78"/>
        <v>#REF!</v>
      </c>
      <c r="BJ116" s="10" t="e">
        <f t="shared" si="79"/>
        <v>#REF!</v>
      </c>
      <c r="BK116" s="10" t="e">
        <f t="shared" si="80"/>
        <v>#REF!</v>
      </c>
      <c r="BL116" s="10" t="e">
        <f t="shared" si="81"/>
        <v>#REF!</v>
      </c>
      <c r="BM116" s="14" t="e">
        <f t="shared" ca="1" si="82"/>
        <v>#VALUE!</v>
      </c>
      <c r="BN116" s="15" t="e">
        <f ca="1">IF(BM116&gt;=#REF!/100,"Yes","No")</f>
        <v>#VALUE!</v>
      </c>
      <c r="BO116" s="6">
        <f t="shared" si="111"/>
        <v>1</v>
      </c>
      <c r="BP116" s="6" t="e">
        <f t="shared" ca="1" si="83"/>
        <v>#VALUE!</v>
      </c>
      <c r="BQ116" s="13" t="e">
        <f t="shared" ca="1" si="84"/>
        <v>#VALUE!</v>
      </c>
      <c r="BR116" s="10" t="e">
        <f t="shared" ca="1" si="112"/>
        <v>#VALUE!</v>
      </c>
      <c r="BS116" s="10" t="e">
        <f t="shared" ca="1" si="113"/>
        <v>#VALUE!</v>
      </c>
      <c r="BT116" s="10" t="e">
        <f t="shared" ca="1" si="85"/>
        <v>#VALUE!</v>
      </c>
      <c r="BU116" s="10" t="e">
        <f>#REF!</f>
        <v>#REF!</v>
      </c>
      <c r="BV116" s="10" t="e">
        <f t="shared" ca="1" si="86"/>
        <v>#VALUE!</v>
      </c>
      <c r="BW116" s="10" t="e">
        <f t="shared" ca="1" si="87"/>
        <v>#VALUE!</v>
      </c>
      <c r="BX116" s="10" t="e">
        <f t="shared" ca="1" si="88"/>
        <v>#VALUE!</v>
      </c>
      <c r="BY116" s="10" t="e">
        <f t="shared" ca="1" si="89"/>
        <v>#VALUE!</v>
      </c>
      <c r="BZ116" s="10" t="e">
        <f t="shared" si="90"/>
        <v>#REF!</v>
      </c>
      <c r="CA116" s="10" t="e">
        <f t="shared" si="91"/>
        <v>#REF!</v>
      </c>
      <c r="CB116" s="10" t="e">
        <f t="shared" si="92"/>
        <v>#REF!</v>
      </c>
      <c r="CC116" s="10" t="e">
        <f t="shared" si="93"/>
        <v>#REF!</v>
      </c>
      <c r="CD116" s="14" t="e">
        <f t="shared" ca="1" si="94"/>
        <v>#VALUE!</v>
      </c>
      <c r="CE116" s="15" t="e">
        <f ca="1">IF(CD116&gt;=#REF!/100,"Yes","No")</f>
        <v>#VALUE!</v>
      </c>
      <c r="CF116" s="6">
        <f t="shared" si="114"/>
        <v>3</v>
      </c>
      <c r="CG116" s="6" t="e">
        <f t="shared" ca="1" si="95"/>
        <v>#VALUE!</v>
      </c>
      <c r="CH116" s="13" t="e">
        <f t="shared" ca="1" si="96"/>
        <v>#VALUE!</v>
      </c>
      <c r="CI116" s="10" t="e">
        <f t="shared" ca="1" si="115"/>
        <v>#VALUE!</v>
      </c>
      <c r="CJ116" s="10" t="e">
        <f t="shared" ca="1" si="116"/>
        <v>#VALUE!</v>
      </c>
      <c r="CK116" s="10" t="e">
        <f t="shared" ca="1" si="97"/>
        <v>#VALUE!</v>
      </c>
      <c r="CL116" s="10" t="e">
        <f>#REF!</f>
        <v>#REF!</v>
      </c>
      <c r="CM116" s="10" t="e">
        <f t="shared" ca="1" si="98"/>
        <v>#VALUE!</v>
      </c>
      <c r="CN116" s="10" t="e">
        <f t="shared" ca="1" si="99"/>
        <v>#VALUE!</v>
      </c>
      <c r="CO116" s="10" t="e">
        <f t="shared" ca="1" si="100"/>
        <v>#VALUE!</v>
      </c>
      <c r="CP116" s="10" t="e">
        <f t="shared" ca="1" si="101"/>
        <v>#VALUE!</v>
      </c>
      <c r="CQ116" s="10" t="e">
        <f t="shared" si="102"/>
        <v>#REF!</v>
      </c>
      <c r="CR116" s="10" t="e">
        <f t="shared" si="103"/>
        <v>#REF!</v>
      </c>
      <c r="CS116" s="10" t="e">
        <f t="shared" si="104"/>
        <v>#REF!</v>
      </c>
      <c r="CT116" s="10" t="e">
        <f t="shared" si="105"/>
        <v>#REF!</v>
      </c>
      <c r="CU116" s="14" t="e">
        <f t="shared" ca="1" si="106"/>
        <v>#VALUE!</v>
      </c>
      <c r="CV116" s="15" t="e">
        <f ca="1">IF(CU116&gt;=#REF!/100,"Yes","No")</f>
        <v>#VALUE!</v>
      </c>
    </row>
    <row r="117" spans="1:100" x14ac:dyDescent="0.25">
      <c r="A117" t="s">
        <v>232</v>
      </c>
      <c r="B117" t="s">
        <v>234</v>
      </c>
      <c r="C117">
        <v>115200028</v>
      </c>
      <c r="D117" t="str">
        <f t="shared" si="61"/>
        <v>Erdoğan, Güney-115200028</v>
      </c>
      <c r="E117" s="22">
        <v>7</v>
      </c>
      <c r="F117" s="22">
        <v>2</v>
      </c>
      <c r="G117" s="22">
        <v>10</v>
      </c>
      <c r="H117" s="22">
        <v>6064158</v>
      </c>
      <c r="I117" s="22">
        <v>7398028</v>
      </c>
      <c r="J117" s="22">
        <v>6966301</v>
      </c>
      <c r="K117" s="22">
        <v>9939310</v>
      </c>
      <c r="L117" s="22">
        <v>100000</v>
      </c>
      <c r="M117" s="22">
        <v>109700</v>
      </c>
      <c r="N117" s="22">
        <v>118900</v>
      </c>
      <c r="O117" s="22">
        <v>128800</v>
      </c>
      <c r="P117" s="22">
        <v>128800</v>
      </c>
      <c r="Q117" s="22">
        <v>109700</v>
      </c>
      <c r="R117" s="22">
        <v>118900</v>
      </c>
      <c r="S117" s="22">
        <v>100000</v>
      </c>
      <c r="T117" s="24">
        <v>26000</v>
      </c>
      <c r="U117" s="22">
        <v>27113</v>
      </c>
      <c r="V117" s="22">
        <v>24913</v>
      </c>
      <c r="W117" s="22">
        <v>22513</v>
      </c>
      <c r="X117" s="22">
        <v>22513</v>
      </c>
      <c r="Y117" s="22">
        <v>27113</v>
      </c>
      <c r="Z117" s="22">
        <v>24913</v>
      </c>
      <c r="AA117" s="22">
        <v>29113</v>
      </c>
      <c r="AB117" s="24">
        <v>101000</v>
      </c>
      <c r="AC117" s="24">
        <v>104000</v>
      </c>
      <c r="AD117" s="24">
        <v>101000</v>
      </c>
      <c r="AE117" s="24">
        <v>102000</v>
      </c>
      <c r="AF117" s="24">
        <v>98500</v>
      </c>
      <c r="AG117" s="24">
        <v>100500</v>
      </c>
      <c r="AH117" s="24">
        <v>97500</v>
      </c>
      <c r="AI117" s="24">
        <v>99500</v>
      </c>
      <c r="AJ117" s="25">
        <v>4.3</v>
      </c>
      <c r="AK117" s="25">
        <v>9.6</v>
      </c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8">
        <f t="shared" si="107"/>
        <v>2</v>
      </c>
      <c r="AY117" s="8">
        <f t="shared" si="108"/>
        <v>4</v>
      </c>
      <c r="AZ117" s="16" t="str">
        <f t="shared" si="72"/>
        <v>∆(2-4)</v>
      </c>
      <c r="BA117" s="17">
        <f t="shared" ca="1" si="109"/>
        <v>-8700</v>
      </c>
      <c r="BB117" s="17">
        <f t="shared" ca="1" si="110"/>
        <v>2000</v>
      </c>
      <c r="BC117" s="17">
        <f t="shared" ca="1" si="73"/>
        <v>1740</v>
      </c>
      <c r="BD117" s="17" t="e">
        <f>#REF!</f>
        <v>#REF!</v>
      </c>
      <c r="BE117" s="17">
        <f t="shared" ca="1" si="74"/>
        <v>-8700</v>
      </c>
      <c r="BF117" s="17">
        <f t="shared" ca="1" si="75"/>
        <v>2000</v>
      </c>
      <c r="BG117" s="17">
        <f t="shared" ca="1" si="76"/>
        <v>2000</v>
      </c>
      <c r="BH117" s="17">
        <f t="shared" ca="1" si="77"/>
        <v>2000</v>
      </c>
      <c r="BI117" s="17" t="e">
        <f t="shared" si="78"/>
        <v>#REF!</v>
      </c>
      <c r="BJ117" s="17" t="e">
        <f t="shared" si="79"/>
        <v>#REF!</v>
      </c>
      <c r="BK117" s="17" t="e">
        <f t="shared" si="80"/>
        <v>#REF!</v>
      </c>
      <c r="BL117" s="17" t="e">
        <f t="shared" si="81"/>
        <v>#REF!</v>
      </c>
      <c r="BM117" s="18" t="e">
        <f t="shared" ca="1" si="82"/>
        <v>#VALUE!</v>
      </c>
      <c r="BN117" s="19" t="e">
        <f ca="1">IF(BM117&gt;=#REF!/100,"Yes","No")</f>
        <v>#VALUE!</v>
      </c>
      <c r="BO117" s="20">
        <f t="shared" si="111"/>
        <v>1</v>
      </c>
      <c r="BP117" s="20" t="e">
        <f t="shared" ca="1" si="83"/>
        <v>#VALUE!</v>
      </c>
      <c r="BQ117" s="16" t="e">
        <f t="shared" ca="1" si="84"/>
        <v>#VALUE!</v>
      </c>
      <c r="BR117" s="17" t="e">
        <f t="shared" ca="1" si="112"/>
        <v>#VALUE!</v>
      </c>
      <c r="BS117" s="17" t="e">
        <f t="shared" ca="1" si="113"/>
        <v>#VALUE!</v>
      </c>
      <c r="BT117" s="17" t="e">
        <f t="shared" ca="1" si="85"/>
        <v>#VALUE!</v>
      </c>
      <c r="BU117" s="17" t="e">
        <f>#REF!</f>
        <v>#REF!</v>
      </c>
      <c r="BV117" s="17" t="e">
        <f t="shared" ca="1" si="86"/>
        <v>#VALUE!</v>
      </c>
      <c r="BW117" s="17" t="e">
        <f t="shared" ca="1" si="87"/>
        <v>#VALUE!</v>
      </c>
      <c r="BX117" s="17" t="e">
        <f t="shared" ca="1" si="88"/>
        <v>#VALUE!</v>
      </c>
      <c r="BY117" s="17" t="e">
        <f t="shared" ca="1" si="89"/>
        <v>#VALUE!</v>
      </c>
      <c r="BZ117" s="17" t="e">
        <f t="shared" si="90"/>
        <v>#REF!</v>
      </c>
      <c r="CA117" s="17" t="e">
        <f t="shared" si="91"/>
        <v>#REF!</v>
      </c>
      <c r="CB117" s="17" t="e">
        <f t="shared" si="92"/>
        <v>#REF!</v>
      </c>
      <c r="CC117" s="17" t="e">
        <f t="shared" si="93"/>
        <v>#REF!</v>
      </c>
      <c r="CD117" s="18" t="e">
        <f t="shared" ca="1" si="94"/>
        <v>#VALUE!</v>
      </c>
      <c r="CE117" s="19" t="e">
        <f ca="1">IF(CD117&gt;=#REF!/100,"Yes","No")</f>
        <v>#VALUE!</v>
      </c>
      <c r="CF117" s="20">
        <f t="shared" si="114"/>
        <v>3</v>
      </c>
      <c r="CG117" s="20" t="e">
        <f t="shared" ca="1" si="95"/>
        <v>#VALUE!</v>
      </c>
      <c r="CH117" s="16" t="e">
        <f t="shared" ca="1" si="96"/>
        <v>#VALUE!</v>
      </c>
      <c r="CI117" s="17" t="e">
        <f t="shared" ca="1" si="115"/>
        <v>#VALUE!</v>
      </c>
      <c r="CJ117" s="17" t="e">
        <f t="shared" ca="1" si="116"/>
        <v>#VALUE!</v>
      </c>
      <c r="CK117" s="17" t="e">
        <f t="shared" ca="1" si="97"/>
        <v>#VALUE!</v>
      </c>
      <c r="CL117" s="17" t="e">
        <f>#REF!</f>
        <v>#REF!</v>
      </c>
      <c r="CM117" s="17" t="e">
        <f t="shared" ca="1" si="98"/>
        <v>#VALUE!</v>
      </c>
      <c r="CN117" s="17" t="e">
        <f t="shared" ca="1" si="99"/>
        <v>#VALUE!</v>
      </c>
      <c r="CO117" s="17" t="e">
        <f t="shared" ca="1" si="100"/>
        <v>#VALUE!</v>
      </c>
      <c r="CP117" s="17" t="e">
        <f t="shared" ca="1" si="101"/>
        <v>#VALUE!</v>
      </c>
      <c r="CQ117" s="17" t="e">
        <f t="shared" si="102"/>
        <v>#REF!</v>
      </c>
      <c r="CR117" s="17" t="e">
        <f t="shared" si="103"/>
        <v>#REF!</v>
      </c>
      <c r="CS117" s="17" t="e">
        <f t="shared" si="104"/>
        <v>#REF!</v>
      </c>
      <c r="CT117" s="17" t="e">
        <f t="shared" si="105"/>
        <v>#REF!</v>
      </c>
      <c r="CU117" s="18" t="e">
        <f t="shared" ca="1" si="106"/>
        <v>#VALUE!</v>
      </c>
      <c r="CV117" s="19" t="e">
        <f ca="1">IF(CU117&gt;=#REF!/100,"Yes","No")</f>
        <v>#VALUE!</v>
      </c>
    </row>
    <row r="118" spans="1:100" x14ac:dyDescent="0.25">
      <c r="A118" t="s">
        <v>235</v>
      </c>
      <c r="B118" t="s">
        <v>236</v>
      </c>
      <c r="C118">
        <v>115205050</v>
      </c>
      <c r="D118" t="str">
        <f t="shared" si="61"/>
        <v>Ergen, Kaya-115205050</v>
      </c>
      <c r="E118" s="22">
        <v>4</v>
      </c>
      <c r="F118" s="22">
        <v>1</v>
      </c>
      <c r="G118" s="22">
        <v>8</v>
      </c>
      <c r="H118" s="22">
        <v>7992217</v>
      </c>
      <c r="I118" s="22">
        <v>5402616</v>
      </c>
      <c r="J118" s="22">
        <v>818700</v>
      </c>
      <c r="K118" s="22">
        <v>8417644</v>
      </c>
      <c r="L118" s="22">
        <v>100000</v>
      </c>
      <c r="M118" s="22">
        <v>109700</v>
      </c>
      <c r="N118" s="22">
        <v>118700</v>
      </c>
      <c r="O118" s="22">
        <v>127600</v>
      </c>
      <c r="P118" s="22">
        <v>127600</v>
      </c>
      <c r="Q118" s="22">
        <v>100000</v>
      </c>
      <c r="R118" s="22">
        <v>109700</v>
      </c>
      <c r="S118" s="22">
        <v>118700</v>
      </c>
      <c r="T118" s="24">
        <v>24000</v>
      </c>
      <c r="U118" s="22">
        <v>26614</v>
      </c>
      <c r="V118" s="22">
        <v>24614</v>
      </c>
      <c r="W118" s="22">
        <v>22414</v>
      </c>
      <c r="X118" s="22">
        <v>22414</v>
      </c>
      <c r="Y118" s="22">
        <v>29114</v>
      </c>
      <c r="Z118" s="22">
        <v>26614</v>
      </c>
      <c r="AA118" s="22">
        <v>24614</v>
      </c>
      <c r="AB118" s="24">
        <v>110000</v>
      </c>
      <c r="AC118" s="24">
        <v>108000</v>
      </c>
      <c r="AD118" s="24">
        <v>112000</v>
      </c>
      <c r="AE118" s="24">
        <v>109000</v>
      </c>
      <c r="AF118" s="24">
        <v>107500</v>
      </c>
      <c r="AG118" s="24">
        <v>105500</v>
      </c>
      <c r="AH118" s="24">
        <v>110500</v>
      </c>
      <c r="AI118" s="24">
        <v>107000</v>
      </c>
      <c r="AJ118" s="25">
        <v>4.8</v>
      </c>
      <c r="AK118" s="25">
        <v>7.5</v>
      </c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8">
        <f t="shared" si="107"/>
        <v>2</v>
      </c>
      <c r="AY118" s="8">
        <f t="shared" si="108"/>
        <v>4</v>
      </c>
      <c r="AZ118" s="13" t="str">
        <f t="shared" si="72"/>
        <v>∆(2-4)</v>
      </c>
      <c r="BA118" s="10">
        <f t="shared" ca="1" si="109"/>
        <v>-9700</v>
      </c>
      <c r="BB118" s="10">
        <f t="shared" ca="1" si="110"/>
        <v>2000</v>
      </c>
      <c r="BC118" s="10">
        <f t="shared" ca="1" si="73"/>
        <v>1940</v>
      </c>
      <c r="BD118" s="10" t="e">
        <f>#REF!</f>
        <v>#REF!</v>
      </c>
      <c r="BE118" s="10">
        <f t="shared" ca="1" si="74"/>
        <v>-9700</v>
      </c>
      <c r="BF118" s="10">
        <f t="shared" ca="1" si="75"/>
        <v>2000</v>
      </c>
      <c r="BG118" s="10">
        <f t="shared" ca="1" si="76"/>
        <v>2000</v>
      </c>
      <c r="BH118" s="10">
        <f t="shared" ca="1" si="77"/>
        <v>2000</v>
      </c>
      <c r="BI118" s="10" t="e">
        <f t="shared" si="78"/>
        <v>#REF!</v>
      </c>
      <c r="BJ118" s="10" t="e">
        <f t="shared" si="79"/>
        <v>#REF!</v>
      </c>
      <c r="BK118" s="10" t="e">
        <f t="shared" si="80"/>
        <v>#REF!</v>
      </c>
      <c r="BL118" s="10" t="e">
        <f t="shared" si="81"/>
        <v>#REF!</v>
      </c>
      <c r="BM118" s="14" t="e">
        <f t="shared" ca="1" si="82"/>
        <v>#VALUE!</v>
      </c>
      <c r="BN118" s="15" t="e">
        <f ca="1">IF(BM118&gt;=#REF!/100,"Yes","No")</f>
        <v>#VALUE!</v>
      </c>
      <c r="BO118" s="6">
        <f t="shared" si="111"/>
        <v>3</v>
      </c>
      <c r="BP118" s="6" t="e">
        <f t="shared" ca="1" si="83"/>
        <v>#VALUE!</v>
      </c>
      <c r="BQ118" s="13" t="e">
        <f t="shared" ca="1" si="84"/>
        <v>#VALUE!</v>
      </c>
      <c r="BR118" s="10" t="e">
        <f t="shared" ca="1" si="112"/>
        <v>#VALUE!</v>
      </c>
      <c r="BS118" s="10" t="e">
        <f t="shared" ca="1" si="113"/>
        <v>#VALUE!</v>
      </c>
      <c r="BT118" s="10" t="e">
        <f t="shared" ca="1" si="85"/>
        <v>#VALUE!</v>
      </c>
      <c r="BU118" s="10" t="e">
        <f>#REF!</f>
        <v>#REF!</v>
      </c>
      <c r="BV118" s="10" t="e">
        <f t="shared" ca="1" si="86"/>
        <v>#VALUE!</v>
      </c>
      <c r="BW118" s="10" t="e">
        <f t="shared" ca="1" si="87"/>
        <v>#VALUE!</v>
      </c>
      <c r="BX118" s="10" t="e">
        <f t="shared" ca="1" si="88"/>
        <v>#VALUE!</v>
      </c>
      <c r="BY118" s="10" t="e">
        <f t="shared" ca="1" si="89"/>
        <v>#VALUE!</v>
      </c>
      <c r="BZ118" s="10" t="e">
        <f t="shared" si="90"/>
        <v>#REF!</v>
      </c>
      <c r="CA118" s="10" t="e">
        <f t="shared" si="91"/>
        <v>#REF!</v>
      </c>
      <c r="CB118" s="10" t="e">
        <f t="shared" si="92"/>
        <v>#REF!</v>
      </c>
      <c r="CC118" s="10" t="e">
        <f t="shared" si="93"/>
        <v>#REF!</v>
      </c>
      <c r="CD118" s="14" t="e">
        <f t="shared" ca="1" si="94"/>
        <v>#VALUE!</v>
      </c>
      <c r="CE118" s="15" t="e">
        <f ca="1">IF(CD118&gt;=#REF!/100,"Yes","No")</f>
        <v>#VALUE!</v>
      </c>
      <c r="CF118" s="6">
        <f t="shared" si="114"/>
        <v>1</v>
      </c>
      <c r="CG118" s="6" t="e">
        <f t="shared" ca="1" si="95"/>
        <v>#VALUE!</v>
      </c>
      <c r="CH118" s="13" t="e">
        <f t="shared" ca="1" si="96"/>
        <v>#VALUE!</v>
      </c>
      <c r="CI118" s="10" t="e">
        <f t="shared" ca="1" si="115"/>
        <v>#VALUE!</v>
      </c>
      <c r="CJ118" s="10" t="e">
        <f t="shared" ca="1" si="116"/>
        <v>#VALUE!</v>
      </c>
      <c r="CK118" s="10" t="e">
        <f t="shared" ca="1" si="97"/>
        <v>#VALUE!</v>
      </c>
      <c r="CL118" s="10" t="e">
        <f>#REF!</f>
        <v>#REF!</v>
      </c>
      <c r="CM118" s="10" t="e">
        <f t="shared" ca="1" si="98"/>
        <v>#VALUE!</v>
      </c>
      <c r="CN118" s="10" t="e">
        <f t="shared" ca="1" si="99"/>
        <v>#VALUE!</v>
      </c>
      <c r="CO118" s="10" t="e">
        <f t="shared" ca="1" si="100"/>
        <v>#VALUE!</v>
      </c>
      <c r="CP118" s="10" t="e">
        <f t="shared" ca="1" si="101"/>
        <v>#VALUE!</v>
      </c>
      <c r="CQ118" s="10" t="e">
        <f t="shared" si="102"/>
        <v>#REF!</v>
      </c>
      <c r="CR118" s="10" t="e">
        <f t="shared" si="103"/>
        <v>#REF!</v>
      </c>
      <c r="CS118" s="10" t="e">
        <f t="shared" si="104"/>
        <v>#REF!</v>
      </c>
      <c r="CT118" s="10" t="e">
        <f t="shared" si="105"/>
        <v>#REF!</v>
      </c>
      <c r="CU118" s="14" t="e">
        <f t="shared" ca="1" si="106"/>
        <v>#VALUE!</v>
      </c>
      <c r="CV118" s="15" t="e">
        <f ca="1">IF(CU118&gt;=#REF!/100,"Yes","No")</f>
        <v>#VALUE!</v>
      </c>
    </row>
    <row r="119" spans="1:100" x14ac:dyDescent="0.25">
      <c r="A119" t="s">
        <v>237</v>
      </c>
      <c r="B119" t="s">
        <v>238</v>
      </c>
      <c r="C119">
        <v>115204009</v>
      </c>
      <c r="D119" t="str">
        <f t="shared" si="61"/>
        <v>Erhan, Ali Gökhan-115204009</v>
      </c>
      <c r="E119" s="22">
        <v>6</v>
      </c>
      <c r="F119" s="22">
        <v>1</v>
      </c>
      <c r="G119" s="22">
        <v>8</v>
      </c>
      <c r="H119" s="22">
        <v>6517504</v>
      </c>
      <c r="I119" s="22">
        <v>8363192</v>
      </c>
      <c r="J119" s="22">
        <v>5679800</v>
      </c>
      <c r="K119" s="22">
        <v>207558</v>
      </c>
      <c r="L119" s="22">
        <v>100000</v>
      </c>
      <c r="M119" s="22">
        <v>108100</v>
      </c>
      <c r="N119" s="22">
        <v>116900</v>
      </c>
      <c r="O119" s="22">
        <v>126600</v>
      </c>
      <c r="P119" s="22">
        <v>108100</v>
      </c>
      <c r="Q119" s="22">
        <v>100000</v>
      </c>
      <c r="R119" s="22">
        <v>116900</v>
      </c>
      <c r="S119" s="22">
        <v>126600</v>
      </c>
      <c r="T119" s="24">
        <v>27000</v>
      </c>
      <c r="U119" s="22">
        <v>26715</v>
      </c>
      <c r="V119" s="22">
        <v>24615</v>
      </c>
      <c r="W119" s="22">
        <v>22115</v>
      </c>
      <c r="X119" s="22">
        <v>26715</v>
      </c>
      <c r="Y119" s="22">
        <v>29115</v>
      </c>
      <c r="Z119" s="22">
        <v>24615</v>
      </c>
      <c r="AA119" s="22">
        <v>22115</v>
      </c>
      <c r="AB119" s="24">
        <v>119000</v>
      </c>
      <c r="AC119" s="24">
        <v>121000</v>
      </c>
      <c r="AD119" s="24">
        <v>124000</v>
      </c>
      <c r="AE119" s="24">
        <v>126000</v>
      </c>
      <c r="AF119" s="24">
        <v>116500</v>
      </c>
      <c r="AG119" s="24">
        <v>119000</v>
      </c>
      <c r="AH119" s="24">
        <v>121500</v>
      </c>
      <c r="AI119" s="24">
        <v>123500</v>
      </c>
      <c r="AJ119" s="25">
        <v>4</v>
      </c>
      <c r="AK119" s="25">
        <v>7.6</v>
      </c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8">
        <f t="shared" si="107"/>
        <v>3</v>
      </c>
      <c r="AY119" s="8">
        <f t="shared" si="108"/>
        <v>2</v>
      </c>
      <c r="AZ119" s="16" t="str">
        <f t="shared" si="72"/>
        <v>∆(3-2)</v>
      </c>
      <c r="BA119" s="17">
        <f t="shared" ca="1" si="109"/>
        <v>-9700</v>
      </c>
      <c r="BB119" s="17">
        <f t="shared" ca="1" si="110"/>
        <v>2500</v>
      </c>
      <c r="BC119" s="17">
        <f t="shared" ca="1" si="73"/>
        <v>1940</v>
      </c>
      <c r="BD119" s="17" t="e">
        <f>#REF!</f>
        <v>#REF!</v>
      </c>
      <c r="BE119" s="17">
        <f t="shared" ca="1" si="74"/>
        <v>-9700</v>
      </c>
      <c r="BF119" s="17">
        <f t="shared" ca="1" si="75"/>
        <v>2500</v>
      </c>
      <c r="BG119" s="17">
        <f t="shared" ca="1" si="76"/>
        <v>2500</v>
      </c>
      <c r="BH119" s="17">
        <f t="shared" ca="1" si="77"/>
        <v>2500</v>
      </c>
      <c r="BI119" s="17" t="e">
        <f t="shared" si="78"/>
        <v>#REF!</v>
      </c>
      <c r="BJ119" s="17" t="e">
        <f t="shared" si="79"/>
        <v>#REF!</v>
      </c>
      <c r="BK119" s="17" t="e">
        <f t="shared" si="80"/>
        <v>#REF!</v>
      </c>
      <c r="BL119" s="17" t="e">
        <f t="shared" si="81"/>
        <v>#REF!</v>
      </c>
      <c r="BM119" s="18" t="e">
        <f t="shared" ca="1" si="82"/>
        <v>#VALUE!</v>
      </c>
      <c r="BN119" s="19" t="e">
        <f ca="1">IF(BM119&gt;=#REF!/100,"Yes","No")</f>
        <v>#VALUE!</v>
      </c>
      <c r="BO119" s="20">
        <f t="shared" si="111"/>
        <v>4</v>
      </c>
      <c r="BP119" s="20" t="e">
        <f t="shared" ca="1" si="83"/>
        <v>#VALUE!</v>
      </c>
      <c r="BQ119" s="16" t="e">
        <f t="shared" ca="1" si="84"/>
        <v>#VALUE!</v>
      </c>
      <c r="BR119" s="17" t="e">
        <f t="shared" ca="1" si="112"/>
        <v>#VALUE!</v>
      </c>
      <c r="BS119" s="17" t="e">
        <f t="shared" ca="1" si="113"/>
        <v>#VALUE!</v>
      </c>
      <c r="BT119" s="17" t="e">
        <f t="shared" ca="1" si="85"/>
        <v>#VALUE!</v>
      </c>
      <c r="BU119" s="17" t="e">
        <f>#REF!</f>
        <v>#REF!</v>
      </c>
      <c r="BV119" s="17" t="e">
        <f t="shared" ca="1" si="86"/>
        <v>#VALUE!</v>
      </c>
      <c r="BW119" s="17" t="e">
        <f t="shared" ca="1" si="87"/>
        <v>#VALUE!</v>
      </c>
      <c r="BX119" s="17" t="e">
        <f t="shared" ca="1" si="88"/>
        <v>#VALUE!</v>
      </c>
      <c r="BY119" s="17" t="e">
        <f t="shared" ca="1" si="89"/>
        <v>#VALUE!</v>
      </c>
      <c r="BZ119" s="17" t="e">
        <f t="shared" si="90"/>
        <v>#REF!</v>
      </c>
      <c r="CA119" s="17" t="e">
        <f t="shared" si="91"/>
        <v>#REF!</v>
      </c>
      <c r="CB119" s="17" t="e">
        <f t="shared" si="92"/>
        <v>#REF!</v>
      </c>
      <c r="CC119" s="17" t="e">
        <f t="shared" si="93"/>
        <v>#REF!</v>
      </c>
      <c r="CD119" s="18" t="e">
        <f t="shared" ca="1" si="94"/>
        <v>#VALUE!</v>
      </c>
      <c r="CE119" s="19" t="e">
        <f ca="1">IF(CD119&gt;=#REF!/100,"Yes","No")</f>
        <v>#VALUE!</v>
      </c>
      <c r="CF119" s="20">
        <f t="shared" si="114"/>
        <v>1</v>
      </c>
      <c r="CG119" s="20" t="e">
        <f t="shared" ca="1" si="95"/>
        <v>#VALUE!</v>
      </c>
      <c r="CH119" s="16" t="e">
        <f t="shared" ca="1" si="96"/>
        <v>#VALUE!</v>
      </c>
      <c r="CI119" s="17" t="e">
        <f t="shared" ca="1" si="115"/>
        <v>#VALUE!</v>
      </c>
      <c r="CJ119" s="17" t="e">
        <f t="shared" ca="1" si="116"/>
        <v>#VALUE!</v>
      </c>
      <c r="CK119" s="17" t="e">
        <f t="shared" ca="1" si="97"/>
        <v>#VALUE!</v>
      </c>
      <c r="CL119" s="17" t="e">
        <f>#REF!</f>
        <v>#REF!</v>
      </c>
      <c r="CM119" s="17" t="e">
        <f t="shared" ca="1" si="98"/>
        <v>#VALUE!</v>
      </c>
      <c r="CN119" s="17" t="e">
        <f t="shared" ca="1" si="99"/>
        <v>#VALUE!</v>
      </c>
      <c r="CO119" s="17" t="e">
        <f t="shared" ca="1" si="100"/>
        <v>#VALUE!</v>
      </c>
      <c r="CP119" s="17" t="e">
        <f t="shared" ca="1" si="101"/>
        <v>#VALUE!</v>
      </c>
      <c r="CQ119" s="17" t="e">
        <f t="shared" si="102"/>
        <v>#REF!</v>
      </c>
      <c r="CR119" s="17" t="e">
        <f t="shared" si="103"/>
        <v>#REF!</v>
      </c>
      <c r="CS119" s="17" t="e">
        <f t="shared" si="104"/>
        <v>#REF!</v>
      </c>
      <c r="CT119" s="17" t="e">
        <f t="shared" si="105"/>
        <v>#REF!</v>
      </c>
      <c r="CU119" s="18" t="e">
        <f t="shared" ca="1" si="106"/>
        <v>#VALUE!</v>
      </c>
      <c r="CV119" s="19" t="e">
        <f ca="1">IF(CU119&gt;=#REF!/100,"Yes","No")</f>
        <v>#VALUE!</v>
      </c>
    </row>
    <row r="120" spans="1:100" x14ac:dyDescent="0.25">
      <c r="A120" t="s">
        <v>239</v>
      </c>
      <c r="B120" t="s">
        <v>240</v>
      </c>
      <c r="C120">
        <v>116203087</v>
      </c>
      <c r="D120" t="str">
        <f t="shared" si="61"/>
        <v>Eriman, Murat Deniz-116203087</v>
      </c>
      <c r="E120" s="22">
        <v>5</v>
      </c>
      <c r="F120" s="22">
        <v>2</v>
      </c>
      <c r="G120" s="22">
        <v>10</v>
      </c>
      <c r="H120" s="22">
        <v>3435030</v>
      </c>
      <c r="I120" s="22">
        <v>9833143</v>
      </c>
      <c r="J120" s="22">
        <v>215363</v>
      </c>
      <c r="K120" s="22">
        <v>1514608</v>
      </c>
      <c r="L120" s="22">
        <v>100000</v>
      </c>
      <c r="M120" s="22">
        <v>109700</v>
      </c>
      <c r="N120" s="22">
        <v>117900</v>
      </c>
      <c r="O120" s="22">
        <v>126200</v>
      </c>
      <c r="P120" s="22">
        <v>109700</v>
      </c>
      <c r="Q120" s="22">
        <v>100000</v>
      </c>
      <c r="R120" s="22">
        <v>126200</v>
      </c>
      <c r="S120" s="22">
        <v>117900</v>
      </c>
      <c r="T120" s="24">
        <v>26000</v>
      </c>
      <c r="U120" s="22">
        <v>27016</v>
      </c>
      <c r="V120" s="22">
        <v>24816</v>
      </c>
      <c r="W120" s="22">
        <v>22516</v>
      </c>
      <c r="X120" s="22">
        <v>27016</v>
      </c>
      <c r="Y120" s="22">
        <v>29116</v>
      </c>
      <c r="Z120" s="22">
        <v>22516</v>
      </c>
      <c r="AA120" s="22">
        <v>24816</v>
      </c>
      <c r="AB120" s="24">
        <v>117000</v>
      </c>
      <c r="AC120" s="24">
        <v>117000</v>
      </c>
      <c r="AD120" s="24">
        <v>114000</v>
      </c>
      <c r="AE120" s="24">
        <v>116000</v>
      </c>
      <c r="AF120" s="24">
        <v>115500</v>
      </c>
      <c r="AG120" s="24">
        <v>114000</v>
      </c>
      <c r="AH120" s="24">
        <v>111000</v>
      </c>
      <c r="AI120" s="24">
        <v>112500</v>
      </c>
      <c r="AJ120" s="25">
        <v>4.5999999999999996</v>
      </c>
      <c r="AK120" s="25">
        <v>7.1</v>
      </c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8">
        <f t="shared" si="107"/>
        <v>1</v>
      </c>
      <c r="AY120" s="8">
        <f t="shared" si="108"/>
        <v>2</v>
      </c>
      <c r="AZ120" s="13" t="str">
        <f t="shared" si="72"/>
        <v>∆(1-2)</v>
      </c>
      <c r="BA120" s="10">
        <f t="shared" ca="1" si="109"/>
        <v>-8100</v>
      </c>
      <c r="BB120" s="10">
        <f t="shared" ca="1" si="110"/>
        <v>2400</v>
      </c>
      <c r="BC120" s="10">
        <f t="shared" ca="1" si="73"/>
        <v>1620</v>
      </c>
      <c r="BD120" s="10" t="e">
        <f>#REF!</f>
        <v>#REF!</v>
      </c>
      <c r="BE120" s="10">
        <f t="shared" ca="1" si="74"/>
        <v>-8100</v>
      </c>
      <c r="BF120" s="10">
        <f t="shared" ca="1" si="75"/>
        <v>2400</v>
      </c>
      <c r="BG120" s="10">
        <f t="shared" ca="1" si="76"/>
        <v>2400</v>
      </c>
      <c r="BH120" s="10">
        <f t="shared" ca="1" si="77"/>
        <v>2400</v>
      </c>
      <c r="BI120" s="10" t="e">
        <f t="shared" si="78"/>
        <v>#REF!</v>
      </c>
      <c r="BJ120" s="10" t="e">
        <f t="shared" si="79"/>
        <v>#REF!</v>
      </c>
      <c r="BK120" s="10" t="e">
        <f t="shared" si="80"/>
        <v>#REF!</v>
      </c>
      <c r="BL120" s="10" t="e">
        <f t="shared" si="81"/>
        <v>#REF!</v>
      </c>
      <c r="BM120" s="14" t="e">
        <f t="shared" ca="1" si="82"/>
        <v>#VALUE!</v>
      </c>
      <c r="BN120" s="15" t="e">
        <f ca="1">IF(BM120&gt;=#REF!/100,"Yes","No")</f>
        <v>#VALUE!</v>
      </c>
      <c r="BO120" s="6">
        <f t="shared" si="111"/>
        <v>3</v>
      </c>
      <c r="BP120" s="6" t="e">
        <f t="shared" ca="1" si="83"/>
        <v>#VALUE!</v>
      </c>
      <c r="BQ120" s="13" t="e">
        <f t="shared" ca="1" si="84"/>
        <v>#VALUE!</v>
      </c>
      <c r="BR120" s="10" t="e">
        <f t="shared" ca="1" si="112"/>
        <v>#VALUE!</v>
      </c>
      <c r="BS120" s="10" t="e">
        <f t="shared" ca="1" si="113"/>
        <v>#VALUE!</v>
      </c>
      <c r="BT120" s="10" t="e">
        <f t="shared" ca="1" si="85"/>
        <v>#VALUE!</v>
      </c>
      <c r="BU120" s="10" t="e">
        <f>#REF!</f>
        <v>#REF!</v>
      </c>
      <c r="BV120" s="10" t="e">
        <f t="shared" ca="1" si="86"/>
        <v>#VALUE!</v>
      </c>
      <c r="BW120" s="10" t="e">
        <f t="shared" ca="1" si="87"/>
        <v>#VALUE!</v>
      </c>
      <c r="BX120" s="10" t="e">
        <f t="shared" ca="1" si="88"/>
        <v>#VALUE!</v>
      </c>
      <c r="BY120" s="10" t="e">
        <f t="shared" ca="1" si="89"/>
        <v>#VALUE!</v>
      </c>
      <c r="BZ120" s="10" t="e">
        <f t="shared" si="90"/>
        <v>#REF!</v>
      </c>
      <c r="CA120" s="10" t="e">
        <f t="shared" si="91"/>
        <v>#REF!</v>
      </c>
      <c r="CB120" s="10" t="e">
        <f t="shared" si="92"/>
        <v>#REF!</v>
      </c>
      <c r="CC120" s="10" t="e">
        <f t="shared" si="93"/>
        <v>#REF!</v>
      </c>
      <c r="CD120" s="14" t="e">
        <f t="shared" ca="1" si="94"/>
        <v>#VALUE!</v>
      </c>
      <c r="CE120" s="15" t="e">
        <f ca="1">IF(CD120&gt;=#REF!/100,"Yes","No")</f>
        <v>#VALUE!</v>
      </c>
      <c r="CF120" s="6">
        <f t="shared" si="114"/>
        <v>4</v>
      </c>
      <c r="CG120" s="6" t="e">
        <f t="shared" ca="1" si="95"/>
        <v>#VALUE!</v>
      </c>
      <c r="CH120" s="13" t="e">
        <f t="shared" ca="1" si="96"/>
        <v>#VALUE!</v>
      </c>
      <c r="CI120" s="10" t="e">
        <f t="shared" ca="1" si="115"/>
        <v>#VALUE!</v>
      </c>
      <c r="CJ120" s="10" t="e">
        <f t="shared" ca="1" si="116"/>
        <v>#VALUE!</v>
      </c>
      <c r="CK120" s="10" t="e">
        <f t="shared" ca="1" si="97"/>
        <v>#VALUE!</v>
      </c>
      <c r="CL120" s="10" t="e">
        <f>#REF!</f>
        <v>#REF!</v>
      </c>
      <c r="CM120" s="10" t="e">
        <f t="shared" ca="1" si="98"/>
        <v>#VALUE!</v>
      </c>
      <c r="CN120" s="10" t="e">
        <f t="shared" ca="1" si="99"/>
        <v>#VALUE!</v>
      </c>
      <c r="CO120" s="10" t="e">
        <f t="shared" ca="1" si="100"/>
        <v>#VALUE!</v>
      </c>
      <c r="CP120" s="10" t="e">
        <f t="shared" ca="1" si="101"/>
        <v>#VALUE!</v>
      </c>
      <c r="CQ120" s="10" t="e">
        <f t="shared" si="102"/>
        <v>#REF!</v>
      </c>
      <c r="CR120" s="10" t="e">
        <f t="shared" si="103"/>
        <v>#REF!</v>
      </c>
      <c r="CS120" s="10" t="e">
        <f t="shared" si="104"/>
        <v>#REF!</v>
      </c>
      <c r="CT120" s="10" t="e">
        <f t="shared" si="105"/>
        <v>#REF!</v>
      </c>
      <c r="CU120" s="14" t="e">
        <f t="shared" ca="1" si="106"/>
        <v>#VALUE!</v>
      </c>
      <c r="CV120" s="15" t="e">
        <f ca="1">IF(CU120&gt;=#REF!/100,"Yes","No")</f>
        <v>#VALUE!</v>
      </c>
    </row>
    <row r="121" spans="1:100" x14ac:dyDescent="0.25">
      <c r="A121" t="s">
        <v>241</v>
      </c>
      <c r="B121" t="s">
        <v>242</v>
      </c>
      <c r="C121">
        <v>111201029</v>
      </c>
      <c r="D121" t="str">
        <f t="shared" si="61"/>
        <v>Erkal, Aslıhan-111201029</v>
      </c>
      <c r="E121" s="22">
        <v>6</v>
      </c>
      <c r="F121" s="22">
        <v>2</v>
      </c>
      <c r="G121" s="22">
        <v>10</v>
      </c>
      <c r="H121" s="22">
        <v>3885814</v>
      </c>
      <c r="I121" s="22">
        <v>7861001</v>
      </c>
      <c r="J121" s="22">
        <v>8148801</v>
      </c>
      <c r="K121" s="22">
        <v>1646159</v>
      </c>
      <c r="L121" s="22">
        <v>100000</v>
      </c>
      <c r="M121" s="22">
        <v>108900</v>
      </c>
      <c r="N121" s="22">
        <v>118400</v>
      </c>
      <c r="O121" s="22">
        <v>128300</v>
      </c>
      <c r="P121" s="22">
        <v>118400</v>
      </c>
      <c r="Q121" s="22">
        <v>108900</v>
      </c>
      <c r="R121" s="22">
        <v>100000</v>
      </c>
      <c r="S121" s="22">
        <v>128300</v>
      </c>
      <c r="T121" s="24">
        <v>25000</v>
      </c>
      <c r="U121" s="22">
        <v>26917</v>
      </c>
      <c r="V121" s="22">
        <v>24817</v>
      </c>
      <c r="W121" s="22">
        <v>22317</v>
      </c>
      <c r="X121" s="22">
        <v>24817</v>
      </c>
      <c r="Y121" s="22">
        <v>26917</v>
      </c>
      <c r="Z121" s="22">
        <v>29117</v>
      </c>
      <c r="AA121" s="22">
        <v>22317</v>
      </c>
      <c r="AB121" s="24">
        <v>117000</v>
      </c>
      <c r="AC121" s="24">
        <v>119000</v>
      </c>
      <c r="AD121" s="24">
        <v>119000</v>
      </c>
      <c r="AE121" s="24">
        <v>119000</v>
      </c>
      <c r="AF121" s="24">
        <v>114000</v>
      </c>
      <c r="AG121" s="24">
        <v>117000</v>
      </c>
      <c r="AH121" s="24">
        <v>116000</v>
      </c>
      <c r="AI121" s="24">
        <v>117000</v>
      </c>
      <c r="AJ121" s="25">
        <v>3</v>
      </c>
      <c r="AK121" s="25">
        <v>8.1</v>
      </c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8">
        <f t="shared" si="107"/>
        <v>1</v>
      </c>
      <c r="AY121" s="8">
        <f t="shared" si="108"/>
        <v>2</v>
      </c>
      <c r="AZ121" s="16" t="str">
        <f t="shared" si="72"/>
        <v>∆(1-2)</v>
      </c>
      <c r="BA121" s="17">
        <f t="shared" ca="1" si="109"/>
        <v>-9700</v>
      </c>
      <c r="BB121" s="17">
        <f t="shared" ca="1" si="110"/>
        <v>2100</v>
      </c>
      <c r="BC121" s="17">
        <f t="shared" ca="1" si="73"/>
        <v>1940</v>
      </c>
      <c r="BD121" s="17" t="e">
        <f>#REF!</f>
        <v>#REF!</v>
      </c>
      <c r="BE121" s="17">
        <f t="shared" ca="1" si="74"/>
        <v>-9700</v>
      </c>
      <c r="BF121" s="17">
        <f t="shared" ca="1" si="75"/>
        <v>2100</v>
      </c>
      <c r="BG121" s="17">
        <f t="shared" ca="1" si="76"/>
        <v>2100</v>
      </c>
      <c r="BH121" s="17">
        <f t="shared" ca="1" si="77"/>
        <v>2100</v>
      </c>
      <c r="BI121" s="17" t="e">
        <f t="shared" si="78"/>
        <v>#REF!</v>
      </c>
      <c r="BJ121" s="17" t="e">
        <f t="shared" si="79"/>
        <v>#REF!</v>
      </c>
      <c r="BK121" s="17" t="e">
        <f t="shared" si="80"/>
        <v>#REF!</v>
      </c>
      <c r="BL121" s="17" t="e">
        <f t="shared" si="81"/>
        <v>#REF!</v>
      </c>
      <c r="BM121" s="18" t="e">
        <f t="shared" ca="1" si="82"/>
        <v>#VALUE!</v>
      </c>
      <c r="BN121" s="19" t="e">
        <f ca="1">IF(BM121&gt;=#REF!/100,"Yes","No")</f>
        <v>#VALUE!</v>
      </c>
      <c r="BO121" s="20">
        <f t="shared" si="111"/>
        <v>4</v>
      </c>
      <c r="BP121" s="20" t="e">
        <f t="shared" ca="1" si="83"/>
        <v>#VALUE!</v>
      </c>
      <c r="BQ121" s="16" t="e">
        <f t="shared" ca="1" si="84"/>
        <v>#VALUE!</v>
      </c>
      <c r="BR121" s="17" t="e">
        <f t="shared" ca="1" si="112"/>
        <v>#VALUE!</v>
      </c>
      <c r="BS121" s="17" t="e">
        <f t="shared" ca="1" si="113"/>
        <v>#VALUE!</v>
      </c>
      <c r="BT121" s="17" t="e">
        <f t="shared" ca="1" si="85"/>
        <v>#VALUE!</v>
      </c>
      <c r="BU121" s="17" t="e">
        <f>#REF!</f>
        <v>#REF!</v>
      </c>
      <c r="BV121" s="17" t="e">
        <f t="shared" ca="1" si="86"/>
        <v>#VALUE!</v>
      </c>
      <c r="BW121" s="17" t="e">
        <f t="shared" ca="1" si="87"/>
        <v>#VALUE!</v>
      </c>
      <c r="BX121" s="17" t="e">
        <f t="shared" ca="1" si="88"/>
        <v>#VALUE!</v>
      </c>
      <c r="BY121" s="17" t="e">
        <f t="shared" ca="1" si="89"/>
        <v>#VALUE!</v>
      </c>
      <c r="BZ121" s="17" t="e">
        <f t="shared" si="90"/>
        <v>#REF!</v>
      </c>
      <c r="CA121" s="17" t="e">
        <f t="shared" si="91"/>
        <v>#REF!</v>
      </c>
      <c r="CB121" s="17" t="e">
        <f t="shared" si="92"/>
        <v>#REF!</v>
      </c>
      <c r="CC121" s="17" t="e">
        <f t="shared" si="93"/>
        <v>#REF!</v>
      </c>
      <c r="CD121" s="18" t="e">
        <f t="shared" ca="1" si="94"/>
        <v>#VALUE!</v>
      </c>
      <c r="CE121" s="19" t="e">
        <f ca="1">IF(CD121&gt;=#REF!/100,"Yes","No")</f>
        <v>#VALUE!</v>
      </c>
      <c r="CF121" s="20">
        <f t="shared" si="114"/>
        <v>3</v>
      </c>
      <c r="CG121" s="20" t="e">
        <f t="shared" ca="1" si="95"/>
        <v>#VALUE!</v>
      </c>
      <c r="CH121" s="16" t="e">
        <f t="shared" ca="1" si="96"/>
        <v>#VALUE!</v>
      </c>
      <c r="CI121" s="17" t="e">
        <f t="shared" ca="1" si="115"/>
        <v>#VALUE!</v>
      </c>
      <c r="CJ121" s="17" t="e">
        <f t="shared" ca="1" si="116"/>
        <v>#VALUE!</v>
      </c>
      <c r="CK121" s="17" t="e">
        <f t="shared" ca="1" si="97"/>
        <v>#VALUE!</v>
      </c>
      <c r="CL121" s="17" t="e">
        <f>#REF!</f>
        <v>#REF!</v>
      </c>
      <c r="CM121" s="17" t="e">
        <f t="shared" ca="1" si="98"/>
        <v>#VALUE!</v>
      </c>
      <c r="CN121" s="17" t="e">
        <f t="shared" ca="1" si="99"/>
        <v>#VALUE!</v>
      </c>
      <c r="CO121" s="17" t="e">
        <f t="shared" ca="1" si="100"/>
        <v>#VALUE!</v>
      </c>
      <c r="CP121" s="17" t="e">
        <f t="shared" ca="1" si="101"/>
        <v>#VALUE!</v>
      </c>
      <c r="CQ121" s="17" t="e">
        <f t="shared" si="102"/>
        <v>#REF!</v>
      </c>
      <c r="CR121" s="17" t="e">
        <f t="shared" si="103"/>
        <v>#REF!</v>
      </c>
      <c r="CS121" s="17" t="e">
        <f t="shared" si="104"/>
        <v>#REF!</v>
      </c>
      <c r="CT121" s="17" t="e">
        <f t="shared" si="105"/>
        <v>#REF!</v>
      </c>
      <c r="CU121" s="18" t="e">
        <f t="shared" ca="1" si="106"/>
        <v>#VALUE!</v>
      </c>
      <c r="CV121" s="19" t="e">
        <f ca="1">IF(CU121&gt;=#REF!/100,"Yes","No")</f>
        <v>#VALUE!</v>
      </c>
    </row>
    <row r="122" spans="1:100" x14ac:dyDescent="0.25">
      <c r="A122" t="s">
        <v>243</v>
      </c>
      <c r="B122" t="s">
        <v>244</v>
      </c>
      <c r="C122">
        <v>115203054</v>
      </c>
      <c r="D122" t="str">
        <f t="shared" si="61"/>
        <v>Eruçan, Ökkeş-115203054</v>
      </c>
      <c r="E122" s="22">
        <v>6</v>
      </c>
      <c r="F122" s="22">
        <v>1</v>
      </c>
      <c r="G122" s="22">
        <v>8</v>
      </c>
      <c r="H122" s="22">
        <v>6616331</v>
      </c>
      <c r="I122" s="22">
        <v>8861269</v>
      </c>
      <c r="J122" s="22">
        <v>2557981</v>
      </c>
      <c r="K122" s="22">
        <v>2581348</v>
      </c>
      <c r="L122" s="22">
        <v>100000</v>
      </c>
      <c r="M122" s="22">
        <v>110000</v>
      </c>
      <c r="N122" s="22">
        <v>118700</v>
      </c>
      <c r="O122" s="22">
        <v>128300</v>
      </c>
      <c r="P122" s="22">
        <v>110000</v>
      </c>
      <c r="Q122" s="22">
        <v>100000</v>
      </c>
      <c r="R122" s="22">
        <v>128300</v>
      </c>
      <c r="S122" s="22">
        <v>118700</v>
      </c>
      <c r="T122" s="24">
        <v>28000</v>
      </c>
      <c r="U122" s="22">
        <v>26918</v>
      </c>
      <c r="V122" s="22">
        <v>24618</v>
      </c>
      <c r="W122" s="22">
        <v>22218</v>
      </c>
      <c r="X122" s="22">
        <v>26918</v>
      </c>
      <c r="Y122" s="22">
        <v>29118</v>
      </c>
      <c r="Z122" s="22">
        <v>22218</v>
      </c>
      <c r="AA122" s="22">
        <v>24618</v>
      </c>
      <c r="AB122" s="24">
        <v>113000</v>
      </c>
      <c r="AC122" s="24">
        <v>115000</v>
      </c>
      <c r="AD122" s="24">
        <v>117000</v>
      </c>
      <c r="AE122" s="24">
        <v>119000</v>
      </c>
      <c r="AF122" s="24">
        <v>109000</v>
      </c>
      <c r="AG122" s="24">
        <v>112000</v>
      </c>
      <c r="AH122" s="24">
        <v>114500</v>
      </c>
      <c r="AI122" s="24">
        <v>115500</v>
      </c>
      <c r="AJ122" s="25">
        <v>4.5999999999999996</v>
      </c>
      <c r="AK122" s="25">
        <v>7.9</v>
      </c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8">
        <f t="shared" si="107"/>
        <v>2</v>
      </c>
      <c r="AY122" s="8">
        <f t="shared" si="108"/>
        <v>3</v>
      </c>
      <c r="AZ122" s="13" t="str">
        <f t="shared" si="72"/>
        <v>∆(2-3)</v>
      </c>
      <c r="BA122" s="10">
        <f t="shared" ca="1" si="109"/>
        <v>-8900</v>
      </c>
      <c r="BB122" s="10">
        <f t="shared" ca="1" si="110"/>
        <v>2200</v>
      </c>
      <c r="BC122" s="10">
        <f t="shared" ca="1" si="73"/>
        <v>1780</v>
      </c>
      <c r="BD122" s="10" t="e">
        <f>#REF!</f>
        <v>#REF!</v>
      </c>
      <c r="BE122" s="10">
        <f t="shared" ca="1" si="74"/>
        <v>-8900</v>
      </c>
      <c r="BF122" s="10">
        <f t="shared" ca="1" si="75"/>
        <v>2200</v>
      </c>
      <c r="BG122" s="10">
        <f t="shared" ca="1" si="76"/>
        <v>2200</v>
      </c>
      <c r="BH122" s="10">
        <f t="shared" ca="1" si="77"/>
        <v>2200</v>
      </c>
      <c r="BI122" s="10" t="e">
        <f t="shared" si="78"/>
        <v>#REF!</v>
      </c>
      <c r="BJ122" s="10" t="e">
        <f t="shared" si="79"/>
        <v>#REF!</v>
      </c>
      <c r="BK122" s="10" t="e">
        <f t="shared" si="80"/>
        <v>#REF!</v>
      </c>
      <c r="BL122" s="10" t="e">
        <f t="shared" si="81"/>
        <v>#REF!</v>
      </c>
      <c r="BM122" s="14" t="e">
        <f t="shared" ca="1" si="82"/>
        <v>#VALUE!</v>
      </c>
      <c r="BN122" s="15" t="e">
        <f ca="1">IF(BM122&gt;=#REF!/100,"Yes","No")</f>
        <v>#VALUE!</v>
      </c>
      <c r="BO122" s="6">
        <f t="shared" si="111"/>
        <v>1</v>
      </c>
      <c r="BP122" s="6" t="e">
        <f t="shared" ca="1" si="83"/>
        <v>#VALUE!</v>
      </c>
      <c r="BQ122" s="13" t="e">
        <f t="shared" ca="1" si="84"/>
        <v>#VALUE!</v>
      </c>
      <c r="BR122" s="10" t="e">
        <f t="shared" ca="1" si="112"/>
        <v>#VALUE!</v>
      </c>
      <c r="BS122" s="10" t="e">
        <f t="shared" ca="1" si="113"/>
        <v>#VALUE!</v>
      </c>
      <c r="BT122" s="10" t="e">
        <f t="shared" ca="1" si="85"/>
        <v>#VALUE!</v>
      </c>
      <c r="BU122" s="10" t="e">
        <f>#REF!</f>
        <v>#REF!</v>
      </c>
      <c r="BV122" s="10" t="e">
        <f t="shared" ca="1" si="86"/>
        <v>#VALUE!</v>
      </c>
      <c r="BW122" s="10" t="e">
        <f t="shared" ca="1" si="87"/>
        <v>#VALUE!</v>
      </c>
      <c r="BX122" s="10" t="e">
        <f t="shared" ca="1" si="88"/>
        <v>#VALUE!</v>
      </c>
      <c r="BY122" s="10" t="e">
        <f t="shared" ca="1" si="89"/>
        <v>#VALUE!</v>
      </c>
      <c r="BZ122" s="10" t="e">
        <f t="shared" si="90"/>
        <v>#REF!</v>
      </c>
      <c r="CA122" s="10" t="e">
        <f t="shared" si="91"/>
        <v>#REF!</v>
      </c>
      <c r="CB122" s="10" t="e">
        <f t="shared" si="92"/>
        <v>#REF!</v>
      </c>
      <c r="CC122" s="10" t="e">
        <f t="shared" si="93"/>
        <v>#REF!</v>
      </c>
      <c r="CD122" s="14" t="e">
        <f t="shared" ca="1" si="94"/>
        <v>#VALUE!</v>
      </c>
      <c r="CE122" s="15" t="e">
        <f ca="1">IF(CD122&gt;=#REF!/100,"Yes","No")</f>
        <v>#VALUE!</v>
      </c>
      <c r="CF122" s="6">
        <f t="shared" si="114"/>
        <v>4</v>
      </c>
      <c r="CG122" s="6" t="e">
        <f t="shared" ca="1" si="95"/>
        <v>#VALUE!</v>
      </c>
      <c r="CH122" s="13" t="e">
        <f t="shared" ca="1" si="96"/>
        <v>#VALUE!</v>
      </c>
      <c r="CI122" s="10" t="e">
        <f t="shared" ca="1" si="115"/>
        <v>#VALUE!</v>
      </c>
      <c r="CJ122" s="10" t="e">
        <f t="shared" ca="1" si="116"/>
        <v>#VALUE!</v>
      </c>
      <c r="CK122" s="10" t="e">
        <f t="shared" ca="1" si="97"/>
        <v>#VALUE!</v>
      </c>
      <c r="CL122" s="10" t="e">
        <f>#REF!</f>
        <v>#REF!</v>
      </c>
      <c r="CM122" s="10" t="e">
        <f t="shared" ca="1" si="98"/>
        <v>#VALUE!</v>
      </c>
      <c r="CN122" s="10" t="e">
        <f t="shared" ca="1" si="99"/>
        <v>#VALUE!</v>
      </c>
      <c r="CO122" s="10" t="e">
        <f t="shared" ca="1" si="100"/>
        <v>#VALUE!</v>
      </c>
      <c r="CP122" s="10" t="e">
        <f t="shared" ca="1" si="101"/>
        <v>#VALUE!</v>
      </c>
      <c r="CQ122" s="10" t="e">
        <f t="shared" si="102"/>
        <v>#REF!</v>
      </c>
      <c r="CR122" s="10" t="e">
        <f t="shared" si="103"/>
        <v>#REF!</v>
      </c>
      <c r="CS122" s="10" t="e">
        <f t="shared" si="104"/>
        <v>#REF!</v>
      </c>
      <c r="CT122" s="10" t="e">
        <f t="shared" si="105"/>
        <v>#REF!</v>
      </c>
      <c r="CU122" s="14" t="e">
        <f t="shared" ca="1" si="106"/>
        <v>#VALUE!</v>
      </c>
      <c r="CV122" s="15" t="e">
        <f ca="1">IF(CU122&gt;=#REF!/100,"Yes","No")</f>
        <v>#VALUE!</v>
      </c>
    </row>
    <row r="123" spans="1:100" x14ac:dyDescent="0.25">
      <c r="A123" t="s">
        <v>212</v>
      </c>
      <c r="B123" t="s">
        <v>245</v>
      </c>
      <c r="C123">
        <v>113200054</v>
      </c>
      <c r="D123" t="str">
        <f t="shared" si="61"/>
        <v>Fırat, Dilan-113200054</v>
      </c>
      <c r="E123" s="22">
        <v>7</v>
      </c>
      <c r="F123" s="22">
        <v>3</v>
      </c>
      <c r="G123" s="22">
        <v>15</v>
      </c>
      <c r="H123" s="22">
        <v>2223517</v>
      </c>
      <c r="I123" s="22">
        <v>5801985</v>
      </c>
      <c r="J123" s="22">
        <v>2856883</v>
      </c>
      <c r="K123" s="22">
        <v>8337513</v>
      </c>
      <c r="L123" s="22">
        <v>100000</v>
      </c>
      <c r="M123" s="22">
        <v>109900</v>
      </c>
      <c r="N123" s="22">
        <v>119200</v>
      </c>
      <c r="O123" s="22">
        <v>127900</v>
      </c>
      <c r="P123" s="22">
        <v>127900</v>
      </c>
      <c r="Q123" s="22">
        <v>109900</v>
      </c>
      <c r="R123" s="22">
        <v>119200</v>
      </c>
      <c r="S123" s="22">
        <v>100000</v>
      </c>
      <c r="T123" s="24">
        <v>29000</v>
      </c>
      <c r="U123" s="22">
        <v>27119</v>
      </c>
      <c r="V123" s="22">
        <v>25019</v>
      </c>
      <c r="W123" s="22">
        <v>22819</v>
      </c>
      <c r="X123" s="22">
        <v>22819</v>
      </c>
      <c r="Y123" s="22">
        <v>27119</v>
      </c>
      <c r="Z123" s="22">
        <v>25019</v>
      </c>
      <c r="AA123" s="22">
        <v>29119</v>
      </c>
      <c r="AB123" s="24">
        <v>114000</v>
      </c>
      <c r="AC123" s="24">
        <v>111000</v>
      </c>
      <c r="AD123" s="24">
        <v>109000</v>
      </c>
      <c r="AE123" s="24">
        <v>111000</v>
      </c>
      <c r="AF123" s="24">
        <v>111000</v>
      </c>
      <c r="AG123" s="24">
        <v>108500</v>
      </c>
      <c r="AH123" s="24">
        <v>106000</v>
      </c>
      <c r="AI123" s="24">
        <v>108000</v>
      </c>
      <c r="AJ123" s="25">
        <v>2.6</v>
      </c>
      <c r="AK123" s="25">
        <v>8.1999999999999993</v>
      </c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8">
        <f t="shared" si="107"/>
        <v>1</v>
      </c>
      <c r="AY123" s="8">
        <f t="shared" si="108"/>
        <v>2</v>
      </c>
      <c r="AZ123" s="16" t="str">
        <f t="shared" si="72"/>
        <v>∆(1-2)</v>
      </c>
      <c r="BA123" s="17">
        <f t="shared" ca="1" si="109"/>
        <v>-10000</v>
      </c>
      <c r="BB123" s="17">
        <f t="shared" ca="1" si="110"/>
        <v>2200</v>
      </c>
      <c r="BC123" s="17">
        <f t="shared" ca="1" si="73"/>
        <v>2000</v>
      </c>
      <c r="BD123" s="17" t="e">
        <f>#REF!</f>
        <v>#REF!</v>
      </c>
      <c r="BE123" s="17">
        <f t="shared" ca="1" si="74"/>
        <v>-10000</v>
      </c>
      <c r="BF123" s="17">
        <f t="shared" ca="1" si="75"/>
        <v>2200</v>
      </c>
      <c r="BG123" s="17">
        <f t="shared" ca="1" si="76"/>
        <v>2200</v>
      </c>
      <c r="BH123" s="17">
        <f t="shared" ca="1" si="77"/>
        <v>2200</v>
      </c>
      <c r="BI123" s="17" t="e">
        <f t="shared" si="78"/>
        <v>#REF!</v>
      </c>
      <c r="BJ123" s="17" t="e">
        <f t="shared" si="79"/>
        <v>#REF!</v>
      </c>
      <c r="BK123" s="17" t="e">
        <f t="shared" si="80"/>
        <v>#REF!</v>
      </c>
      <c r="BL123" s="17" t="e">
        <f t="shared" si="81"/>
        <v>#REF!</v>
      </c>
      <c r="BM123" s="18" t="e">
        <f t="shared" ca="1" si="82"/>
        <v>#VALUE!</v>
      </c>
      <c r="BN123" s="19" t="e">
        <f ca="1">IF(BM123&gt;=#REF!/100,"Yes","No")</f>
        <v>#VALUE!</v>
      </c>
      <c r="BO123" s="20">
        <f t="shared" si="111"/>
        <v>4</v>
      </c>
      <c r="BP123" s="20" t="e">
        <f t="shared" ca="1" si="83"/>
        <v>#VALUE!</v>
      </c>
      <c r="BQ123" s="16" t="e">
        <f t="shared" ca="1" si="84"/>
        <v>#VALUE!</v>
      </c>
      <c r="BR123" s="17" t="e">
        <f t="shared" ca="1" si="112"/>
        <v>#VALUE!</v>
      </c>
      <c r="BS123" s="17" t="e">
        <f t="shared" ca="1" si="113"/>
        <v>#VALUE!</v>
      </c>
      <c r="BT123" s="17" t="e">
        <f t="shared" ca="1" si="85"/>
        <v>#VALUE!</v>
      </c>
      <c r="BU123" s="17" t="e">
        <f>#REF!</f>
        <v>#REF!</v>
      </c>
      <c r="BV123" s="17" t="e">
        <f t="shared" ca="1" si="86"/>
        <v>#VALUE!</v>
      </c>
      <c r="BW123" s="17" t="e">
        <f t="shared" ca="1" si="87"/>
        <v>#VALUE!</v>
      </c>
      <c r="BX123" s="17" t="e">
        <f t="shared" ca="1" si="88"/>
        <v>#VALUE!</v>
      </c>
      <c r="BY123" s="17" t="e">
        <f t="shared" ca="1" si="89"/>
        <v>#VALUE!</v>
      </c>
      <c r="BZ123" s="17" t="e">
        <f t="shared" si="90"/>
        <v>#REF!</v>
      </c>
      <c r="CA123" s="17" t="e">
        <f t="shared" si="91"/>
        <v>#REF!</v>
      </c>
      <c r="CB123" s="17" t="e">
        <f t="shared" si="92"/>
        <v>#REF!</v>
      </c>
      <c r="CC123" s="17" t="e">
        <f t="shared" si="93"/>
        <v>#REF!</v>
      </c>
      <c r="CD123" s="18" t="e">
        <f t="shared" ca="1" si="94"/>
        <v>#VALUE!</v>
      </c>
      <c r="CE123" s="19" t="e">
        <f ca="1">IF(CD123&gt;=#REF!/100,"Yes","No")</f>
        <v>#VALUE!</v>
      </c>
      <c r="CF123" s="20">
        <f t="shared" si="114"/>
        <v>3</v>
      </c>
      <c r="CG123" s="20" t="e">
        <f t="shared" ca="1" si="95"/>
        <v>#VALUE!</v>
      </c>
      <c r="CH123" s="16" t="e">
        <f t="shared" ca="1" si="96"/>
        <v>#VALUE!</v>
      </c>
      <c r="CI123" s="17" t="e">
        <f t="shared" ca="1" si="115"/>
        <v>#VALUE!</v>
      </c>
      <c r="CJ123" s="17" t="e">
        <f t="shared" ca="1" si="116"/>
        <v>#VALUE!</v>
      </c>
      <c r="CK123" s="17" t="e">
        <f t="shared" ca="1" si="97"/>
        <v>#VALUE!</v>
      </c>
      <c r="CL123" s="17" t="e">
        <f>#REF!</f>
        <v>#REF!</v>
      </c>
      <c r="CM123" s="17" t="e">
        <f t="shared" ca="1" si="98"/>
        <v>#VALUE!</v>
      </c>
      <c r="CN123" s="17" t="e">
        <f t="shared" ca="1" si="99"/>
        <v>#VALUE!</v>
      </c>
      <c r="CO123" s="17" t="e">
        <f t="shared" ca="1" si="100"/>
        <v>#VALUE!</v>
      </c>
      <c r="CP123" s="17" t="e">
        <f t="shared" ca="1" si="101"/>
        <v>#VALUE!</v>
      </c>
      <c r="CQ123" s="17" t="e">
        <f t="shared" si="102"/>
        <v>#REF!</v>
      </c>
      <c r="CR123" s="17" t="e">
        <f t="shared" si="103"/>
        <v>#REF!</v>
      </c>
      <c r="CS123" s="17" t="e">
        <f t="shared" si="104"/>
        <v>#REF!</v>
      </c>
      <c r="CT123" s="17" t="e">
        <f t="shared" si="105"/>
        <v>#REF!</v>
      </c>
      <c r="CU123" s="18" t="e">
        <f t="shared" ca="1" si="106"/>
        <v>#VALUE!</v>
      </c>
      <c r="CV123" s="19" t="e">
        <f ca="1">IF(CU123&gt;=#REF!/100,"Yes","No")</f>
        <v>#VALUE!</v>
      </c>
    </row>
    <row r="124" spans="1:100" x14ac:dyDescent="0.25">
      <c r="A124" t="s">
        <v>212</v>
      </c>
      <c r="B124" t="s">
        <v>246</v>
      </c>
      <c r="C124">
        <v>113204028</v>
      </c>
      <c r="D124" t="str">
        <f t="shared" si="61"/>
        <v>Fırat, Sena-113204028</v>
      </c>
      <c r="E124" s="22">
        <v>5</v>
      </c>
      <c r="F124" s="22">
        <v>3</v>
      </c>
      <c r="G124" s="22">
        <v>15</v>
      </c>
      <c r="H124" s="22">
        <v>5655817</v>
      </c>
      <c r="I124" s="22">
        <v>2834</v>
      </c>
      <c r="J124" s="22">
        <v>7427129</v>
      </c>
      <c r="K124" s="22">
        <v>2087162</v>
      </c>
      <c r="L124" s="22">
        <v>100000</v>
      </c>
      <c r="M124" s="22">
        <v>108600</v>
      </c>
      <c r="N124" s="22">
        <v>118100</v>
      </c>
      <c r="O124" s="22">
        <v>127700</v>
      </c>
      <c r="P124" s="22">
        <v>118100</v>
      </c>
      <c r="Q124" s="22">
        <v>100000</v>
      </c>
      <c r="R124" s="22">
        <v>127700</v>
      </c>
      <c r="S124" s="22">
        <v>108600</v>
      </c>
      <c r="T124" s="24">
        <v>26000</v>
      </c>
      <c r="U124" s="22">
        <v>26820</v>
      </c>
      <c r="V124" s="22">
        <v>24620</v>
      </c>
      <c r="W124" s="22">
        <v>22620</v>
      </c>
      <c r="X124" s="22">
        <v>24620</v>
      </c>
      <c r="Y124" s="22">
        <v>29120</v>
      </c>
      <c r="Z124" s="22">
        <v>22620</v>
      </c>
      <c r="AA124" s="22">
        <v>26820</v>
      </c>
      <c r="AB124" s="24">
        <v>106000</v>
      </c>
      <c r="AC124" s="24">
        <v>110000</v>
      </c>
      <c r="AD124" s="24">
        <v>113000</v>
      </c>
      <c r="AE124" s="24">
        <v>115000</v>
      </c>
      <c r="AF124" s="24">
        <v>104000</v>
      </c>
      <c r="AG124" s="24">
        <v>108000</v>
      </c>
      <c r="AH124" s="24">
        <v>110000</v>
      </c>
      <c r="AI124" s="24">
        <v>111000</v>
      </c>
      <c r="AJ124" s="25">
        <v>4.8</v>
      </c>
      <c r="AK124" s="25">
        <v>6.8</v>
      </c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8">
        <f t="shared" si="107"/>
        <v>2</v>
      </c>
      <c r="AY124" s="8">
        <f t="shared" si="108"/>
        <v>4</v>
      </c>
      <c r="AZ124" s="13" t="str">
        <f t="shared" si="72"/>
        <v>∆(2-4)</v>
      </c>
      <c r="BA124" s="10">
        <f t="shared" ca="1" si="109"/>
        <v>-9900</v>
      </c>
      <c r="BB124" s="10">
        <f t="shared" ca="1" si="110"/>
        <v>2000</v>
      </c>
      <c r="BC124" s="10">
        <f t="shared" ca="1" si="73"/>
        <v>1980</v>
      </c>
      <c r="BD124" s="10" t="e">
        <f>#REF!</f>
        <v>#REF!</v>
      </c>
      <c r="BE124" s="10">
        <f t="shared" ca="1" si="74"/>
        <v>-9900</v>
      </c>
      <c r="BF124" s="10">
        <f t="shared" ca="1" si="75"/>
        <v>2000</v>
      </c>
      <c r="BG124" s="10">
        <f t="shared" ca="1" si="76"/>
        <v>2000</v>
      </c>
      <c r="BH124" s="10">
        <f t="shared" ca="1" si="77"/>
        <v>2000</v>
      </c>
      <c r="BI124" s="10" t="e">
        <f t="shared" si="78"/>
        <v>#REF!</v>
      </c>
      <c r="BJ124" s="10" t="e">
        <f t="shared" si="79"/>
        <v>#REF!</v>
      </c>
      <c r="BK124" s="10" t="e">
        <f t="shared" si="80"/>
        <v>#REF!</v>
      </c>
      <c r="BL124" s="10" t="e">
        <f t="shared" si="81"/>
        <v>#REF!</v>
      </c>
      <c r="BM124" s="14" t="e">
        <f t="shared" ca="1" si="82"/>
        <v>#VALUE!</v>
      </c>
      <c r="BN124" s="15" t="e">
        <f ca="1">IF(BM124&gt;=#REF!/100,"Yes","No")</f>
        <v>#VALUE!</v>
      </c>
      <c r="BO124" s="6">
        <f t="shared" si="111"/>
        <v>3</v>
      </c>
      <c r="BP124" s="6" t="e">
        <f t="shared" ca="1" si="83"/>
        <v>#VALUE!</v>
      </c>
      <c r="BQ124" s="13" t="e">
        <f t="shared" ca="1" si="84"/>
        <v>#VALUE!</v>
      </c>
      <c r="BR124" s="10" t="e">
        <f t="shared" ca="1" si="112"/>
        <v>#VALUE!</v>
      </c>
      <c r="BS124" s="10" t="e">
        <f t="shared" ca="1" si="113"/>
        <v>#VALUE!</v>
      </c>
      <c r="BT124" s="10" t="e">
        <f t="shared" ca="1" si="85"/>
        <v>#VALUE!</v>
      </c>
      <c r="BU124" s="10" t="e">
        <f>#REF!</f>
        <v>#REF!</v>
      </c>
      <c r="BV124" s="10" t="e">
        <f t="shared" ca="1" si="86"/>
        <v>#VALUE!</v>
      </c>
      <c r="BW124" s="10" t="e">
        <f t="shared" ca="1" si="87"/>
        <v>#VALUE!</v>
      </c>
      <c r="BX124" s="10" t="e">
        <f t="shared" ca="1" si="88"/>
        <v>#VALUE!</v>
      </c>
      <c r="BY124" s="10" t="e">
        <f t="shared" ca="1" si="89"/>
        <v>#VALUE!</v>
      </c>
      <c r="BZ124" s="10" t="e">
        <f t="shared" si="90"/>
        <v>#REF!</v>
      </c>
      <c r="CA124" s="10" t="e">
        <f t="shared" si="91"/>
        <v>#REF!</v>
      </c>
      <c r="CB124" s="10" t="e">
        <f t="shared" si="92"/>
        <v>#REF!</v>
      </c>
      <c r="CC124" s="10" t="e">
        <f t="shared" si="93"/>
        <v>#REF!</v>
      </c>
      <c r="CD124" s="14" t="e">
        <f t="shared" ca="1" si="94"/>
        <v>#VALUE!</v>
      </c>
      <c r="CE124" s="15" t="e">
        <f ca="1">IF(CD124&gt;=#REF!/100,"Yes","No")</f>
        <v>#VALUE!</v>
      </c>
      <c r="CF124" s="6">
        <f t="shared" si="114"/>
        <v>1</v>
      </c>
      <c r="CG124" s="6" t="e">
        <f t="shared" ca="1" si="95"/>
        <v>#VALUE!</v>
      </c>
      <c r="CH124" s="13" t="e">
        <f t="shared" ca="1" si="96"/>
        <v>#VALUE!</v>
      </c>
      <c r="CI124" s="10" t="e">
        <f t="shared" ca="1" si="115"/>
        <v>#VALUE!</v>
      </c>
      <c r="CJ124" s="10" t="e">
        <f t="shared" ca="1" si="116"/>
        <v>#VALUE!</v>
      </c>
      <c r="CK124" s="10" t="e">
        <f t="shared" ca="1" si="97"/>
        <v>#VALUE!</v>
      </c>
      <c r="CL124" s="10" t="e">
        <f>#REF!</f>
        <v>#REF!</v>
      </c>
      <c r="CM124" s="10" t="e">
        <f t="shared" ca="1" si="98"/>
        <v>#VALUE!</v>
      </c>
      <c r="CN124" s="10" t="e">
        <f t="shared" ca="1" si="99"/>
        <v>#VALUE!</v>
      </c>
      <c r="CO124" s="10" t="e">
        <f t="shared" ca="1" si="100"/>
        <v>#VALUE!</v>
      </c>
      <c r="CP124" s="10" t="e">
        <f t="shared" ca="1" si="101"/>
        <v>#VALUE!</v>
      </c>
      <c r="CQ124" s="10" t="e">
        <f t="shared" si="102"/>
        <v>#REF!</v>
      </c>
      <c r="CR124" s="10" t="e">
        <f t="shared" si="103"/>
        <v>#REF!</v>
      </c>
      <c r="CS124" s="10" t="e">
        <f t="shared" si="104"/>
        <v>#REF!</v>
      </c>
      <c r="CT124" s="10" t="e">
        <f t="shared" si="105"/>
        <v>#REF!</v>
      </c>
      <c r="CU124" s="14" t="e">
        <f t="shared" ca="1" si="106"/>
        <v>#VALUE!</v>
      </c>
      <c r="CV124" s="15" t="e">
        <f ca="1">IF(CU124&gt;=#REF!/100,"Yes","No")</f>
        <v>#VALUE!</v>
      </c>
    </row>
    <row r="125" spans="1:100" x14ac:dyDescent="0.25">
      <c r="A125" t="s">
        <v>247</v>
      </c>
      <c r="B125" t="s">
        <v>248</v>
      </c>
      <c r="C125">
        <v>116206044</v>
      </c>
      <c r="D125" t="str">
        <f t="shared" si="61"/>
        <v>Gargoum, Nasiem A. Ragab-116206044</v>
      </c>
      <c r="E125" s="22">
        <v>6</v>
      </c>
      <c r="F125" s="22">
        <v>2</v>
      </c>
      <c r="G125" s="22">
        <v>10</v>
      </c>
      <c r="H125" s="22">
        <v>9688162</v>
      </c>
      <c r="I125" s="22">
        <v>2617142</v>
      </c>
      <c r="J125" s="22">
        <v>7095240</v>
      </c>
      <c r="K125" s="22">
        <v>6433847</v>
      </c>
      <c r="L125" s="22">
        <v>100000</v>
      </c>
      <c r="M125" s="22">
        <v>108000</v>
      </c>
      <c r="N125" s="22">
        <v>116800</v>
      </c>
      <c r="O125" s="22">
        <v>125700</v>
      </c>
      <c r="P125" s="22">
        <v>100000</v>
      </c>
      <c r="Q125" s="22">
        <v>116800</v>
      </c>
      <c r="R125" s="22">
        <v>125700</v>
      </c>
      <c r="S125" s="22">
        <v>108000</v>
      </c>
      <c r="T125" s="24">
        <v>25000</v>
      </c>
      <c r="U125" s="22">
        <v>27121</v>
      </c>
      <c r="V125" s="22">
        <v>24821</v>
      </c>
      <c r="W125" s="22">
        <v>22821</v>
      </c>
      <c r="X125" s="22">
        <v>29121</v>
      </c>
      <c r="Y125" s="22">
        <v>24821</v>
      </c>
      <c r="Z125" s="22">
        <v>22821</v>
      </c>
      <c r="AA125" s="22">
        <v>27121</v>
      </c>
      <c r="AB125" s="24">
        <v>104000</v>
      </c>
      <c r="AC125" s="24">
        <v>106000</v>
      </c>
      <c r="AD125" s="24">
        <v>110000</v>
      </c>
      <c r="AE125" s="24">
        <v>112000</v>
      </c>
      <c r="AF125" s="24">
        <v>101000</v>
      </c>
      <c r="AG125" s="24">
        <v>104000</v>
      </c>
      <c r="AH125" s="24">
        <v>108000</v>
      </c>
      <c r="AI125" s="24">
        <v>110000</v>
      </c>
      <c r="AJ125" s="25">
        <v>4.3</v>
      </c>
      <c r="AK125" s="25">
        <v>9.6</v>
      </c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8">
        <f t="shared" si="107"/>
        <v>4</v>
      </c>
      <c r="AY125" s="8">
        <f t="shared" si="108"/>
        <v>2</v>
      </c>
      <c r="AZ125" s="16" t="str">
        <f t="shared" si="72"/>
        <v>∆(4-2)</v>
      </c>
      <c r="BA125" s="17">
        <f t="shared" ca="1" si="109"/>
        <v>-8600</v>
      </c>
      <c r="BB125" s="17">
        <f t="shared" ca="1" si="110"/>
        <v>2300</v>
      </c>
      <c r="BC125" s="17">
        <f t="shared" ca="1" si="73"/>
        <v>1720</v>
      </c>
      <c r="BD125" s="17" t="e">
        <f>#REF!</f>
        <v>#REF!</v>
      </c>
      <c r="BE125" s="17">
        <f t="shared" ca="1" si="74"/>
        <v>-8600</v>
      </c>
      <c r="BF125" s="17">
        <f t="shared" ca="1" si="75"/>
        <v>2300</v>
      </c>
      <c r="BG125" s="17">
        <f t="shared" ca="1" si="76"/>
        <v>2300</v>
      </c>
      <c r="BH125" s="17">
        <f t="shared" ca="1" si="77"/>
        <v>2300</v>
      </c>
      <c r="BI125" s="17" t="e">
        <f t="shared" si="78"/>
        <v>#REF!</v>
      </c>
      <c r="BJ125" s="17" t="e">
        <f t="shared" si="79"/>
        <v>#REF!</v>
      </c>
      <c r="BK125" s="17" t="e">
        <f t="shared" si="80"/>
        <v>#REF!</v>
      </c>
      <c r="BL125" s="17" t="e">
        <f t="shared" si="81"/>
        <v>#REF!</v>
      </c>
      <c r="BM125" s="18" t="e">
        <f t="shared" ca="1" si="82"/>
        <v>#VALUE!</v>
      </c>
      <c r="BN125" s="19" t="e">
        <f ca="1">IF(BM125&gt;=#REF!/100,"Yes","No")</f>
        <v>#VALUE!</v>
      </c>
      <c r="BO125" s="20">
        <f t="shared" si="111"/>
        <v>1</v>
      </c>
      <c r="BP125" s="20" t="e">
        <f t="shared" ca="1" si="83"/>
        <v>#VALUE!</v>
      </c>
      <c r="BQ125" s="16" t="e">
        <f t="shared" ca="1" si="84"/>
        <v>#VALUE!</v>
      </c>
      <c r="BR125" s="17" t="e">
        <f t="shared" ca="1" si="112"/>
        <v>#VALUE!</v>
      </c>
      <c r="BS125" s="17" t="e">
        <f t="shared" ca="1" si="113"/>
        <v>#VALUE!</v>
      </c>
      <c r="BT125" s="17" t="e">
        <f t="shared" ca="1" si="85"/>
        <v>#VALUE!</v>
      </c>
      <c r="BU125" s="17" t="e">
        <f>#REF!</f>
        <v>#REF!</v>
      </c>
      <c r="BV125" s="17" t="e">
        <f t="shared" ca="1" si="86"/>
        <v>#VALUE!</v>
      </c>
      <c r="BW125" s="17" t="e">
        <f t="shared" ca="1" si="87"/>
        <v>#VALUE!</v>
      </c>
      <c r="BX125" s="17" t="e">
        <f t="shared" ca="1" si="88"/>
        <v>#VALUE!</v>
      </c>
      <c r="BY125" s="17" t="e">
        <f t="shared" ca="1" si="89"/>
        <v>#VALUE!</v>
      </c>
      <c r="BZ125" s="17" t="e">
        <f t="shared" si="90"/>
        <v>#REF!</v>
      </c>
      <c r="CA125" s="17" t="e">
        <f t="shared" si="91"/>
        <v>#REF!</v>
      </c>
      <c r="CB125" s="17" t="e">
        <f t="shared" si="92"/>
        <v>#REF!</v>
      </c>
      <c r="CC125" s="17" t="e">
        <f t="shared" si="93"/>
        <v>#REF!</v>
      </c>
      <c r="CD125" s="18" t="e">
        <f t="shared" ca="1" si="94"/>
        <v>#VALUE!</v>
      </c>
      <c r="CE125" s="19" t="e">
        <f ca="1">IF(CD125&gt;=#REF!/100,"Yes","No")</f>
        <v>#VALUE!</v>
      </c>
      <c r="CF125" s="20">
        <f t="shared" si="114"/>
        <v>3</v>
      </c>
      <c r="CG125" s="20" t="e">
        <f t="shared" ca="1" si="95"/>
        <v>#VALUE!</v>
      </c>
      <c r="CH125" s="16" t="e">
        <f t="shared" ca="1" si="96"/>
        <v>#VALUE!</v>
      </c>
      <c r="CI125" s="17" t="e">
        <f t="shared" ca="1" si="115"/>
        <v>#VALUE!</v>
      </c>
      <c r="CJ125" s="17" t="e">
        <f t="shared" ca="1" si="116"/>
        <v>#VALUE!</v>
      </c>
      <c r="CK125" s="17" t="e">
        <f t="shared" ca="1" si="97"/>
        <v>#VALUE!</v>
      </c>
      <c r="CL125" s="17" t="e">
        <f>#REF!</f>
        <v>#REF!</v>
      </c>
      <c r="CM125" s="17" t="e">
        <f t="shared" ca="1" si="98"/>
        <v>#VALUE!</v>
      </c>
      <c r="CN125" s="17" t="e">
        <f t="shared" ca="1" si="99"/>
        <v>#VALUE!</v>
      </c>
      <c r="CO125" s="17" t="e">
        <f t="shared" ca="1" si="100"/>
        <v>#VALUE!</v>
      </c>
      <c r="CP125" s="17" t="e">
        <f t="shared" ca="1" si="101"/>
        <v>#VALUE!</v>
      </c>
      <c r="CQ125" s="17" t="e">
        <f t="shared" si="102"/>
        <v>#REF!</v>
      </c>
      <c r="CR125" s="17" t="e">
        <f t="shared" si="103"/>
        <v>#REF!</v>
      </c>
      <c r="CS125" s="17" t="e">
        <f t="shared" si="104"/>
        <v>#REF!</v>
      </c>
      <c r="CT125" s="17" t="e">
        <f t="shared" si="105"/>
        <v>#REF!</v>
      </c>
      <c r="CU125" s="18" t="e">
        <f t="shared" ca="1" si="106"/>
        <v>#VALUE!</v>
      </c>
      <c r="CV125" s="19" t="e">
        <f ca="1">IF(CU125&gt;=#REF!/100,"Yes","No")</f>
        <v>#VALUE!</v>
      </c>
    </row>
    <row r="126" spans="1:100" x14ac:dyDescent="0.25">
      <c r="A126" t="s">
        <v>249</v>
      </c>
      <c r="B126" t="s">
        <v>47</v>
      </c>
      <c r="C126">
        <v>114202019</v>
      </c>
      <c r="D126" t="str">
        <f t="shared" si="61"/>
        <v>Gedik, Emre-114202019</v>
      </c>
      <c r="E126" s="22">
        <v>5</v>
      </c>
      <c r="F126" s="22">
        <v>3</v>
      </c>
      <c r="G126" s="22">
        <v>15</v>
      </c>
      <c r="H126" s="22">
        <v>7372318</v>
      </c>
      <c r="I126" s="22">
        <v>5541267</v>
      </c>
      <c r="J126" s="22">
        <v>6900304</v>
      </c>
      <c r="K126" s="22">
        <v>1764782</v>
      </c>
      <c r="L126" s="22">
        <v>100000</v>
      </c>
      <c r="M126" s="22">
        <v>108600</v>
      </c>
      <c r="N126" s="22">
        <v>117700</v>
      </c>
      <c r="O126" s="22">
        <v>126600</v>
      </c>
      <c r="P126" s="22">
        <v>100000</v>
      </c>
      <c r="Q126" s="22">
        <v>117700</v>
      </c>
      <c r="R126" s="22">
        <v>108600</v>
      </c>
      <c r="S126" s="22">
        <v>126600</v>
      </c>
      <c r="T126" s="24">
        <v>24000</v>
      </c>
      <c r="U126" s="22">
        <v>26922</v>
      </c>
      <c r="V126" s="22">
        <v>24622</v>
      </c>
      <c r="W126" s="22">
        <v>22222</v>
      </c>
      <c r="X126" s="22">
        <v>29122</v>
      </c>
      <c r="Y126" s="22">
        <v>24622</v>
      </c>
      <c r="Z126" s="22">
        <v>26922</v>
      </c>
      <c r="AA126" s="22">
        <v>22222</v>
      </c>
      <c r="AB126" s="24">
        <v>104000</v>
      </c>
      <c r="AC126" s="24">
        <v>104000</v>
      </c>
      <c r="AD126" s="24">
        <v>106000</v>
      </c>
      <c r="AE126" s="24">
        <v>105000</v>
      </c>
      <c r="AF126" s="24">
        <v>100500</v>
      </c>
      <c r="AG126" s="24">
        <v>101000</v>
      </c>
      <c r="AH126" s="24">
        <v>102500</v>
      </c>
      <c r="AI126" s="24">
        <v>101000</v>
      </c>
      <c r="AJ126" s="25">
        <v>2.9</v>
      </c>
      <c r="AK126" s="25">
        <v>8.3000000000000007</v>
      </c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8">
        <f t="shared" si="107"/>
        <v>4</v>
      </c>
      <c r="AY126" s="8">
        <f t="shared" si="108"/>
        <v>1</v>
      </c>
      <c r="AZ126" s="13" t="str">
        <f t="shared" si="72"/>
        <v>∆(4-1)</v>
      </c>
      <c r="BA126" s="10">
        <f t="shared" ca="1" si="109"/>
        <v>-8000</v>
      </c>
      <c r="BB126" s="10">
        <f t="shared" ca="1" si="110"/>
        <v>2000</v>
      </c>
      <c r="BC126" s="10">
        <f t="shared" ca="1" si="73"/>
        <v>1600</v>
      </c>
      <c r="BD126" s="10" t="e">
        <f>#REF!</f>
        <v>#REF!</v>
      </c>
      <c r="BE126" s="10">
        <f t="shared" ca="1" si="74"/>
        <v>-8000</v>
      </c>
      <c r="BF126" s="10">
        <f t="shared" ca="1" si="75"/>
        <v>2000</v>
      </c>
      <c r="BG126" s="10">
        <f t="shared" ca="1" si="76"/>
        <v>2000</v>
      </c>
      <c r="BH126" s="10">
        <f t="shared" ca="1" si="77"/>
        <v>2000</v>
      </c>
      <c r="BI126" s="10" t="e">
        <f t="shared" si="78"/>
        <v>#REF!</v>
      </c>
      <c r="BJ126" s="10" t="e">
        <f t="shared" si="79"/>
        <v>#REF!</v>
      </c>
      <c r="BK126" s="10" t="e">
        <f t="shared" si="80"/>
        <v>#REF!</v>
      </c>
      <c r="BL126" s="10" t="e">
        <f t="shared" si="81"/>
        <v>#REF!</v>
      </c>
      <c r="BM126" s="14" t="e">
        <f t="shared" ca="1" si="82"/>
        <v>#VALUE!</v>
      </c>
      <c r="BN126" s="15" t="e">
        <f ca="1">IF(BM126&gt;=#REF!/100,"Yes","No")</f>
        <v>#VALUE!</v>
      </c>
      <c r="BO126" s="6">
        <f t="shared" si="111"/>
        <v>2</v>
      </c>
      <c r="BP126" s="6" t="e">
        <f t="shared" ca="1" si="83"/>
        <v>#VALUE!</v>
      </c>
      <c r="BQ126" s="13" t="e">
        <f t="shared" ca="1" si="84"/>
        <v>#VALUE!</v>
      </c>
      <c r="BR126" s="10" t="e">
        <f t="shared" ca="1" si="112"/>
        <v>#VALUE!</v>
      </c>
      <c r="BS126" s="10" t="e">
        <f t="shared" ca="1" si="113"/>
        <v>#VALUE!</v>
      </c>
      <c r="BT126" s="10" t="e">
        <f t="shared" ca="1" si="85"/>
        <v>#VALUE!</v>
      </c>
      <c r="BU126" s="10" t="e">
        <f>#REF!</f>
        <v>#REF!</v>
      </c>
      <c r="BV126" s="10" t="e">
        <f t="shared" ca="1" si="86"/>
        <v>#VALUE!</v>
      </c>
      <c r="BW126" s="10" t="e">
        <f t="shared" ca="1" si="87"/>
        <v>#VALUE!</v>
      </c>
      <c r="BX126" s="10" t="e">
        <f t="shared" ca="1" si="88"/>
        <v>#VALUE!</v>
      </c>
      <c r="BY126" s="10" t="e">
        <f t="shared" ca="1" si="89"/>
        <v>#VALUE!</v>
      </c>
      <c r="BZ126" s="10" t="e">
        <f t="shared" si="90"/>
        <v>#REF!</v>
      </c>
      <c r="CA126" s="10" t="e">
        <f t="shared" si="91"/>
        <v>#REF!</v>
      </c>
      <c r="CB126" s="10" t="e">
        <f t="shared" si="92"/>
        <v>#REF!</v>
      </c>
      <c r="CC126" s="10" t="e">
        <f t="shared" si="93"/>
        <v>#REF!</v>
      </c>
      <c r="CD126" s="14" t="e">
        <f t="shared" ca="1" si="94"/>
        <v>#VALUE!</v>
      </c>
      <c r="CE126" s="15" t="e">
        <f ca="1">IF(CD126&gt;=#REF!/100,"Yes","No")</f>
        <v>#VALUE!</v>
      </c>
      <c r="CF126" s="6">
        <f t="shared" si="114"/>
        <v>3</v>
      </c>
      <c r="CG126" s="6" t="e">
        <f t="shared" ca="1" si="95"/>
        <v>#VALUE!</v>
      </c>
      <c r="CH126" s="13" t="e">
        <f t="shared" ca="1" si="96"/>
        <v>#VALUE!</v>
      </c>
      <c r="CI126" s="10" t="e">
        <f t="shared" ca="1" si="115"/>
        <v>#VALUE!</v>
      </c>
      <c r="CJ126" s="10" t="e">
        <f t="shared" ca="1" si="116"/>
        <v>#VALUE!</v>
      </c>
      <c r="CK126" s="10" t="e">
        <f t="shared" ca="1" si="97"/>
        <v>#VALUE!</v>
      </c>
      <c r="CL126" s="10" t="e">
        <f>#REF!</f>
        <v>#REF!</v>
      </c>
      <c r="CM126" s="10" t="e">
        <f t="shared" ca="1" si="98"/>
        <v>#VALUE!</v>
      </c>
      <c r="CN126" s="10" t="e">
        <f t="shared" ca="1" si="99"/>
        <v>#VALUE!</v>
      </c>
      <c r="CO126" s="10" t="e">
        <f t="shared" ca="1" si="100"/>
        <v>#VALUE!</v>
      </c>
      <c r="CP126" s="10" t="e">
        <f t="shared" ca="1" si="101"/>
        <v>#VALUE!</v>
      </c>
      <c r="CQ126" s="10" t="e">
        <f t="shared" si="102"/>
        <v>#REF!</v>
      </c>
      <c r="CR126" s="10" t="e">
        <f t="shared" si="103"/>
        <v>#REF!</v>
      </c>
      <c r="CS126" s="10" t="e">
        <f t="shared" si="104"/>
        <v>#REF!</v>
      </c>
      <c r="CT126" s="10" t="e">
        <f t="shared" si="105"/>
        <v>#REF!</v>
      </c>
      <c r="CU126" s="14" t="e">
        <f t="shared" ca="1" si="106"/>
        <v>#VALUE!</v>
      </c>
      <c r="CV126" s="15" t="e">
        <f ca="1">IF(CU126&gt;=#REF!/100,"Yes","No")</f>
        <v>#VALUE!</v>
      </c>
    </row>
    <row r="127" spans="1:100" x14ac:dyDescent="0.25">
      <c r="A127" t="s">
        <v>250</v>
      </c>
      <c r="B127" t="s">
        <v>47</v>
      </c>
      <c r="C127">
        <v>115203021</v>
      </c>
      <c r="D127" t="str">
        <f t="shared" si="61"/>
        <v>Gelgeç, Emre-115203021</v>
      </c>
      <c r="E127" s="22">
        <v>7</v>
      </c>
      <c r="F127" s="22">
        <v>2</v>
      </c>
      <c r="G127" s="22">
        <v>10</v>
      </c>
      <c r="H127" s="22">
        <v>5731793</v>
      </c>
      <c r="I127" s="22">
        <v>1871938</v>
      </c>
      <c r="J127" s="22">
        <v>2777341</v>
      </c>
      <c r="K127" s="22">
        <v>9928571</v>
      </c>
      <c r="L127" s="22">
        <v>100000</v>
      </c>
      <c r="M127" s="22">
        <v>109500</v>
      </c>
      <c r="N127" s="22">
        <v>118700</v>
      </c>
      <c r="O127" s="22">
        <v>128100</v>
      </c>
      <c r="P127" s="22">
        <v>128100</v>
      </c>
      <c r="Q127" s="22">
        <v>100000</v>
      </c>
      <c r="R127" s="22">
        <v>118700</v>
      </c>
      <c r="S127" s="22">
        <v>109500</v>
      </c>
      <c r="T127" s="24">
        <v>25000</v>
      </c>
      <c r="U127" s="22">
        <v>27023</v>
      </c>
      <c r="V127" s="22">
        <v>24723</v>
      </c>
      <c r="W127" s="22">
        <v>22423</v>
      </c>
      <c r="X127" s="22">
        <v>22423</v>
      </c>
      <c r="Y127" s="22">
        <v>29123</v>
      </c>
      <c r="Z127" s="22">
        <v>24723</v>
      </c>
      <c r="AA127" s="22">
        <v>27023</v>
      </c>
      <c r="AB127" s="24">
        <v>96000</v>
      </c>
      <c r="AC127" s="24">
        <v>100000</v>
      </c>
      <c r="AD127" s="24">
        <v>101000</v>
      </c>
      <c r="AE127" s="24">
        <v>99000</v>
      </c>
      <c r="AF127" s="24">
        <v>94000</v>
      </c>
      <c r="AG127" s="24">
        <v>97500</v>
      </c>
      <c r="AH127" s="24">
        <v>97500</v>
      </c>
      <c r="AI127" s="24">
        <v>97000</v>
      </c>
      <c r="AJ127" s="25">
        <v>4.3</v>
      </c>
      <c r="AK127" s="25">
        <v>9.4</v>
      </c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8">
        <f t="shared" si="107"/>
        <v>3</v>
      </c>
      <c r="AY127" s="8">
        <f t="shared" si="108"/>
        <v>1</v>
      </c>
      <c r="AZ127" s="16" t="str">
        <f t="shared" si="72"/>
        <v>∆(3-1)</v>
      </c>
      <c r="BA127" s="17">
        <f t="shared" ca="1" si="109"/>
        <v>-8600</v>
      </c>
      <c r="BB127" s="17">
        <f t="shared" ca="1" si="110"/>
        <v>2200</v>
      </c>
      <c r="BC127" s="17">
        <f t="shared" ca="1" si="73"/>
        <v>1720</v>
      </c>
      <c r="BD127" s="17" t="e">
        <f>#REF!</f>
        <v>#REF!</v>
      </c>
      <c r="BE127" s="17">
        <f t="shared" ca="1" si="74"/>
        <v>-8600</v>
      </c>
      <c r="BF127" s="17">
        <f t="shared" ca="1" si="75"/>
        <v>2200</v>
      </c>
      <c r="BG127" s="17">
        <f t="shared" ca="1" si="76"/>
        <v>2200</v>
      </c>
      <c r="BH127" s="17">
        <f t="shared" ca="1" si="77"/>
        <v>2200</v>
      </c>
      <c r="BI127" s="17" t="e">
        <f t="shared" si="78"/>
        <v>#REF!</v>
      </c>
      <c r="BJ127" s="17" t="e">
        <f t="shared" si="79"/>
        <v>#REF!</v>
      </c>
      <c r="BK127" s="17" t="e">
        <f t="shared" si="80"/>
        <v>#REF!</v>
      </c>
      <c r="BL127" s="17" t="e">
        <f t="shared" si="81"/>
        <v>#REF!</v>
      </c>
      <c r="BM127" s="18" t="e">
        <f t="shared" ca="1" si="82"/>
        <v>#VALUE!</v>
      </c>
      <c r="BN127" s="19" t="e">
        <f ca="1">IF(BM127&gt;=#REF!/100,"Yes","No")</f>
        <v>#VALUE!</v>
      </c>
      <c r="BO127" s="20">
        <f t="shared" si="111"/>
        <v>2</v>
      </c>
      <c r="BP127" s="20" t="e">
        <f t="shared" ca="1" si="83"/>
        <v>#VALUE!</v>
      </c>
      <c r="BQ127" s="16" t="e">
        <f t="shared" ca="1" si="84"/>
        <v>#VALUE!</v>
      </c>
      <c r="BR127" s="17" t="e">
        <f t="shared" ca="1" si="112"/>
        <v>#VALUE!</v>
      </c>
      <c r="BS127" s="17" t="e">
        <f t="shared" ca="1" si="113"/>
        <v>#VALUE!</v>
      </c>
      <c r="BT127" s="17" t="e">
        <f t="shared" ca="1" si="85"/>
        <v>#VALUE!</v>
      </c>
      <c r="BU127" s="17" t="e">
        <f>#REF!</f>
        <v>#REF!</v>
      </c>
      <c r="BV127" s="17" t="e">
        <f t="shared" ca="1" si="86"/>
        <v>#VALUE!</v>
      </c>
      <c r="BW127" s="17" t="e">
        <f t="shared" ca="1" si="87"/>
        <v>#VALUE!</v>
      </c>
      <c r="BX127" s="17" t="e">
        <f t="shared" ca="1" si="88"/>
        <v>#VALUE!</v>
      </c>
      <c r="BY127" s="17" t="e">
        <f t="shared" ca="1" si="89"/>
        <v>#VALUE!</v>
      </c>
      <c r="BZ127" s="17" t="e">
        <f t="shared" si="90"/>
        <v>#REF!</v>
      </c>
      <c r="CA127" s="17" t="e">
        <f t="shared" si="91"/>
        <v>#REF!</v>
      </c>
      <c r="CB127" s="17" t="e">
        <f t="shared" si="92"/>
        <v>#REF!</v>
      </c>
      <c r="CC127" s="17" t="e">
        <f t="shared" si="93"/>
        <v>#REF!</v>
      </c>
      <c r="CD127" s="18" t="e">
        <f t="shared" ca="1" si="94"/>
        <v>#VALUE!</v>
      </c>
      <c r="CE127" s="19" t="e">
        <f ca="1">IF(CD127&gt;=#REF!/100,"Yes","No")</f>
        <v>#VALUE!</v>
      </c>
      <c r="CF127" s="20">
        <f t="shared" si="114"/>
        <v>4</v>
      </c>
      <c r="CG127" s="20" t="e">
        <f t="shared" ca="1" si="95"/>
        <v>#VALUE!</v>
      </c>
      <c r="CH127" s="16" t="e">
        <f t="shared" ca="1" si="96"/>
        <v>#VALUE!</v>
      </c>
      <c r="CI127" s="17" t="e">
        <f t="shared" ca="1" si="115"/>
        <v>#VALUE!</v>
      </c>
      <c r="CJ127" s="17" t="e">
        <f t="shared" ca="1" si="116"/>
        <v>#VALUE!</v>
      </c>
      <c r="CK127" s="17" t="e">
        <f t="shared" ca="1" si="97"/>
        <v>#VALUE!</v>
      </c>
      <c r="CL127" s="17" t="e">
        <f>#REF!</f>
        <v>#REF!</v>
      </c>
      <c r="CM127" s="17" t="e">
        <f t="shared" ca="1" si="98"/>
        <v>#VALUE!</v>
      </c>
      <c r="CN127" s="17" t="e">
        <f t="shared" ca="1" si="99"/>
        <v>#VALUE!</v>
      </c>
      <c r="CO127" s="17" t="e">
        <f t="shared" ca="1" si="100"/>
        <v>#VALUE!</v>
      </c>
      <c r="CP127" s="17" t="e">
        <f t="shared" ca="1" si="101"/>
        <v>#VALUE!</v>
      </c>
      <c r="CQ127" s="17" t="e">
        <f t="shared" si="102"/>
        <v>#REF!</v>
      </c>
      <c r="CR127" s="17" t="e">
        <f t="shared" si="103"/>
        <v>#REF!</v>
      </c>
      <c r="CS127" s="17" t="e">
        <f t="shared" si="104"/>
        <v>#REF!</v>
      </c>
      <c r="CT127" s="17" t="e">
        <f t="shared" si="105"/>
        <v>#REF!</v>
      </c>
      <c r="CU127" s="18" t="e">
        <f t="shared" ca="1" si="106"/>
        <v>#VALUE!</v>
      </c>
      <c r="CV127" s="19" t="e">
        <f ca="1">IF(CU127&gt;=#REF!/100,"Yes","No")</f>
        <v>#VALUE!</v>
      </c>
    </row>
    <row r="128" spans="1:100" x14ac:dyDescent="0.25">
      <c r="A128" t="s">
        <v>251</v>
      </c>
      <c r="B128" t="s">
        <v>252</v>
      </c>
      <c r="C128">
        <v>115205071</v>
      </c>
      <c r="D128" t="str">
        <f t="shared" si="61"/>
        <v>Ghanem, Ahmad-115205071</v>
      </c>
      <c r="E128" s="22">
        <v>6</v>
      </c>
      <c r="F128" s="22">
        <v>1</v>
      </c>
      <c r="G128" s="22">
        <v>8</v>
      </c>
      <c r="H128" s="22">
        <v>7731791</v>
      </c>
      <c r="I128" s="22">
        <v>1372914</v>
      </c>
      <c r="J128" s="22">
        <v>5849067</v>
      </c>
      <c r="K128" s="22">
        <v>1261787</v>
      </c>
      <c r="L128" s="22">
        <v>100000</v>
      </c>
      <c r="M128" s="22">
        <v>109500</v>
      </c>
      <c r="N128" s="22">
        <v>117700</v>
      </c>
      <c r="O128" s="22">
        <v>125900</v>
      </c>
      <c r="P128" s="22">
        <v>100000</v>
      </c>
      <c r="Q128" s="22">
        <v>117700</v>
      </c>
      <c r="R128" s="22">
        <v>109500</v>
      </c>
      <c r="S128" s="22">
        <v>125900</v>
      </c>
      <c r="T128" s="24">
        <v>25000</v>
      </c>
      <c r="U128" s="22">
        <v>26624</v>
      </c>
      <c r="V128" s="22">
        <v>24624</v>
      </c>
      <c r="W128" s="22">
        <v>22424</v>
      </c>
      <c r="X128" s="22">
        <v>29124</v>
      </c>
      <c r="Y128" s="22">
        <v>24624</v>
      </c>
      <c r="Z128" s="22">
        <v>26624</v>
      </c>
      <c r="AA128" s="22">
        <v>22424</v>
      </c>
      <c r="AB128" s="24">
        <v>95000</v>
      </c>
      <c r="AC128" s="24">
        <v>95000</v>
      </c>
      <c r="AD128" s="24">
        <v>99000</v>
      </c>
      <c r="AE128" s="24">
        <v>96000</v>
      </c>
      <c r="AF128" s="24">
        <v>91500</v>
      </c>
      <c r="AG128" s="24">
        <v>92500</v>
      </c>
      <c r="AH128" s="24">
        <v>95500</v>
      </c>
      <c r="AI128" s="24">
        <v>94500</v>
      </c>
      <c r="AJ128" s="25">
        <v>4.0999999999999996</v>
      </c>
      <c r="AK128" s="25">
        <v>9.1999999999999993</v>
      </c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8">
        <f t="shared" si="107"/>
        <v>4</v>
      </c>
      <c r="AY128" s="8">
        <f t="shared" si="108"/>
        <v>2</v>
      </c>
      <c r="AZ128" s="13" t="str">
        <f t="shared" si="72"/>
        <v>∆(4-2)</v>
      </c>
      <c r="BA128" s="10">
        <f t="shared" ca="1" si="109"/>
        <v>-9500</v>
      </c>
      <c r="BB128" s="10">
        <f t="shared" ca="1" si="110"/>
        <v>2100</v>
      </c>
      <c r="BC128" s="10">
        <f t="shared" ca="1" si="73"/>
        <v>1900</v>
      </c>
      <c r="BD128" s="10" t="e">
        <f>#REF!</f>
        <v>#REF!</v>
      </c>
      <c r="BE128" s="10">
        <f t="shared" ca="1" si="74"/>
        <v>-9500</v>
      </c>
      <c r="BF128" s="10">
        <f t="shared" ca="1" si="75"/>
        <v>2100</v>
      </c>
      <c r="BG128" s="10">
        <f t="shared" ca="1" si="76"/>
        <v>2100</v>
      </c>
      <c r="BH128" s="10">
        <f t="shared" ca="1" si="77"/>
        <v>2100</v>
      </c>
      <c r="BI128" s="10" t="e">
        <f t="shared" si="78"/>
        <v>#REF!</v>
      </c>
      <c r="BJ128" s="10" t="e">
        <f t="shared" si="79"/>
        <v>#REF!</v>
      </c>
      <c r="BK128" s="10" t="e">
        <f t="shared" si="80"/>
        <v>#REF!</v>
      </c>
      <c r="BL128" s="10" t="e">
        <f t="shared" si="81"/>
        <v>#REF!</v>
      </c>
      <c r="BM128" s="14" t="e">
        <f t="shared" ca="1" si="82"/>
        <v>#VALUE!</v>
      </c>
      <c r="BN128" s="15" t="e">
        <f ca="1">IF(BM128&gt;=#REF!/100,"Yes","No")</f>
        <v>#VALUE!</v>
      </c>
      <c r="BO128" s="6">
        <f t="shared" si="111"/>
        <v>3</v>
      </c>
      <c r="BP128" s="6" t="e">
        <f t="shared" ca="1" si="83"/>
        <v>#VALUE!</v>
      </c>
      <c r="BQ128" s="13" t="e">
        <f t="shared" ca="1" si="84"/>
        <v>#VALUE!</v>
      </c>
      <c r="BR128" s="10" t="e">
        <f t="shared" ca="1" si="112"/>
        <v>#VALUE!</v>
      </c>
      <c r="BS128" s="10" t="e">
        <f t="shared" ca="1" si="113"/>
        <v>#VALUE!</v>
      </c>
      <c r="BT128" s="10" t="e">
        <f t="shared" ca="1" si="85"/>
        <v>#VALUE!</v>
      </c>
      <c r="BU128" s="10" t="e">
        <f>#REF!</f>
        <v>#REF!</v>
      </c>
      <c r="BV128" s="10" t="e">
        <f t="shared" ca="1" si="86"/>
        <v>#VALUE!</v>
      </c>
      <c r="BW128" s="10" t="e">
        <f t="shared" ca="1" si="87"/>
        <v>#VALUE!</v>
      </c>
      <c r="BX128" s="10" t="e">
        <f t="shared" ca="1" si="88"/>
        <v>#VALUE!</v>
      </c>
      <c r="BY128" s="10" t="e">
        <f t="shared" ca="1" si="89"/>
        <v>#VALUE!</v>
      </c>
      <c r="BZ128" s="10" t="e">
        <f t="shared" si="90"/>
        <v>#REF!</v>
      </c>
      <c r="CA128" s="10" t="e">
        <f t="shared" si="91"/>
        <v>#REF!</v>
      </c>
      <c r="CB128" s="10" t="e">
        <f t="shared" si="92"/>
        <v>#REF!</v>
      </c>
      <c r="CC128" s="10" t="e">
        <f t="shared" si="93"/>
        <v>#REF!</v>
      </c>
      <c r="CD128" s="14" t="e">
        <f t="shared" ca="1" si="94"/>
        <v>#VALUE!</v>
      </c>
      <c r="CE128" s="15" t="e">
        <f ca="1">IF(CD128&gt;=#REF!/100,"Yes","No")</f>
        <v>#VALUE!</v>
      </c>
      <c r="CF128" s="6">
        <f t="shared" si="114"/>
        <v>1</v>
      </c>
      <c r="CG128" s="6" t="e">
        <f t="shared" ca="1" si="95"/>
        <v>#VALUE!</v>
      </c>
      <c r="CH128" s="13" t="e">
        <f t="shared" ca="1" si="96"/>
        <v>#VALUE!</v>
      </c>
      <c r="CI128" s="10" t="e">
        <f t="shared" ca="1" si="115"/>
        <v>#VALUE!</v>
      </c>
      <c r="CJ128" s="10" t="e">
        <f t="shared" ca="1" si="116"/>
        <v>#VALUE!</v>
      </c>
      <c r="CK128" s="10" t="e">
        <f t="shared" ca="1" si="97"/>
        <v>#VALUE!</v>
      </c>
      <c r="CL128" s="10" t="e">
        <f>#REF!</f>
        <v>#REF!</v>
      </c>
      <c r="CM128" s="10" t="e">
        <f t="shared" ca="1" si="98"/>
        <v>#VALUE!</v>
      </c>
      <c r="CN128" s="10" t="e">
        <f t="shared" ca="1" si="99"/>
        <v>#VALUE!</v>
      </c>
      <c r="CO128" s="10" t="e">
        <f t="shared" ca="1" si="100"/>
        <v>#VALUE!</v>
      </c>
      <c r="CP128" s="10" t="e">
        <f t="shared" ca="1" si="101"/>
        <v>#VALUE!</v>
      </c>
      <c r="CQ128" s="10" t="e">
        <f t="shared" si="102"/>
        <v>#REF!</v>
      </c>
      <c r="CR128" s="10" t="e">
        <f t="shared" si="103"/>
        <v>#REF!</v>
      </c>
      <c r="CS128" s="10" t="e">
        <f t="shared" si="104"/>
        <v>#REF!</v>
      </c>
      <c r="CT128" s="10" t="e">
        <f t="shared" si="105"/>
        <v>#REF!</v>
      </c>
      <c r="CU128" s="14" t="e">
        <f t="shared" ca="1" si="106"/>
        <v>#VALUE!</v>
      </c>
      <c r="CV128" s="15" t="e">
        <f ca="1">IF(CU128&gt;=#REF!/100,"Yes","No")</f>
        <v>#VALUE!</v>
      </c>
    </row>
    <row r="129" spans="1:100" x14ac:dyDescent="0.25">
      <c r="A129" t="s">
        <v>253</v>
      </c>
      <c r="B129" t="s">
        <v>254</v>
      </c>
      <c r="C129">
        <v>115202111</v>
      </c>
      <c r="D129" t="str">
        <f t="shared" si="61"/>
        <v>Göçer, Şafak-115202111</v>
      </c>
      <c r="E129" s="22">
        <v>6</v>
      </c>
      <c r="F129" s="22">
        <v>2</v>
      </c>
      <c r="G129" s="22">
        <v>10</v>
      </c>
      <c r="H129" s="22">
        <v>3167219</v>
      </c>
      <c r="I129" s="22">
        <v>2280826</v>
      </c>
      <c r="J129" s="22">
        <v>291311</v>
      </c>
      <c r="K129" s="22">
        <v>543262</v>
      </c>
      <c r="L129" s="22">
        <v>100000</v>
      </c>
      <c r="M129" s="22">
        <v>109600</v>
      </c>
      <c r="N129" s="22">
        <v>118000</v>
      </c>
      <c r="O129" s="22">
        <v>126000</v>
      </c>
      <c r="P129" s="22">
        <v>100000</v>
      </c>
      <c r="Q129" s="22">
        <v>109600</v>
      </c>
      <c r="R129" s="22">
        <v>126000</v>
      </c>
      <c r="S129" s="22">
        <v>118000</v>
      </c>
      <c r="T129" s="24">
        <v>28000</v>
      </c>
      <c r="U129" s="22">
        <v>26625</v>
      </c>
      <c r="V129" s="22">
        <v>24525</v>
      </c>
      <c r="W129" s="22">
        <v>22125</v>
      </c>
      <c r="X129" s="22">
        <v>29125</v>
      </c>
      <c r="Y129" s="22">
        <v>26625</v>
      </c>
      <c r="Z129" s="22">
        <v>22125</v>
      </c>
      <c r="AA129" s="22">
        <v>24525</v>
      </c>
      <c r="AB129" s="24">
        <v>117000</v>
      </c>
      <c r="AC129" s="24">
        <v>121000</v>
      </c>
      <c r="AD129" s="24">
        <v>125000</v>
      </c>
      <c r="AE129" s="24">
        <v>129000</v>
      </c>
      <c r="AF129" s="24">
        <v>114000</v>
      </c>
      <c r="AG129" s="24">
        <v>117000</v>
      </c>
      <c r="AH129" s="24">
        <v>122500</v>
      </c>
      <c r="AI129" s="24">
        <v>126000</v>
      </c>
      <c r="AJ129" s="25">
        <v>3</v>
      </c>
      <c r="AK129" s="25">
        <v>7.6</v>
      </c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8">
        <f t="shared" si="107"/>
        <v>3</v>
      </c>
      <c r="AY129" s="8">
        <f t="shared" si="108"/>
        <v>1</v>
      </c>
      <c r="AZ129" s="16" t="str">
        <f t="shared" si="72"/>
        <v>∆(3-1)</v>
      </c>
      <c r="BA129" s="17">
        <f t="shared" ca="1" si="109"/>
        <v>-9500</v>
      </c>
      <c r="BB129" s="17">
        <f t="shared" ca="1" si="110"/>
        <v>2500</v>
      </c>
      <c r="BC129" s="17">
        <f t="shared" ca="1" si="73"/>
        <v>1900</v>
      </c>
      <c r="BD129" s="17" t="e">
        <f>#REF!</f>
        <v>#REF!</v>
      </c>
      <c r="BE129" s="17">
        <f t="shared" ca="1" si="74"/>
        <v>-9500</v>
      </c>
      <c r="BF129" s="17">
        <f t="shared" ca="1" si="75"/>
        <v>2500</v>
      </c>
      <c r="BG129" s="17">
        <f t="shared" ca="1" si="76"/>
        <v>2500</v>
      </c>
      <c r="BH129" s="17">
        <f t="shared" ca="1" si="77"/>
        <v>2500</v>
      </c>
      <c r="BI129" s="17" t="e">
        <f t="shared" si="78"/>
        <v>#REF!</v>
      </c>
      <c r="BJ129" s="17" t="e">
        <f t="shared" si="79"/>
        <v>#REF!</v>
      </c>
      <c r="BK129" s="17" t="e">
        <f t="shared" si="80"/>
        <v>#REF!</v>
      </c>
      <c r="BL129" s="17" t="e">
        <f t="shared" si="81"/>
        <v>#REF!</v>
      </c>
      <c r="BM129" s="18" t="e">
        <f t="shared" ca="1" si="82"/>
        <v>#VALUE!</v>
      </c>
      <c r="BN129" s="19" t="e">
        <f ca="1">IF(BM129&gt;=#REF!/100,"Yes","No")</f>
        <v>#VALUE!</v>
      </c>
      <c r="BO129" s="20">
        <f t="shared" si="111"/>
        <v>2</v>
      </c>
      <c r="BP129" s="20" t="e">
        <f t="shared" ca="1" si="83"/>
        <v>#VALUE!</v>
      </c>
      <c r="BQ129" s="16" t="e">
        <f t="shared" ca="1" si="84"/>
        <v>#VALUE!</v>
      </c>
      <c r="BR129" s="17" t="e">
        <f t="shared" ca="1" si="112"/>
        <v>#VALUE!</v>
      </c>
      <c r="BS129" s="17" t="e">
        <f t="shared" ca="1" si="113"/>
        <v>#VALUE!</v>
      </c>
      <c r="BT129" s="17" t="e">
        <f t="shared" ca="1" si="85"/>
        <v>#VALUE!</v>
      </c>
      <c r="BU129" s="17" t="e">
        <f>#REF!</f>
        <v>#REF!</v>
      </c>
      <c r="BV129" s="17" t="e">
        <f t="shared" ca="1" si="86"/>
        <v>#VALUE!</v>
      </c>
      <c r="BW129" s="17" t="e">
        <f t="shared" ca="1" si="87"/>
        <v>#VALUE!</v>
      </c>
      <c r="BX129" s="17" t="e">
        <f t="shared" ca="1" si="88"/>
        <v>#VALUE!</v>
      </c>
      <c r="BY129" s="17" t="e">
        <f t="shared" ca="1" si="89"/>
        <v>#VALUE!</v>
      </c>
      <c r="BZ129" s="17" t="e">
        <f t="shared" si="90"/>
        <v>#REF!</v>
      </c>
      <c r="CA129" s="17" t="e">
        <f t="shared" si="91"/>
        <v>#REF!</v>
      </c>
      <c r="CB129" s="17" t="e">
        <f t="shared" si="92"/>
        <v>#REF!</v>
      </c>
      <c r="CC129" s="17" t="e">
        <f t="shared" si="93"/>
        <v>#REF!</v>
      </c>
      <c r="CD129" s="18" t="e">
        <f t="shared" ca="1" si="94"/>
        <v>#VALUE!</v>
      </c>
      <c r="CE129" s="19" t="e">
        <f ca="1">IF(CD129&gt;=#REF!/100,"Yes","No")</f>
        <v>#VALUE!</v>
      </c>
      <c r="CF129" s="20">
        <f t="shared" si="114"/>
        <v>4</v>
      </c>
      <c r="CG129" s="20" t="e">
        <f t="shared" ca="1" si="95"/>
        <v>#VALUE!</v>
      </c>
      <c r="CH129" s="16" t="e">
        <f t="shared" ca="1" si="96"/>
        <v>#VALUE!</v>
      </c>
      <c r="CI129" s="17" t="e">
        <f t="shared" ca="1" si="115"/>
        <v>#VALUE!</v>
      </c>
      <c r="CJ129" s="17" t="e">
        <f t="shared" ca="1" si="116"/>
        <v>#VALUE!</v>
      </c>
      <c r="CK129" s="17" t="e">
        <f t="shared" ca="1" si="97"/>
        <v>#VALUE!</v>
      </c>
      <c r="CL129" s="17" t="e">
        <f>#REF!</f>
        <v>#REF!</v>
      </c>
      <c r="CM129" s="17" t="e">
        <f t="shared" ca="1" si="98"/>
        <v>#VALUE!</v>
      </c>
      <c r="CN129" s="17" t="e">
        <f t="shared" ca="1" si="99"/>
        <v>#VALUE!</v>
      </c>
      <c r="CO129" s="17" t="e">
        <f t="shared" ca="1" si="100"/>
        <v>#VALUE!</v>
      </c>
      <c r="CP129" s="17" t="e">
        <f t="shared" ca="1" si="101"/>
        <v>#VALUE!</v>
      </c>
      <c r="CQ129" s="17" t="e">
        <f t="shared" si="102"/>
        <v>#REF!</v>
      </c>
      <c r="CR129" s="17" t="e">
        <f t="shared" si="103"/>
        <v>#REF!</v>
      </c>
      <c r="CS129" s="17" t="e">
        <f t="shared" si="104"/>
        <v>#REF!</v>
      </c>
      <c r="CT129" s="17" t="e">
        <f t="shared" si="105"/>
        <v>#REF!</v>
      </c>
      <c r="CU129" s="18" t="e">
        <f t="shared" ca="1" si="106"/>
        <v>#VALUE!</v>
      </c>
      <c r="CV129" s="19" t="e">
        <f ca="1">IF(CU129&gt;=#REF!/100,"Yes","No")</f>
        <v>#VALUE!</v>
      </c>
    </row>
    <row r="130" spans="1:100" x14ac:dyDescent="0.25">
      <c r="A130" t="s">
        <v>255</v>
      </c>
      <c r="B130" t="s">
        <v>139</v>
      </c>
      <c r="C130">
        <v>114202017</v>
      </c>
      <c r="D130" t="str">
        <f t="shared" si="61"/>
        <v>Gökbaşı, Onur-114202017</v>
      </c>
      <c r="E130" s="22">
        <v>4</v>
      </c>
      <c r="F130" s="22">
        <v>2</v>
      </c>
      <c r="G130" s="22">
        <v>10</v>
      </c>
      <c r="H130" s="22">
        <v>2207606</v>
      </c>
      <c r="I130" s="22">
        <v>4221631</v>
      </c>
      <c r="J130" s="22">
        <v>8401843</v>
      </c>
      <c r="K130" s="22">
        <v>485620</v>
      </c>
      <c r="L130" s="22">
        <v>100000</v>
      </c>
      <c r="M130" s="22">
        <v>108300</v>
      </c>
      <c r="N130" s="22">
        <v>116500</v>
      </c>
      <c r="O130" s="22">
        <v>125400</v>
      </c>
      <c r="P130" s="22">
        <v>116500</v>
      </c>
      <c r="Q130" s="22">
        <v>108300</v>
      </c>
      <c r="R130" s="22">
        <v>100000</v>
      </c>
      <c r="S130" s="22">
        <v>125400</v>
      </c>
      <c r="T130" s="24">
        <v>26000</v>
      </c>
      <c r="U130" s="22">
        <v>26826</v>
      </c>
      <c r="V130" s="22">
        <v>24726</v>
      </c>
      <c r="W130" s="22">
        <v>22326</v>
      </c>
      <c r="X130" s="22">
        <v>24726</v>
      </c>
      <c r="Y130" s="22">
        <v>26826</v>
      </c>
      <c r="Z130" s="22">
        <v>29126</v>
      </c>
      <c r="AA130" s="22">
        <v>22326</v>
      </c>
      <c r="AB130" s="24">
        <v>110000</v>
      </c>
      <c r="AC130" s="24">
        <v>107000</v>
      </c>
      <c r="AD130" s="24">
        <v>107000</v>
      </c>
      <c r="AE130" s="24">
        <v>105000</v>
      </c>
      <c r="AF130" s="24">
        <v>106000</v>
      </c>
      <c r="AG130" s="24">
        <v>103000</v>
      </c>
      <c r="AH130" s="24">
        <v>105000</v>
      </c>
      <c r="AI130" s="24">
        <v>102000</v>
      </c>
      <c r="AJ130" s="25">
        <v>3.2</v>
      </c>
      <c r="AK130" s="25">
        <v>9.6999999999999993</v>
      </c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8">
        <f t="shared" si="107"/>
        <v>2</v>
      </c>
      <c r="AY130" s="8">
        <f t="shared" si="108"/>
        <v>1</v>
      </c>
      <c r="AZ130" s="13" t="str">
        <f t="shared" si="72"/>
        <v>∆(2-1)</v>
      </c>
      <c r="BA130" s="10">
        <f t="shared" ca="1" si="109"/>
        <v>-9600</v>
      </c>
      <c r="BB130" s="10">
        <f t="shared" ca="1" si="110"/>
        <v>2500</v>
      </c>
      <c r="BC130" s="10">
        <f t="shared" ca="1" si="73"/>
        <v>1920</v>
      </c>
      <c r="BD130" s="10" t="e">
        <f>#REF!</f>
        <v>#REF!</v>
      </c>
      <c r="BE130" s="10">
        <f t="shared" ca="1" si="74"/>
        <v>-9600</v>
      </c>
      <c r="BF130" s="10">
        <f t="shared" ca="1" si="75"/>
        <v>2500</v>
      </c>
      <c r="BG130" s="10">
        <f t="shared" ca="1" si="76"/>
        <v>2500</v>
      </c>
      <c r="BH130" s="10">
        <f t="shared" ca="1" si="77"/>
        <v>2500</v>
      </c>
      <c r="BI130" s="10" t="e">
        <f t="shared" si="78"/>
        <v>#REF!</v>
      </c>
      <c r="BJ130" s="10" t="e">
        <f t="shared" si="79"/>
        <v>#REF!</v>
      </c>
      <c r="BK130" s="10" t="e">
        <f t="shared" si="80"/>
        <v>#REF!</v>
      </c>
      <c r="BL130" s="10" t="e">
        <f t="shared" si="81"/>
        <v>#REF!</v>
      </c>
      <c r="BM130" s="14" t="e">
        <f t="shared" ca="1" si="82"/>
        <v>#VALUE!</v>
      </c>
      <c r="BN130" s="15" t="e">
        <f ca="1">IF(BM130&gt;=#REF!/100,"Yes","No")</f>
        <v>#VALUE!</v>
      </c>
      <c r="BO130" s="6">
        <f t="shared" si="111"/>
        <v>4</v>
      </c>
      <c r="BP130" s="6" t="e">
        <f t="shared" ca="1" si="83"/>
        <v>#VALUE!</v>
      </c>
      <c r="BQ130" s="13" t="e">
        <f t="shared" ca="1" si="84"/>
        <v>#VALUE!</v>
      </c>
      <c r="BR130" s="10" t="e">
        <f t="shared" ca="1" si="112"/>
        <v>#VALUE!</v>
      </c>
      <c r="BS130" s="10" t="e">
        <f t="shared" ca="1" si="113"/>
        <v>#VALUE!</v>
      </c>
      <c r="BT130" s="10" t="e">
        <f t="shared" ca="1" si="85"/>
        <v>#VALUE!</v>
      </c>
      <c r="BU130" s="10" t="e">
        <f>#REF!</f>
        <v>#REF!</v>
      </c>
      <c r="BV130" s="10" t="e">
        <f t="shared" ca="1" si="86"/>
        <v>#VALUE!</v>
      </c>
      <c r="BW130" s="10" t="e">
        <f t="shared" ca="1" si="87"/>
        <v>#VALUE!</v>
      </c>
      <c r="BX130" s="10" t="e">
        <f t="shared" ca="1" si="88"/>
        <v>#VALUE!</v>
      </c>
      <c r="BY130" s="10" t="e">
        <f t="shared" ca="1" si="89"/>
        <v>#VALUE!</v>
      </c>
      <c r="BZ130" s="10" t="e">
        <f t="shared" si="90"/>
        <v>#REF!</v>
      </c>
      <c r="CA130" s="10" t="e">
        <f t="shared" si="91"/>
        <v>#REF!</v>
      </c>
      <c r="CB130" s="10" t="e">
        <f t="shared" si="92"/>
        <v>#REF!</v>
      </c>
      <c r="CC130" s="10" t="e">
        <f t="shared" si="93"/>
        <v>#REF!</v>
      </c>
      <c r="CD130" s="14" t="e">
        <f t="shared" ca="1" si="94"/>
        <v>#VALUE!</v>
      </c>
      <c r="CE130" s="15" t="e">
        <f ca="1">IF(CD130&gt;=#REF!/100,"Yes","No")</f>
        <v>#VALUE!</v>
      </c>
      <c r="CF130" s="6">
        <f t="shared" si="114"/>
        <v>3</v>
      </c>
      <c r="CG130" s="6" t="e">
        <f t="shared" ca="1" si="95"/>
        <v>#VALUE!</v>
      </c>
      <c r="CH130" s="13" t="e">
        <f t="shared" ca="1" si="96"/>
        <v>#VALUE!</v>
      </c>
      <c r="CI130" s="10" t="e">
        <f t="shared" ca="1" si="115"/>
        <v>#VALUE!</v>
      </c>
      <c r="CJ130" s="10" t="e">
        <f t="shared" ca="1" si="116"/>
        <v>#VALUE!</v>
      </c>
      <c r="CK130" s="10" t="e">
        <f t="shared" ca="1" si="97"/>
        <v>#VALUE!</v>
      </c>
      <c r="CL130" s="10" t="e">
        <f>#REF!</f>
        <v>#REF!</v>
      </c>
      <c r="CM130" s="10" t="e">
        <f t="shared" ca="1" si="98"/>
        <v>#VALUE!</v>
      </c>
      <c r="CN130" s="10" t="e">
        <f t="shared" ca="1" si="99"/>
        <v>#VALUE!</v>
      </c>
      <c r="CO130" s="10" t="e">
        <f t="shared" ca="1" si="100"/>
        <v>#VALUE!</v>
      </c>
      <c r="CP130" s="10" t="e">
        <f t="shared" ca="1" si="101"/>
        <v>#VALUE!</v>
      </c>
      <c r="CQ130" s="10" t="e">
        <f t="shared" si="102"/>
        <v>#REF!</v>
      </c>
      <c r="CR130" s="10" t="e">
        <f t="shared" si="103"/>
        <v>#REF!</v>
      </c>
      <c r="CS130" s="10" t="e">
        <f t="shared" si="104"/>
        <v>#REF!</v>
      </c>
      <c r="CT130" s="10" t="e">
        <f t="shared" si="105"/>
        <v>#REF!</v>
      </c>
      <c r="CU130" s="14" t="e">
        <f t="shared" ca="1" si="106"/>
        <v>#VALUE!</v>
      </c>
      <c r="CV130" s="15" t="e">
        <f ca="1">IF(CU130&gt;=#REF!/100,"Yes","No")</f>
        <v>#VALUE!</v>
      </c>
    </row>
    <row r="131" spans="1:100" x14ac:dyDescent="0.25">
      <c r="A131" t="s">
        <v>256</v>
      </c>
      <c r="B131" t="s">
        <v>257</v>
      </c>
      <c r="C131">
        <v>115203055</v>
      </c>
      <c r="D131" t="str">
        <f t="shared" si="61"/>
        <v>Gölcü, Halis-115203055</v>
      </c>
      <c r="E131" s="22">
        <v>6</v>
      </c>
      <c r="F131" s="22">
        <v>1</v>
      </c>
      <c r="G131" s="22">
        <v>8</v>
      </c>
      <c r="H131" s="22">
        <v>300201</v>
      </c>
      <c r="I131" s="22">
        <v>8617283</v>
      </c>
      <c r="J131" s="22">
        <v>4138902</v>
      </c>
      <c r="K131" s="22">
        <v>2821137</v>
      </c>
      <c r="L131" s="22">
        <v>100000</v>
      </c>
      <c r="M131" s="22">
        <v>108800</v>
      </c>
      <c r="N131" s="22">
        <v>118700</v>
      </c>
      <c r="O131" s="22">
        <v>127200</v>
      </c>
      <c r="P131" s="22">
        <v>108800</v>
      </c>
      <c r="Q131" s="22">
        <v>118700</v>
      </c>
      <c r="R131" s="22">
        <v>127200</v>
      </c>
      <c r="S131" s="22">
        <v>100000</v>
      </c>
      <c r="T131" s="24">
        <v>28000</v>
      </c>
      <c r="U131" s="22">
        <v>26727</v>
      </c>
      <c r="V131" s="22">
        <v>24627</v>
      </c>
      <c r="W131" s="22">
        <v>22527</v>
      </c>
      <c r="X131" s="22">
        <v>26727</v>
      </c>
      <c r="Y131" s="22">
        <v>24627</v>
      </c>
      <c r="Z131" s="22">
        <v>22527</v>
      </c>
      <c r="AA131" s="22">
        <v>29127</v>
      </c>
      <c r="AB131" s="24">
        <v>108000</v>
      </c>
      <c r="AC131" s="24">
        <v>111000</v>
      </c>
      <c r="AD131" s="24">
        <v>113000</v>
      </c>
      <c r="AE131" s="24">
        <v>110000</v>
      </c>
      <c r="AF131" s="24">
        <v>106000</v>
      </c>
      <c r="AG131" s="24">
        <v>108000</v>
      </c>
      <c r="AH131" s="24">
        <v>109500</v>
      </c>
      <c r="AI131" s="24">
        <v>107500</v>
      </c>
      <c r="AJ131" s="25">
        <v>3</v>
      </c>
      <c r="AK131" s="25">
        <v>7.6</v>
      </c>
    </row>
    <row r="132" spans="1:100" x14ac:dyDescent="0.25">
      <c r="A132" t="s">
        <v>258</v>
      </c>
      <c r="B132" t="s">
        <v>259</v>
      </c>
      <c r="C132">
        <v>117203087</v>
      </c>
      <c r="D132" t="str">
        <f t="shared" ref="D132:D195" si="117">A132&amp;", "&amp;B132&amp;"-"&amp;C132</f>
        <v>Göncü, Helin-117203087</v>
      </c>
      <c r="E132" s="22">
        <v>6</v>
      </c>
      <c r="F132" s="22">
        <v>1</v>
      </c>
      <c r="G132" s="22">
        <v>8</v>
      </c>
      <c r="H132" s="22">
        <v>187180</v>
      </c>
      <c r="I132" s="22">
        <v>2311984</v>
      </c>
      <c r="J132" s="22">
        <v>8006538</v>
      </c>
      <c r="K132" s="22">
        <v>3728539</v>
      </c>
      <c r="L132" s="22">
        <v>100000</v>
      </c>
      <c r="M132" s="22">
        <v>109900</v>
      </c>
      <c r="N132" s="22">
        <v>118900</v>
      </c>
      <c r="O132" s="22">
        <v>127000</v>
      </c>
      <c r="P132" s="22">
        <v>118900</v>
      </c>
      <c r="Q132" s="22">
        <v>127000</v>
      </c>
      <c r="R132" s="22">
        <v>109900</v>
      </c>
      <c r="S132" s="22">
        <v>100000</v>
      </c>
      <c r="T132" s="24">
        <v>25000</v>
      </c>
      <c r="U132" s="22">
        <v>26828</v>
      </c>
      <c r="V132" s="22">
        <v>24728</v>
      </c>
      <c r="W132" s="22">
        <v>22228</v>
      </c>
      <c r="X132" s="22">
        <v>24728</v>
      </c>
      <c r="Y132" s="22">
        <v>22228</v>
      </c>
      <c r="Z132" s="22">
        <v>26828</v>
      </c>
      <c r="AA132" s="22">
        <v>29128</v>
      </c>
      <c r="AB132" s="24">
        <v>95000</v>
      </c>
      <c r="AC132" s="24">
        <v>93000</v>
      </c>
      <c r="AD132" s="24">
        <v>94000</v>
      </c>
      <c r="AE132" s="24">
        <v>97000</v>
      </c>
      <c r="AF132" s="24">
        <v>93500</v>
      </c>
      <c r="AG132" s="24">
        <v>91500</v>
      </c>
      <c r="AH132" s="24">
        <v>90500</v>
      </c>
      <c r="AI132" s="24">
        <v>94500</v>
      </c>
      <c r="AJ132" s="25">
        <v>4.9000000000000004</v>
      </c>
      <c r="AK132" s="25">
        <v>8.6999999999999993</v>
      </c>
    </row>
    <row r="133" spans="1:100" x14ac:dyDescent="0.25">
      <c r="A133" t="s">
        <v>260</v>
      </c>
      <c r="B133" t="s">
        <v>179</v>
      </c>
      <c r="C133">
        <v>112204003</v>
      </c>
      <c r="D133" t="str">
        <f t="shared" si="117"/>
        <v>Gözen, Özgür-112204003</v>
      </c>
      <c r="E133" s="22">
        <v>5</v>
      </c>
      <c r="F133" s="22">
        <v>2</v>
      </c>
      <c r="G133" s="22">
        <v>10</v>
      </c>
      <c r="H133" s="22">
        <v>5650895</v>
      </c>
      <c r="I133" s="22">
        <v>1827327</v>
      </c>
      <c r="J133" s="22">
        <v>3599227</v>
      </c>
      <c r="K133" s="22">
        <v>5361274</v>
      </c>
      <c r="L133" s="22">
        <v>100000</v>
      </c>
      <c r="M133" s="22">
        <v>109700</v>
      </c>
      <c r="N133" s="22">
        <v>118100</v>
      </c>
      <c r="O133" s="22">
        <v>126400</v>
      </c>
      <c r="P133" s="22">
        <v>100000</v>
      </c>
      <c r="Q133" s="22">
        <v>126400</v>
      </c>
      <c r="R133" s="22">
        <v>118100</v>
      </c>
      <c r="S133" s="22">
        <v>109700</v>
      </c>
      <c r="T133" s="24">
        <v>23000</v>
      </c>
      <c r="U133" s="22">
        <v>27029</v>
      </c>
      <c r="V133" s="22">
        <v>24529</v>
      </c>
      <c r="W133" s="22">
        <v>22529</v>
      </c>
      <c r="X133" s="22">
        <v>29129</v>
      </c>
      <c r="Y133" s="22">
        <v>22529</v>
      </c>
      <c r="Z133" s="22">
        <v>24529</v>
      </c>
      <c r="AA133" s="22">
        <v>27029</v>
      </c>
      <c r="AB133" s="24">
        <v>94000</v>
      </c>
      <c r="AC133" s="24">
        <v>93000</v>
      </c>
      <c r="AD133" s="24">
        <v>91000</v>
      </c>
      <c r="AE133" s="24">
        <v>90000</v>
      </c>
      <c r="AF133" s="24">
        <v>90000</v>
      </c>
      <c r="AG133" s="24">
        <v>91000</v>
      </c>
      <c r="AH133" s="24">
        <v>89000</v>
      </c>
      <c r="AI133" s="24">
        <v>87500</v>
      </c>
      <c r="AJ133" s="25">
        <v>2.8</v>
      </c>
      <c r="AK133" s="25">
        <v>7.5</v>
      </c>
    </row>
    <row r="134" spans="1:100" x14ac:dyDescent="0.25">
      <c r="A134" t="s">
        <v>261</v>
      </c>
      <c r="B134" t="s">
        <v>262</v>
      </c>
      <c r="C134">
        <v>116206152</v>
      </c>
      <c r="D134" t="str">
        <f t="shared" si="117"/>
        <v>Gujbawu, Abdulrahman Baba-116206152</v>
      </c>
      <c r="E134" s="22">
        <v>4</v>
      </c>
      <c r="F134" s="22">
        <v>3</v>
      </c>
      <c r="G134" s="22">
        <v>15</v>
      </c>
      <c r="H134" s="22">
        <v>1105534</v>
      </c>
      <c r="I134" s="22">
        <v>6166957</v>
      </c>
      <c r="J134" s="22">
        <v>5069832</v>
      </c>
      <c r="K134" s="22">
        <v>1250481</v>
      </c>
      <c r="L134" s="22">
        <v>100000</v>
      </c>
      <c r="M134" s="22">
        <v>109700</v>
      </c>
      <c r="N134" s="22">
        <v>117800</v>
      </c>
      <c r="O134" s="22">
        <v>126100</v>
      </c>
      <c r="P134" s="22">
        <v>109700</v>
      </c>
      <c r="Q134" s="22">
        <v>117800</v>
      </c>
      <c r="R134" s="22">
        <v>126100</v>
      </c>
      <c r="S134" s="22">
        <v>100000</v>
      </c>
      <c r="T134" s="24">
        <v>24000</v>
      </c>
      <c r="U134" s="22">
        <v>26930</v>
      </c>
      <c r="V134" s="22">
        <v>24930</v>
      </c>
      <c r="W134" s="22">
        <v>22630</v>
      </c>
      <c r="X134" s="22">
        <v>26930</v>
      </c>
      <c r="Y134" s="22">
        <v>24930</v>
      </c>
      <c r="Z134" s="22">
        <v>22630</v>
      </c>
      <c r="AA134" s="22">
        <v>29130</v>
      </c>
      <c r="AB134" s="24">
        <v>94000</v>
      </c>
      <c r="AC134" s="24">
        <v>97000</v>
      </c>
      <c r="AD134" s="24">
        <v>99000</v>
      </c>
      <c r="AE134" s="24">
        <v>101000</v>
      </c>
      <c r="AF134" s="24">
        <v>91500</v>
      </c>
      <c r="AG134" s="24">
        <v>93500</v>
      </c>
      <c r="AH134" s="24">
        <v>96000</v>
      </c>
      <c r="AI134" s="24">
        <v>99000</v>
      </c>
      <c r="AJ134" s="25">
        <v>3.9</v>
      </c>
      <c r="AK134" s="25">
        <v>6.9</v>
      </c>
    </row>
    <row r="135" spans="1:100" x14ac:dyDescent="0.25">
      <c r="A135" t="s">
        <v>263</v>
      </c>
      <c r="B135" t="s">
        <v>264</v>
      </c>
      <c r="C135">
        <v>115200085</v>
      </c>
      <c r="D135" t="str">
        <f t="shared" si="117"/>
        <v>Gül, Hanifi Enes-115200085</v>
      </c>
      <c r="E135" s="22">
        <v>5</v>
      </c>
      <c r="F135" s="22">
        <v>1</v>
      </c>
      <c r="G135" s="22">
        <v>8</v>
      </c>
      <c r="H135" s="22">
        <v>5628563</v>
      </c>
      <c r="I135" s="22">
        <v>1111101</v>
      </c>
      <c r="J135" s="22">
        <v>2382016</v>
      </c>
      <c r="K135" s="22">
        <v>922400</v>
      </c>
      <c r="L135" s="22">
        <v>100000</v>
      </c>
      <c r="M135" s="22">
        <v>108700</v>
      </c>
      <c r="N135" s="22">
        <v>117100</v>
      </c>
      <c r="O135" s="22">
        <v>125400</v>
      </c>
      <c r="P135" s="22">
        <v>100000</v>
      </c>
      <c r="Q135" s="22">
        <v>117100</v>
      </c>
      <c r="R135" s="22">
        <v>108700</v>
      </c>
      <c r="S135" s="22">
        <v>125400</v>
      </c>
      <c r="T135" s="24">
        <v>26000</v>
      </c>
      <c r="U135" s="22">
        <v>26731</v>
      </c>
      <c r="V135" s="22">
        <v>24231</v>
      </c>
      <c r="W135" s="22">
        <v>21731</v>
      </c>
      <c r="X135" s="22">
        <v>29131</v>
      </c>
      <c r="Y135" s="22">
        <v>24231</v>
      </c>
      <c r="Z135" s="22">
        <v>26731</v>
      </c>
      <c r="AA135" s="22">
        <v>21731</v>
      </c>
      <c r="AB135" s="24">
        <v>108000</v>
      </c>
      <c r="AC135" s="24">
        <v>112000</v>
      </c>
      <c r="AD135" s="24">
        <v>109000</v>
      </c>
      <c r="AE135" s="24">
        <v>111000</v>
      </c>
      <c r="AF135" s="24">
        <v>104500</v>
      </c>
      <c r="AG135" s="24">
        <v>108000</v>
      </c>
      <c r="AH135" s="24">
        <v>107500</v>
      </c>
      <c r="AI135" s="24">
        <v>109000</v>
      </c>
      <c r="AJ135" s="25">
        <v>3.4</v>
      </c>
      <c r="AK135" s="25">
        <v>9.8000000000000007</v>
      </c>
    </row>
    <row r="136" spans="1:100" x14ac:dyDescent="0.25">
      <c r="A136" t="s">
        <v>263</v>
      </c>
      <c r="B136" t="s">
        <v>168</v>
      </c>
      <c r="C136">
        <v>116203078</v>
      </c>
      <c r="D136" t="str">
        <f t="shared" si="117"/>
        <v>Gül, Şebnem-116203078</v>
      </c>
      <c r="E136" s="22">
        <v>5</v>
      </c>
      <c r="F136" s="22">
        <v>1</v>
      </c>
      <c r="G136" s="22">
        <v>8</v>
      </c>
      <c r="H136" s="22">
        <v>6872413</v>
      </c>
      <c r="I136" s="22">
        <v>5821374</v>
      </c>
      <c r="J136" s="22">
        <v>4610784</v>
      </c>
      <c r="K136" s="22">
        <v>2462050</v>
      </c>
      <c r="L136" s="22">
        <v>100000</v>
      </c>
      <c r="M136" s="22">
        <v>109800</v>
      </c>
      <c r="N136" s="22">
        <v>119300</v>
      </c>
      <c r="O136" s="22">
        <v>128300</v>
      </c>
      <c r="P136" s="22">
        <v>100000</v>
      </c>
      <c r="Q136" s="22">
        <v>109800</v>
      </c>
      <c r="R136" s="22">
        <v>119300</v>
      </c>
      <c r="S136" s="22">
        <v>128300</v>
      </c>
      <c r="T136" s="24">
        <v>26000</v>
      </c>
      <c r="U136" s="22">
        <v>26832</v>
      </c>
      <c r="V136" s="22">
        <v>24732</v>
      </c>
      <c r="W136" s="22">
        <v>22332</v>
      </c>
      <c r="X136" s="22">
        <v>29132</v>
      </c>
      <c r="Y136" s="22">
        <v>26832</v>
      </c>
      <c r="Z136" s="22">
        <v>24732</v>
      </c>
      <c r="AA136" s="22">
        <v>22332</v>
      </c>
      <c r="AB136" s="24">
        <v>105000</v>
      </c>
      <c r="AC136" s="24">
        <v>109000</v>
      </c>
      <c r="AD136" s="24">
        <v>107000</v>
      </c>
      <c r="AE136" s="24">
        <v>108000</v>
      </c>
      <c r="AF136" s="24">
        <v>102000</v>
      </c>
      <c r="AG136" s="24">
        <v>105500</v>
      </c>
      <c r="AH136" s="24">
        <v>104500</v>
      </c>
      <c r="AI136" s="24">
        <v>106500</v>
      </c>
      <c r="AJ136" s="25">
        <v>3.3</v>
      </c>
      <c r="AK136" s="25">
        <v>9.4</v>
      </c>
    </row>
    <row r="137" spans="1:100" x14ac:dyDescent="0.25">
      <c r="A137" t="s">
        <v>263</v>
      </c>
      <c r="B137" t="s">
        <v>265</v>
      </c>
      <c r="C137">
        <v>114206019</v>
      </c>
      <c r="D137" t="str">
        <f t="shared" si="117"/>
        <v>Gül, Yavuz Osman-114206019</v>
      </c>
      <c r="E137" s="22">
        <v>7</v>
      </c>
      <c r="F137" s="22">
        <v>3</v>
      </c>
      <c r="G137" s="22">
        <v>15</v>
      </c>
      <c r="H137" s="22">
        <v>9208454</v>
      </c>
      <c r="I137" s="22">
        <v>1567933</v>
      </c>
      <c r="J137" s="22">
        <v>8243555</v>
      </c>
      <c r="K137" s="22">
        <v>5405301</v>
      </c>
      <c r="L137" s="22">
        <v>100000</v>
      </c>
      <c r="M137" s="22">
        <v>109600</v>
      </c>
      <c r="N137" s="22">
        <v>118000</v>
      </c>
      <c r="O137" s="22">
        <v>127300</v>
      </c>
      <c r="P137" s="22">
        <v>100000</v>
      </c>
      <c r="Q137" s="22">
        <v>118000</v>
      </c>
      <c r="R137" s="22">
        <v>127300</v>
      </c>
      <c r="S137" s="22">
        <v>109600</v>
      </c>
      <c r="T137" s="24">
        <v>28000</v>
      </c>
      <c r="U137" s="22">
        <v>26733</v>
      </c>
      <c r="V137" s="22">
        <v>24633</v>
      </c>
      <c r="W137" s="22">
        <v>22633</v>
      </c>
      <c r="X137" s="22">
        <v>29133</v>
      </c>
      <c r="Y137" s="22">
        <v>24633</v>
      </c>
      <c r="Z137" s="22">
        <v>22633</v>
      </c>
      <c r="AA137" s="22">
        <v>26733</v>
      </c>
      <c r="AB137" s="24">
        <v>97000</v>
      </c>
      <c r="AC137" s="24">
        <v>99000</v>
      </c>
      <c r="AD137" s="24">
        <v>102000</v>
      </c>
      <c r="AE137" s="24">
        <v>105000</v>
      </c>
      <c r="AF137" s="24">
        <v>95000</v>
      </c>
      <c r="AG137" s="24">
        <v>95000</v>
      </c>
      <c r="AH137" s="24">
        <v>98000</v>
      </c>
      <c r="AI137" s="24">
        <v>102000</v>
      </c>
      <c r="AJ137" s="25">
        <v>4.0999999999999996</v>
      </c>
      <c r="AK137" s="25">
        <v>8</v>
      </c>
    </row>
    <row r="138" spans="1:100" x14ac:dyDescent="0.25">
      <c r="A138" t="s">
        <v>266</v>
      </c>
      <c r="B138" t="s">
        <v>267</v>
      </c>
      <c r="C138">
        <v>115203076</v>
      </c>
      <c r="D138" t="str">
        <f t="shared" si="117"/>
        <v>Gülcan, Yiğit Aliosman-115203076</v>
      </c>
      <c r="E138" s="22">
        <v>7</v>
      </c>
      <c r="F138" s="22">
        <v>2</v>
      </c>
      <c r="G138" s="22">
        <v>10</v>
      </c>
      <c r="H138" s="22">
        <v>2588226</v>
      </c>
      <c r="I138" s="22">
        <v>3402038</v>
      </c>
      <c r="J138" s="22">
        <v>9313748</v>
      </c>
      <c r="K138" s="22">
        <v>6986397</v>
      </c>
      <c r="L138" s="22">
        <v>100000</v>
      </c>
      <c r="M138" s="22">
        <v>108000</v>
      </c>
      <c r="N138" s="22">
        <v>116000</v>
      </c>
      <c r="O138" s="22">
        <v>125300</v>
      </c>
      <c r="P138" s="22">
        <v>116000</v>
      </c>
      <c r="Q138" s="22">
        <v>125300</v>
      </c>
      <c r="R138" s="22">
        <v>108000</v>
      </c>
      <c r="S138" s="22">
        <v>100000</v>
      </c>
      <c r="T138" s="24">
        <v>25000</v>
      </c>
      <c r="U138" s="22">
        <v>26634</v>
      </c>
      <c r="V138" s="22">
        <v>24534</v>
      </c>
      <c r="W138" s="22">
        <v>22534</v>
      </c>
      <c r="X138" s="22">
        <v>24534</v>
      </c>
      <c r="Y138" s="22">
        <v>22534</v>
      </c>
      <c r="Z138" s="22">
        <v>26634</v>
      </c>
      <c r="AA138" s="22">
        <v>29134</v>
      </c>
      <c r="AB138" s="24">
        <v>94000</v>
      </c>
      <c r="AC138" s="24">
        <v>98000</v>
      </c>
      <c r="AD138" s="24">
        <v>98000</v>
      </c>
      <c r="AE138" s="24">
        <v>97000</v>
      </c>
      <c r="AF138" s="24">
        <v>92000</v>
      </c>
      <c r="AG138" s="24">
        <v>96500</v>
      </c>
      <c r="AH138" s="24">
        <v>96000</v>
      </c>
      <c r="AI138" s="24">
        <v>93000</v>
      </c>
      <c r="AJ138" s="25">
        <v>4</v>
      </c>
      <c r="AK138" s="25">
        <v>8.5</v>
      </c>
    </row>
    <row r="139" spans="1:100" x14ac:dyDescent="0.25">
      <c r="A139" t="s">
        <v>268</v>
      </c>
      <c r="B139" t="s">
        <v>269</v>
      </c>
      <c r="C139">
        <v>113203019</v>
      </c>
      <c r="D139" t="str">
        <f t="shared" si="117"/>
        <v>Güldoğan, Tuğman Turgut-113203019</v>
      </c>
      <c r="E139" s="22">
        <v>6</v>
      </c>
      <c r="F139" s="22">
        <v>2</v>
      </c>
      <c r="G139" s="22">
        <v>10</v>
      </c>
      <c r="H139" s="22">
        <v>5411457</v>
      </c>
      <c r="I139" s="22">
        <v>2556649</v>
      </c>
      <c r="J139" s="22">
        <v>7305821</v>
      </c>
      <c r="K139" s="22">
        <v>1782393</v>
      </c>
      <c r="L139" s="22">
        <v>100000</v>
      </c>
      <c r="M139" s="22">
        <v>108300</v>
      </c>
      <c r="N139" s="22">
        <v>117700</v>
      </c>
      <c r="O139" s="22">
        <v>127200</v>
      </c>
      <c r="P139" s="22">
        <v>117700</v>
      </c>
      <c r="Q139" s="22">
        <v>100000</v>
      </c>
      <c r="R139" s="22">
        <v>108300</v>
      </c>
      <c r="S139" s="22">
        <v>127200</v>
      </c>
      <c r="T139" s="24">
        <v>28000</v>
      </c>
      <c r="U139" s="22">
        <v>26835</v>
      </c>
      <c r="V139" s="22">
        <v>24435</v>
      </c>
      <c r="W139" s="22">
        <v>22035</v>
      </c>
      <c r="X139" s="22">
        <v>24435</v>
      </c>
      <c r="Y139" s="22">
        <v>29135</v>
      </c>
      <c r="Z139" s="22">
        <v>26835</v>
      </c>
      <c r="AA139" s="22">
        <v>22035</v>
      </c>
      <c r="AB139" s="24">
        <v>113000</v>
      </c>
      <c r="AC139" s="24">
        <v>114000</v>
      </c>
      <c r="AD139" s="24">
        <v>116000</v>
      </c>
      <c r="AE139" s="24">
        <v>119000</v>
      </c>
      <c r="AF139" s="24">
        <v>109000</v>
      </c>
      <c r="AG139" s="24">
        <v>111000</v>
      </c>
      <c r="AH139" s="24">
        <v>112500</v>
      </c>
      <c r="AI139" s="24">
        <v>115000</v>
      </c>
      <c r="AJ139" s="25">
        <v>2.9</v>
      </c>
      <c r="AK139" s="25">
        <v>9.8000000000000007</v>
      </c>
    </row>
    <row r="140" spans="1:100" x14ac:dyDescent="0.25">
      <c r="A140" t="s">
        <v>270</v>
      </c>
      <c r="B140" t="s">
        <v>51</v>
      </c>
      <c r="C140">
        <v>114204032</v>
      </c>
      <c r="D140" t="str">
        <f t="shared" si="117"/>
        <v>Gülen, Berk-114204032</v>
      </c>
      <c r="E140" s="22">
        <v>7</v>
      </c>
      <c r="F140" s="22">
        <v>3</v>
      </c>
      <c r="G140" s="22">
        <v>15</v>
      </c>
      <c r="H140" s="22">
        <v>8154057</v>
      </c>
      <c r="I140" s="22">
        <v>3553147</v>
      </c>
      <c r="J140" s="22">
        <v>3569865</v>
      </c>
      <c r="K140" s="22">
        <v>7405172</v>
      </c>
      <c r="L140" s="22">
        <v>100000</v>
      </c>
      <c r="M140" s="22">
        <v>109100</v>
      </c>
      <c r="N140" s="22">
        <v>118400</v>
      </c>
      <c r="O140" s="22">
        <v>127100</v>
      </c>
      <c r="P140" s="22">
        <v>100000</v>
      </c>
      <c r="Q140" s="22">
        <v>127100</v>
      </c>
      <c r="R140" s="22">
        <v>118400</v>
      </c>
      <c r="S140" s="22">
        <v>109100</v>
      </c>
      <c r="T140" s="24">
        <v>26000</v>
      </c>
      <c r="U140" s="22">
        <v>27136</v>
      </c>
      <c r="V140" s="22">
        <v>24836</v>
      </c>
      <c r="W140" s="22">
        <v>22836</v>
      </c>
      <c r="X140" s="22">
        <v>29136</v>
      </c>
      <c r="Y140" s="22">
        <v>22836</v>
      </c>
      <c r="Z140" s="22">
        <v>24836</v>
      </c>
      <c r="AA140" s="22">
        <v>27136</v>
      </c>
      <c r="AB140" s="24">
        <v>105000</v>
      </c>
      <c r="AC140" s="24">
        <v>102000</v>
      </c>
      <c r="AD140" s="24">
        <v>100000</v>
      </c>
      <c r="AE140" s="24">
        <v>104000</v>
      </c>
      <c r="AF140" s="24">
        <v>101500</v>
      </c>
      <c r="AG140" s="24">
        <v>100000</v>
      </c>
      <c r="AH140" s="24">
        <v>97500</v>
      </c>
      <c r="AI140" s="24">
        <v>101000</v>
      </c>
      <c r="AJ140" s="25">
        <v>3.1</v>
      </c>
      <c r="AK140" s="25">
        <v>6.8</v>
      </c>
    </row>
    <row r="141" spans="1:100" x14ac:dyDescent="0.25">
      <c r="A141" t="s">
        <v>271</v>
      </c>
      <c r="B141" t="s">
        <v>272</v>
      </c>
      <c r="C141">
        <v>115200065</v>
      </c>
      <c r="D141" t="str">
        <f t="shared" si="117"/>
        <v>Gürel, Alaeddin Selçuk-115200065</v>
      </c>
      <c r="E141" s="22">
        <v>6</v>
      </c>
      <c r="F141" s="22">
        <v>3</v>
      </c>
      <c r="G141" s="22">
        <v>15</v>
      </c>
      <c r="H141" s="22">
        <v>7777481</v>
      </c>
      <c r="I141" s="22">
        <v>6804815</v>
      </c>
      <c r="J141" s="22">
        <v>5003007</v>
      </c>
      <c r="K141" s="22">
        <v>8605682</v>
      </c>
      <c r="L141" s="22">
        <v>100000</v>
      </c>
      <c r="M141" s="22">
        <v>108000</v>
      </c>
      <c r="N141" s="22">
        <v>116800</v>
      </c>
      <c r="O141" s="22">
        <v>126400</v>
      </c>
      <c r="P141" s="22">
        <v>126400</v>
      </c>
      <c r="Q141" s="22">
        <v>100000</v>
      </c>
      <c r="R141" s="22">
        <v>108000</v>
      </c>
      <c r="S141" s="22">
        <v>116800</v>
      </c>
      <c r="T141" s="24">
        <v>25000</v>
      </c>
      <c r="U141" s="22">
        <v>27137</v>
      </c>
      <c r="V141" s="22">
        <v>24737</v>
      </c>
      <c r="W141" s="22">
        <v>22537</v>
      </c>
      <c r="X141" s="22">
        <v>22537</v>
      </c>
      <c r="Y141" s="22">
        <v>29137</v>
      </c>
      <c r="Z141" s="22">
        <v>27137</v>
      </c>
      <c r="AA141" s="22">
        <v>24737</v>
      </c>
      <c r="AB141" s="24">
        <v>118000</v>
      </c>
      <c r="AC141" s="24">
        <v>120000</v>
      </c>
      <c r="AD141" s="24">
        <v>119000</v>
      </c>
      <c r="AE141" s="24">
        <v>119000</v>
      </c>
      <c r="AF141" s="24">
        <v>114500</v>
      </c>
      <c r="AG141" s="24">
        <v>117000</v>
      </c>
      <c r="AH141" s="24">
        <v>117500</v>
      </c>
      <c r="AI141" s="24">
        <v>117000</v>
      </c>
      <c r="AJ141" s="25">
        <v>4.0999999999999996</v>
      </c>
      <c r="AK141" s="25">
        <v>7</v>
      </c>
    </row>
    <row r="142" spans="1:100" x14ac:dyDescent="0.25">
      <c r="A142" t="s">
        <v>273</v>
      </c>
      <c r="B142" t="s">
        <v>274</v>
      </c>
      <c r="C142">
        <v>115207039</v>
      </c>
      <c r="D142" t="str">
        <f t="shared" si="117"/>
        <v>Güven, Demirhan Şerif-115207039</v>
      </c>
      <c r="E142" s="22">
        <v>4</v>
      </c>
      <c r="F142" s="22">
        <v>1</v>
      </c>
      <c r="G142" s="22">
        <v>8</v>
      </c>
      <c r="H142" s="22">
        <v>2972139</v>
      </c>
      <c r="I142" s="22">
        <v>7405665</v>
      </c>
      <c r="J142" s="22">
        <v>6996691</v>
      </c>
      <c r="K142" s="22">
        <v>1361266</v>
      </c>
      <c r="L142" s="22">
        <v>100000</v>
      </c>
      <c r="M142" s="22">
        <v>108000</v>
      </c>
      <c r="N142" s="22">
        <v>117600</v>
      </c>
      <c r="O142" s="22">
        <v>125600</v>
      </c>
      <c r="P142" s="22">
        <v>108000</v>
      </c>
      <c r="Q142" s="22">
        <v>117600</v>
      </c>
      <c r="R142" s="22">
        <v>100000</v>
      </c>
      <c r="S142" s="22">
        <v>125600</v>
      </c>
      <c r="T142" s="24">
        <v>25000</v>
      </c>
      <c r="U142" s="22">
        <v>26738</v>
      </c>
      <c r="V142" s="22">
        <v>24538</v>
      </c>
      <c r="W142" s="22">
        <v>22338</v>
      </c>
      <c r="X142" s="22">
        <v>26738</v>
      </c>
      <c r="Y142" s="22">
        <v>24538</v>
      </c>
      <c r="Z142" s="22">
        <v>29138</v>
      </c>
      <c r="AA142" s="22">
        <v>22338</v>
      </c>
      <c r="AB142" s="24">
        <v>105000</v>
      </c>
      <c r="AC142" s="24">
        <v>106000</v>
      </c>
      <c r="AD142" s="24">
        <v>106000</v>
      </c>
      <c r="AE142" s="24">
        <v>109000</v>
      </c>
      <c r="AF142" s="24">
        <v>102000</v>
      </c>
      <c r="AG142" s="24">
        <v>103000</v>
      </c>
      <c r="AH142" s="24">
        <v>103500</v>
      </c>
      <c r="AI142" s="24">
        <v>107000</v>
      </c>
      <c r="AJ142" s="25">
        <v>3</v>
      </c>
      <c r="AK142" s="25">
        <v>9</v>
      </c>
    </row>
    <row r="143" spans="1:100" x14ac:dyDescent="0.25">
      <c r="A143" t="s">
        <v>275</v>
      </c>
      <c r="B143" t="s">
        <v>276</v>
      </c>
      <c r="C143">
        <v>114201057</v>
      </c>
      <c r="D143" t="str">
        <f t="shared" si="117"/>
        <v>Hacılar, Nesli-114201057</v>
      </c>
      <c r="E143" s="22">
        <v>7</v>
      </c>
      <c r="F143" s="22">
        <v>3</v>
      </c>
      <c r="G143" s="22">
        <v>15</v>
      </c>
      <c r="H143" s="22">
        <v>3486986</v>
      </c>
      <c r="I143" s="22">
        <v>7935715</v>
      </c>
      <c r="J143" s="22">
        <v>9111987</v>
      </c>
      <c r="K143" s="22">
        <v>8021108</v>
      </c>
      <c r="L143" s="22">
        <v>100000</v>
      </c>
      <c r="M143" s="22">
        <v>109800</v>
      </c>
      <c r="N143" s="22">
        <v>118300</v>
      </c>
      <c r="O143" s="22">
        <v>126500</v>
      </c>
      <c r="P143" s="22">
        <v>118300</v>
      </c>
      <c r="Q143" s="22">
        <v>126500</v>
      </c>
      <c r="R143" s="22">
        <v>109800</v>
      </c>
      <c r="S143" s="22">
        <v>100000</v>
      </c>
      <c r="T143" s="24">
        <v>24000</v>
      </c>
      <c r="U143" s="22">
        <v>26639</v>
      </c>
      <c r="V143" s="22">
        <v>24439</v>
      </c>
      <c r="W143" s="22">
        <v>21939</v>
      </c>
      <c r="X143" s="22">
        <v>24439</v>
      </c>
      <c r="Y143" s="22">
        <v>21939</v>
      </c>
      <c r="Z143" s="22">
        <v>26639</v>
      </c>
      <c r="AA143" s="22">
        <v>29139</v>
      </c>
      <c r="AB143" s="24">
        <v>117000</v>
      </c>
      <c r="AC143" s="24">
        <v>120000</v>
      </c>
      <c r="AD143" s="24">
        <v>123000</v>
      </c>
      <c r="AE143" s="24">
        <v>127000</v>
      </c>
      <c r="AF143" s="24">
        <v>115000</v>
      </c>
      <c r="AG143" s="24">
        <v>118000</v>
      </c>
      <c r="AH143" s="24">
        <v>120500</v>
      </c>
      <c r="AI143" s="24">
        <v>123000</v>
      </c>
      <c r="AJ143" s="25">
        <v>4.8</v>
      </c>
      <c r="AK143" s="25">
        <v>9.6</v>
      </c>
    </row>
    <row r="144" spans="1:100" x14ac:dyDescent="0.25">
      <c r="A144" t="s">
        <v>277</v>
      </c>
      <c r="B144" t="s">
        <v>278</v>
      </c>
      <c r="C144">
        <v>115201078</v>
      </c>
      <c r="D144" t="str">
        <f t="shared" si="117"/>
        <v>Hajjar, Haya-115201078</v>
      </c>
      <c r="E144" s="22">
        <v>5</v>
      </c>
      <c r="F144" s="22">
        <v>3</v>
      </c>
      <c r="G144" s="22">
        <v>15</v>
      </c>
      <c r="H144" s="22">
        <v>200120</v>
      </c>
      <c r="I144" s="22">
        <v>3449563</v>
      </c>
      <c r="J144" s="22">
        <v>971109</v>
      </c>
      <c r="K144" s="22">
        <v>1931270</v>
      </c>
      <c r="L144" s="22">
        <v>100000</v>
      </c>
      <c r="M144" s="22">
        <v>109400</v>
      </c>
      <c r="N144" s="22">
        <v>119200</v>
      </c>
      <c r="O144" s="22">
        <v>127600</v>
      </c>
      <c r="P144" s="22">
        <v>109400</v>
      </c>
      <c r="Q144" s="22">
        <v>127600</v>
      </c>
      <c r="R144" s="22">
        <v>119200</v>
      </c>
      <c r="S144" s="22">
        <v>100000</v>
      </c>
      <c r="T144" s="24">
        <v>29000</v>
      </c>
      <c r="U144" s="22">
        <v>26740</v>
      </c>
      <c r="V144" s="22">
        <v>24740</v>
      </c>
      <c r="W144" s="22">
        <v>22440</v>
      </c>
      <c r="X144" s="22">
        <v>26740</v>
      </c>
      <c r="Y144" s="22">
        <v>22440</v>
      </c>
      <c r="Z144" s="22">
        <v>24740</v>
      </c>
      <c r="AA144" s="22">
        <v>29140</v>
      </c>
      <c r="AB144" s="24">
        <v>98000</v>
      </c>
      <c r="AC144" s="24">
        <v>102000</v>
      </c>
      <c r="AD144" s="24">
        <v>102000</v>
      </c>
      <c r="AE144" s="24">
        <v>99000</v>
      </c>
      <c r="AF144" s="24">
        <v>94500</v>
      </c>
      <c r="AG144" s="24">
        <v>100000</v>
      </c>
      <c r="AH144" s="24">
        <v>98500</v>
      </c>
      <c r="AI144" s="24">
        <v>95500</v>
      </c>
      <c r="AJ144" s="25">
        <v>4.7</v>
      </c>
      <c r="AK144" s="25">
        <v>9</v>
      </c>
    </row>
    <row r="145" spans="1:37" x14ac:dyDescent="0.25">
      <c r="A145" t="s">
        <v>279</v>
      </c>
      <c r="B145" t="s">
        <v>280</v>
      </c>
      <c r="C145">
        <v>113204009</v>
      </c>
      <c r="D145" t="str">
        <f t="shared" si="117"/>
        <v>Hoşduran, Bedirhan-113204009</v>
      </c>
      <c r="E145" s="22">
        <v>5</v>
      </c>
      <c r="F145" s="22">
        <v>3</v>
      </c>
      <c r="G145" s="22">
        <v>15</v>
      </c>
      <c r="H145" s="22">
        <v>4994301</v>
      </c>
      <c r="I145" s="22">
        <v>2793364</v>
      </c>
      <c r="J145" s="22">
        <v>4030866</v>
      </c>
      <c r="K145" s="22">
        <v>9217813</v>
      </c>
      <c r="L145" s="22">
        <v>100000</v>
      </c>
      <c r="M145" s="22">
        <v>108700</v>
      </c>
      <c r="N145" s="22">
        <v>118600</v>
      </c>
      <c r="O145" s="22">
        <v>127700</v>
      </c>
      <c r="P145" s="22">
        <v>127700</v>
      </c>
      <c r="Q145" s="22">
        <v>100000</v>
      </c>
      <c r="R145" s="22">
        <v>118600</v>
      </c>
      <c r="S145" s="22">
        <v>108700</v>
      </c>
      <c r="T145" s="24">
        <v>23000</v>
      </c>
      <c r="U145" s="22">
        <v>27141</v>
      </c>
      <c r="V145" s="22">
        <v>24741</v>
      </c>
      <c r="W145" s="22">
        <v>22541</v>
      </c>
      <c r="X145" s="22">
        <v>22541</v>
      </c>
      <c r="Y145" s="22">
        <v>29141</v>
      </c>
      <c r="Z145" s="22">
        <v>24741</v>
      </c>
      <c r="AA145" s="22">
        <v>27141</v>
      </c>
      <c r="AB145" s="24">
        <v>99000</v>
      </c>
      <c r="AC145" s="24">
        <v>103000</v>
      </c>
      <c r="AD145" s="24">
        <v>102000</v>
      </c>
      <c r="AE145" s="24">
        <v>105000</v>
      </c>
      <c r="AF145" s="24">
        <v>95500</v>
      </c>
      <c r="AG145" s="24">
        <v>101000</v>
      </c>
      <c r="AH145" s="24">
        <v>100000</v>
      </c>
      <c r="AI145" s="24">
        <v>102000</v>
      </c>
      <c r="AJ145" s="25">
        <v>2.8</v>
      </c>
      <c r="AK145" s="25">
        <v>9.6</v>
      </c>
    </row>
    <row r="146" spans="1:37" x14ac:dyDescent="0.25">
      <c r="A146" t="s">
        <v>281</v>
      </c>
      <c r="B146" t="s">
        <v>282</v>
      </c>
      <c r="C146">
        <v>116201156</v>
      </c>
      <c r="D146" t="str">
        <f t="shared" si="117"/>
        <v>İnan, Esra-116201156</v>
      </c>
      <c r="E146" s="22">
        <v>6</v>
      </c>
      <c r="F146" s="22">
        <v>2</v>
      </c>
      <c r="G146" s="22">
        <v>10</v>
      </c>
      <c r="H146" s="22">
        <v>5144526</v>
      </c>
      <c r="I146" s="22">
        <v>5237053</v>
      </c>
      <c r="J146" s="22">
        <v>6319757</v>
      </c>
      <c r="K146" s="22">
        <v>8678967</v>
      </c>
      <c r="L146" s="22">
        <v>100000</v>
      </c>
      <c r="M146" s="22">
        <v>109800</v>
      </c>
      <c r="N146" s="22">
        <v>119400</v>
      </c>
      <c r="O146" s="22">
        <v>129000</v>
      </c>
      <c r="P146" s="22">
        <v>129000</v>
      </c>
      <c r="Q146" s="22">
        <v>119400</v>
      </c>
      <c r="R146" s="22">
        <v>109800</v>
      </c>
      <c r="S146" s="22">
        <v>100000</v>
      </c>
      <c r="T146" s="24">
        <v>28000</v>
      </c>
      <c r="U146" s="22">
        <v>26942</v>
      </c>
      <c r="V146" s="22">
        <v>24442</v>
      </c>
      <c r="W146" s="22">
        <v>22042</v>
      </c>
      <c r="X146" s="22">
        <v>22042</v>
      </c>
      <c r="Y146" s="22">
        <v>24442</v>
      </c>
      <c r="Z146" s="22">
        <v>26942</v>
      </c>
      <c r="AA146" s="22">
        <v>29142</v>
      </c>
      <c r="AB146" s="24">
        <v>109000</v>
      </c>
      <c r="AC146" s="24">
        <v>108000</v>
      </c>
      <c r="AD146" s="24">
        <v>108000</v>
      </c>
      <c r="AE146" s="24">
        <v>107000</v>
      </c>
      <c r="AF146" s="24">
        <v>107500</v>
      </c>
      <c r="AG146" s="24">
        <v>105000</v>
      </c>
      <c r="AH146" s="24">
        <v>106000</v>
      </c>
      <c r="AI146" s="24">
        <v>104500</v>
      </c>
      <c r="AJ146" s="25">
        <v>4.4000000000000004</v>
      </c>
      <c r="AK146" s="25">
        <v>9.8000000000000007</v>
      </c>
    </row>
    <row r="147" spans="1:37" x14ac:dyDescent="0.25">
      <c r="A147" t="s">
        <v>283</v>
      </c>
      <c r="B147" t="s">
        <v>284</v>
      </c>
      <c r="C147">
        <v>116203149</v>
      </c>
      <c r="D147" t="str">
        <f t="shared" si="117"/>
        <v>Irk, Mert-116203149</v>
      </c>
      <c r="E147" s="22">
        <v>4</v>
      </c>
      <c r="F147" s="22">
        <v>3</v>
      </c>
      <c r="G147" s="22">
        <v>15</v>
      </c>
      <c r="H147" s="22">
        <v>3346044</v>
      </c>
      <c r="I147" s="22">
        <v>8288612</v>
      </c>
      <c r="J147" s="22">
        <v>3179845</v>
      </c>
      <c r="K147" s="22">
        <v>3378233</v>
      </c>
      <c r="L147" s="22">
        <v>100000</v>
      </c>
      <c r="M147" s="22">
        <v>108000</v>
      </c>
      <c r="N147" s="22">
        <v>116300</v>
      </c>
      <c r="O147" s="22">
        <v>125500</v>
      </c>
      <c r="P147" s="22">
        <v>108000</v>
      </c>
      <c r="Q147" s="22">
        <v>125500</v>
      </c>
      <c r="R147" s="22">
        <v>100000</v>
      </c>
      <c r="S147" s="22">
        <v>116300</v>
      </c>
      <c r="T147" s="24">
        <v>26000</v>
      </c>
      <c r="U147" s="22">
        <v>27043</v>
      </c>
      <c r="V147" s="22">
        <v>24743</v>
      </c>
      <c r="W147" s="22">
        <v>22743</v>
      </c>
      <c r="X147" s="22">
        <v>27043</v>
      </c>
      <c r="Y147" s="22">
        <v>22743</v>
      </c>
      <c r="Z147" s="22">
        <v>29143</v>
      </c>
      <c r="AA147" s="22">
        <v>24743</v>
      </c>
      <c r="AB147" s="24">
        <v>120000</v>
      </c>
      <c r="AC147" s="24">
        <v>119000</v>
      </c>
      <c r="AD147" s="24">
        <v>122000</v>
      </c>
      <c r="AE147" s="24">
        <v>119000</v>
      </c>
      <c r="AF147" s="24">
        <v>116500</v>
      </c>
      <c r="AG147" s="24">
        <v>117500</v>
      </c>
      <c r="AH147" s="24">
        <v>120000</v>
      </c>
      <c r="AI147" s="24">
        <v>116500</v>
      </c>
      <c r="AJ147" s="25">
        <v>2.8</v>
      </c>
      <c r="AK147" s="25">
        <v>9</v>
      </c>
    </row>
    <row r="148" spans="1:37" x14ac:dyDescent="0.25">
      <c r="A148" t="s">
        <v>285</v>
      </c>
      <c r="B148" t="s">
        <v>286</v>
      </c>
      <c r="C148">
        <v>114204007</v>
      </c>
      <c r="D148" t="str">
        <f t="shared" si="117"/>
        <v>Işık, Tuğba Nur-114204007</v>
      </c>
      <c r="E148" s="22">
        <v>6</v>
      </c>
      <c r="F148" s="22">
        <v>2</v>
      </c>
      <c r="G148" s="22">
        <v>10</v>
      </c>
      <c r="H148" s="22">
        <v>4201067</v>
      </c>
      <c r="I148" s="22">
        <v>1057604</v>
      </c>
      <c r="J148" s="22">
        <v>2048381</v>
      </c>
      <c r="K148" s="22">
        <v>2077712</v>
      </c>
      <c r="L148" s="22">
        <v>100000</v>
      </c>
      <c r="M148" s="22">
        <v>108500</v>
      </c>
      <c r="N148" s="22">
        <v>117200</v>
      </c>
      <c r="O148" s="22">
        <v>126100</v>
      </c>
      <c r="P148" s="22">
        <v>100000</v>
      </c>
      <c r="Q148" s="22">
        <v>126100</v>
      </c>
      <c r="R148" s="22">
        <v>117200</v>
      </c>
      <c r="S148" s="22">
        <v>108500</v>
      </c>
      <c r="T148" s="24">
        <v>27000</v>
      </c>
      <c r="U148" s="22">
        <v>26644</v>
      </c>
      <c r="V148" s="22">
        <v>24144</v>
      </c>
      <c r="W148" s="22">
        <v>21644</v>
      </c>
      <c r="X148" s="22">
        <v>29144</v>
      </c>
      <c r="Y148" s="22">
        <v>21644</v>
      </c>
      <c r="Z148" s="22">
        <v>24144</v>
      </c>
      <c r="AA148" s="22">
        <v>26644</v>
      </c>
      <c r="AB148" s="24">
        <v>90000</v>
      </c>
      <c r="AC148" s="24">
        <v>93000</v>
      </c>
      <c r="AD148" s="24">
        <v>94000</v>
      </c>
      <c r="AE148" s="24">
        <v>97000</v>
      </c>
      <c r="AF148" s="24">
        <v>86000</v>
      </c>
      <c r="AG148" s="24">
        <v>91000</v>
      </c>
      <c r="AH148" s="24">
        <v>91000</v>
      </c>
      <c r="AI148" s="24">
        <v>93500</v>
      </c>
      <c r="AJ148" s="25">
        <v>3.4</v>
      </c>
      <c r="AK148" s="25">
        <v>8.6</v>
      </c>
    </row>
    <row r="149" spans="1:37" x14ac:dyDescent="0.25">
      <c r="A149" t="s">
        <v>287</v>
      </c>
      <c r="B149" t="s">
        <v>288</v>
      </c>
      <c r="C149">
        <v>114200036</v>
      </c>
      <c r="D149" t="str">
        <f t="shared" si="117"/>
        <v>Işıklar, Bartu-114200036</v>
      </c>
      <c r="E149" s="22">
        <v>4</v>
      </c>
      <c r="F149" s="22">
        <v>1</v>
      </c>
      <c r="G149" s="22">
        <v>8</v>
      </c>
      <c r="H149" s="22">
        <v>8172513</v>
      </c>
      <c r="I149" s="22">
        <v>1112029</v>
      </c>
      <c r="J149" s="22">
        <v>277513</v>
      </c>
      <c r="K149" s="22">
        <v>3738778</v>
      </c>
      <c r="L149" s="22">
        <v>100000</v>
      </c>
      <c r="M149" s="22">
        <v>108500</v>
      </c>
      <c r="N149" s="22">
        <v>117600</v>
      </c>
      <c r="O149" s="22">
        <v>126500</v>
      </c>
      <c r="P149" s="22">
        <v>100000</v>
      </c>
      <c r="Q149" s="22">
        <v>126500</v>
      </c>
      <c r="R149" s="22">
        <v>108500</v>
      </c>
      <c r="S149" s="22">
        <v>117600</v>
      </c>
      <c r="T149" s="24">
        <v>27000</v>
      </c>
      <c r="U149" s="22">
        <v>26845</v>
      </c>
      <c r="V149" s="22">
        <v>24345</v>
      </c>
      <c r="W149" s="22">
        <v>22245</v>
      </c>
      <c r="X149" s="22">
        <v>29145</v>
      </c>
      <c r="Y149" s="22">
        <v>22245</v>
      </c>
      <c r="Z149" s="22">
        <v>26845</v>
      </c>
      <c r="AA149" s="22">
        <v>24345</v>
      </c>
      <c r="AB149" s="24">
        <v>106000</v>
      </c>
      <c r="AC149" s="24">
        <v>109000</v>
      </c>
      <c r="AD149" s="24">
        <v>107000</v>
      </c>
      <c r="AE149" s="24">
        <v>109000</v>
      </c>
      <c r="AF149" s="24">
        <v>103500</v>
      </c>
      <c r="AG149" s="24">
        <v>106500</v>
      </c>
      <c r="AH149" s="24">
        <v>104000</v>
      </c>
      <c r="AI149" s="24">
        <v>105000</v>
      </c>
      <c r="AJ149" s="25">
        <v>4.5</v>
      </c>
      <c r="AK149" s="25">
        <v>9.1</v>
      </c>
    </row>
    <row r="150" spans="1:37" x14ac:dyDescent="0.25">
      <c r="A150" t="s">
        <v>289</v>
      </c>
      <c r="B150" t="s">
        <v>290</v>
      </c>
      <c r="C150">
        <v>116203038</v>
      </c>
      <c r="D150" t="str">
        <f t="shared" si="117"/>
        <v>İskender, Selim-116203038</v>
      </c>
      <c r="E150" s="22">
        <v>5</v>
      </c>
      <c r="F150" s="22">
        <v>1</v>
      </c>
      <c r="G150" s="22">
        <v>8</v>
      </c>
      <c r="H150" s="22">
        <v>1616571</v>
      </c>
      <c r="I150" s="22">
        <v>838976</v>
      </c>
      <c r="J150" s="22">
        <v>7324207</v>
      </c>
      <c r="K150" s="22">
        <v>2448894</v>
      </c>
      <c r="L150" s="22">
        <v>100000</v>
      </c>
      <c r="M150" s="22">
        <v>109400</v>
      </c>
      <c r="N150" s="22">
        <v>118200</v>
      </c>
      <c r="O150" s="22">
        <v>127700</v>
      </c>
      <c r="P150" s="22">
        <v>118200</v>
      </c>
      <c r="Q150" s="22">
        <v>127700</v>
      </c>
      <c r="R150" s="22">
        <v>100000</v>
      </c>
      <c r="S150" s="22">
        <v>109400</v>
      </c>
      <c r="T150" s="24">
        <v>26000</v>
      </c>
      <c r="U150" s="22">
        <v>26946</v>
      </c>
      <c r="V150" s="22">
        <v>24846</v>
      </c>
      <c r="W150" s="22">
        <v>22646</v>
      </c>
      <c r="X150" s="22">
        <v>24846</v>
      </c>
      <c r="Y150" s="22">
        <v>22646</v>
      </c>
      <c r="Z150" s="22">
        <v>29146</v>
      </c>
      <c r="AA150" s="22">
        <v>26946</v>
      </c>
      <c r="AB150" s="24">
        <v>120000</v>
      </c>
      <c r="AC150" s="24">
        <v>120000</v>
      </c>
      <c r="AD150" s="24">
        <v>121000</v>
      </c>
      <c r="AE150" s="24">
        <v>118000</v>
      </c>
      <c r="AF150" s="24">
        <v>116000</v>
      </c>
      <c r="AG150" s="24">
        <v>117000</v>
      </c>
      <c r="AH150" s="24">
        <v>119500</v>
      </c>
      <c r="AI150" s="24">
        <v>114500</v>
      </c>
      <c r="AJ150" s="25">
        <v>4.2</v>
      </c>
      <c r="AK150" s="25">
        <v>9.5</v>
      </c>
    </row>
    <row r="151" spans="1:37" x14ac:dyDescent="0.25">
      <c r="A151" t="s">
        <v>291</v>
      </c>
      <c r="B151" t="s">
        <v>292</v>
      </c>
      <c r="C151">
        <v>114202107</v>
      </c>
      <c r="D151" t="str">
        <f t="shared" si="117"/>
        <v>Jubran, Mohamed Mansour O.-114202107</v>
      </c>
      <c r="E151" s="22">
        <v>6</v>
      </c>
      <c r="F151" s="22">
        <v>2</v>
      </c>
      <c r="G151" s="22">
        <v>10</v>
      </c>
      <c r="H151" s="22">
        <v>9344688</v>
      </c>
      <c r="I151" s="22">
        <v>1526196</v>
      </c>
      <c r="J151" s="22">
        <v>7367783</v>
      </c>
      <c r="K151" s="22">
        <v>7937944</v>
      </c>
      <c r="L151" s="22">
        <v>100000</v>
      </c>
      <c r="M151" s="22">
        <v>109900</v>
      </c>
      <c r="N151" s="22">
        <v>117900</v>
      </c>
      <c r="O151" s="22">
        <v>127100</v>
      </c>
      <c r="P151" s="22">
        <v>100000</v>
      </c>
      <c r="Q151" s="22">
        <v>127100</v>
      </c>
      <c r="R151" s="22">
        <v>117900</v>
      </c>
      <c r="S151" s="22">
        <v>109900</v>
      </c>
      <c r="T151" s="24">
        <v>26000</v>
      </c>
      <c r="U151" s="22">
        <v>27147</v>
      </c>
      <c r="V151" s="22">
        <v>24647</v>
      </c>
      <c r="W151" s="22">
        <v>22647</v>
      </c>
      <c r="X151" s="22">
        <v>29147</v>
      </c>
      <c r="Y151" s="22">
        <v>22647</v>
      </c>
      <c r="Z151" s="22">
        <v>24647</v>
      </c>
      <c r="AA151" s="22">
        <v>27147</v>
      </c>
      <c r="AB151" s="24">
        <v>94000</v>
      </c>
      <c r="AC151" s="24">
        <v>97000</v>
      </c>
      <c r="AD151" s="24">
        <v>98000</v>
      </c>
      <c r="AE151" s="24">
        <v>98000</v>
      </c>
      <c r="AF151" s="24">
        <v>90500</v>
      </c>
      <c r="AG151" s="24">
        <v>94000</v>
      </c>
      <c r="AH151" s="24">
        <v>94500</v>
      </c>
      <c r="AI151" s="24">
        <v>95000</v>
      </c>
      <c r="AJ151" s="25">
        <v>3.1</v>
      </c>
      <c r="AK151" s="25">
        <v>7.2</v>
      </c>
    </row>
    <row r="152" spans="1:37" x14ac:dyDescent="0.25">
      <c r="A152" t="s">
        <v>293</v>
      </c>
      <c r="B152" t="s">
        <v>294</v>
      </c>
      <c r="C152">
        <v>116203014</v>
      </c>
      <c r="D152" t="str">
        <f t="shared" si="117"/>
        <v>Kakaa, Rama-116203014</v>
      </c>
      <c r="E152" s="22">
        <v>4</v>
      </c>
      <c r="F152" s="22">
        <v>1</v>
      </c>
      <c r="G152" s="22">
        <v>8</v>
      </c>
      <c r="H152" s="22">
        <v>2757868</v>
      </c>
      <c r="I152" s="22">
        <v>6282969</v>
      </c>
      <c r="J152" s="22">
        <v>6496274</v>
      </c>
      <c r="K152" s="22">
        <v>3109205</v>
      </c>
      <c r="L152" s="22">
        <v>100000</v>
      </c>
      <c r="M152" s="22">
        <v>109300</v>
      </c>
      <c r="N152" s="22">
        <v>118100</v>
      </c>
      <c r="O152" s="22">
        <v>127800</v>
      </c>
      <c r="P152" s="22">
        <v>118100</v>
      </c>
      <c r="Q152" s="22">
        <v>109300</v>
      </c>
      <c r="R152" s="22">
        <v>127800</v>
      </c>
      <c r="S152" s="22">
        <v>100000</v>
      </c>
      <c r="T152" s="24">
        <v>29000</v>
      </c>
      <c r="U152" s="22">
        <v>26948</v>
      </c>
      <c r="V152" s="22">
        <v>24648</v>
      </c>
      <c r="W152" s="22">
        <v>22248</v>
      </c>
      <c r="X152" s="22">
        <v>24648</v>
      </c>
      <c r="Y152" s="22">
        <v>26948</v>
      </c>
      <c r="Z152" s="22">
        <v>22248</v>
      </c>
      <c r="AA152" s="22">
        <v>29148</v>
      </c>
      <c r="AB152" s="24">
        <v>90000</v>
      </c>
      <c r="AC152" s="24">
        <v>92000</v>
      </c>
      <c r="AD152" s="24">
        <v>95000</v>
      </c>
      <c r="AE152" s="24">
        <v>93000</v>
      </c>
      <c r="AF152" s="24">
        <v>86500</v>
      </c>
      <c r="AG152" s="24">
        <v>88500</v>
      </c>
      <c r="AH152" s="24">
        <v>91500</v>
      </c>
      <c r="AI152" s="24">
        <v>91500</v>
      </c>
      <c r="AJ152" s="25">
        <v>3.9</v>
      </c>
      <c r="AK152" s="25">
        <v>8.4</v>
      </c>
    </row>
    <row r="153" spans="1:37" x14ac:dyDescent="0.25">
      <c r="A153" t="s">
        <v>295</v>
      </c>
      <c r="B153" t="s">
        <v>296</v>
      </c>
      <c r="C153">
        <v>114203018</v>
      </c>
      <c r="D153" t="str">
        <f t="shared" si="117"/>
        <v>Kalaycı, Gizem-114203018</v>
      </c>
      <c r="E153" s="22">
        <v>6</v>
      </c>
      <c r="F153" s="22">
        <v>1</v>
      </c>
      <c r="G153" s="22">
        <v>8</v>
      </c>
      <c r="H153" s="22">
        <v>1051514</v>
      </c>
      <c r="I153" s="22">
        <v>8688037</v>
      </c>
      <c r="J153" s="22">
        <v>6482068</v>
      </c>
      <c r="K153" s="22">
        <v>1755359</v>
      </c>
      <c r="L153" s="22">
        <v>100000</v>
      </c>
      <c r="M153" s="22">
        <v>109000</v>
      </c>
      <c r="N153" s="22">
        <v>117500</v>
      </c>
      <c r="O153" s="22">
        <v>127300</v>
      </c>
      <c r="P153" s="22">
        <v>109000</v>
      </c>
      <c r="Q153" s="22">
        <v>117500</v>
      </c>
      <c r="R153" s="22">
        <v>127300</v>
      </c>
      <c r="S153" s="22">
        <v>100000</v>
      </c>
      <c r="T153" s="24">
        <v>26000</v>
      </c>
      <c r="U153" s="22">
        <v>27049</v>
      </c>
      <c r="V153" s="22">
        <v>24849</v>
      </c>
      <c r="W153" s="22">
        <v>22449</v>
      </c>
      <c r="X153" s="22">
        <v>27049</v>
      </c>
      <c r="Y153" s="22">
        <v>24849</v>
      </c>
      <c r="Z153" s="22">
        <v>22449</v>
      </c>
      <c r="AA153" s="22">
        <v>29149</v>
      </c>
      <c r="AB153" s="24">
        <v>96000</v>
      </c>
      <c r="AC153" s="24">
        <v>100000</v>
      </c>
      <c r="AD153" s="24">
        <v>104000</v>
      </c>
      <c r="AE153" s="24">
        <v>107000</v>
      </c>
      <c r="AF153" s="24">
        <v>94500</v>
      </c>
      <c r="AG153" s="24">
        <v>97500</v>
      </c>
      <c r="AH153" s="24">
        <v>102000</v>
      </c>
      <c r="AI153" s="24">
        <v>103500</v>
      </c>
      <c r="AJ153" s="25">
        <v>2.6</v>
      </c>
      <c r="AK153" s="25">
        <v>7.6</v>
      </c>
    </row>
    <row r="154" spans="1:37" x14ac:dyDescent="0.25">
      <c r="A154" t="s">
        <v>297</v>
      </c>
      <c r="B154" t="s">
        <v>298</v>
      </c>
      <c r="C154">
        <v>114201047</v>
      </c>
      <c r="D154" t="str">
        <f t="shared" si="117"/>
        <v>Kaplan, Serkan-114201047</v>
      </c>
      <c r="E154" s="22">
        <v>4</v>
      </c>
      <c r="F154" s="22">
        <v>3</v>
      </c>
      <c r="G154" s="22">
        <v>15</v>
      </c>
      <c r="H154" s="22">
        <v>950912</v>
      </c>
      <c r="I154" s="22">
        <v>3545775</v>
      </c>
      <c r="J154" s="22">
        <v>2818591</v>
      </c>
      <c r="K154" s="22">
        <v>8898929</v>
      </c>
      <c r="L154" s="22">
        <v>100000</v>
      </c>
      <c r="M154" s="22">
        <v>109300</v>
      </c>
      <c r="N154" s="22">
        <v>119300</v>
      </c>
      <c r="O154" s="22">
        <v>128800</v>
      </c>
      <c r="P154" s="22">
        <v>128800</v>
      </c>
      <c r="Q154" s="22">
        <v>109300</v>
      </c>
      <c r="R154" s="22">
        <v>119300</v>
      </c>
      <c r="S154" s="22">
        <v>100000</v>
      </c>
      <c r="T154" s="24">
        <v>23000</v>
      </c>
      <c r="U154" s="22">
        <v>27150</v>
      </c>
      <c r="V154" s="22">
        <v>24850</v>
      </c>
      <c r="W154" s="22">
        <v>22350</v>
      </c>
      <c r="X154" s="22">
        <v>22350</v>
      </c>
      <c r="Y154" s="22">
        <v>27150</v>
      </c>
      <c r="Z154" s="22">
        <v>24850</v>
      </c>
      <c r="AA154" s="22">
        <v>29150</v>
      </c>
      <c r="AB154" s="24">
        <v>98000</v>
      </c>
      <c r="AC154" s="24">
        <v>100000</v>
      </c>
      <c r="AD154" s="24">
        <v>104000</v>
      </c>
      <c r="AE154" s="24">
        <v>105000</v>
      </c>
      <c r="AF154" s="24">
        <v>94500</v>
      </c>
      <c r="AG154" s="24">
        <v>96000</v>
      </c>
      <c r="AH154" s="24">
        <v>101500</v>
      </c>
      <c r="AI154" s="24">
        <v>103500</v>
      </c>
      <c r="AJ154" s="25">
        <v>5</v>
      </c>
      <c r="AK154" s="25">
        <v>8.9</v>
      </c>
    </row>
    <row r="155" spans="1:37" x14ac:dyDescent="0.25">
      <c r="A155" t="s">
        <v>299</v>
      </c>
      <c r="B155" t="s">
        <v>300</v>
      </c>
      <c r="C155">
        <v>114200067</v>
      </c>
      <c r="D155" t="str">
        <f t="shared" si="117"/>
        <v>Karabudak, Fatma Seray-114200067</v>
      </c>
      <c r="E155" s="22">
        <v>7</v>
      </c>
      <c r="F155" s="22">
        <v>2</v>
      </c>
      <c r="G155" s="22">
        <v>10</v>
      </c>
      <c r="H155" s="22">
        <v>4665820</v>
      </c>
      <c r="I155" s="22">
        <v>2717884</v>
      </c>
      <c r="J155" s="22">
        <v>7446461</v>
      </c>
      <c r="K155" s="22">
        <v>3348542</v>
      </c>
      <c r="L155" s="22">
        <v>100000</v>
      </c>
      <c r="M155" s="22">
        <v>109700</v>
      </c>
      <c r="N155" s="22">
        <v>119500</v>
      </c>
      <c r="O155" s="22">
        <v>128300</v>
      </c>
      <c r="P155" s="22">
        <v>119500</v>
      </c>
      <c r="Q155" s="22">
        <v>100000</v>
      </c>
      <c r="R155" s="22">
        <v>128300</v>
      </c>
      <c r="S155" s="22">
        <v>109700</v>
      </c>
      <c r="T155" s="24">
        <v>28000</v>
      </c>
      <c r="U155" s="22">
        <v>26851</v>
      </c>
      <c r="V155" s="22">
        <v>24551</v>
      </c>
      <c r="W155" s="22">
        <v>22351</v>
      </c>
      <c r="X155" s="22">
        <v>24551</v>
      </c>
      <c r="Y155" s="22">
        <v>29151</v>
      </c>
      <c r="Z155" s="22">
        <v>22351</v>
      </c>
      <c r="AA155" s="22">
        <v>26851</v>
      </c>
      <c r="AB155" s="24">
        <v>105000</v>
      </c>
      <c r="AC155" s="24">
        <v>105000</v>
      </c>
      <c r="AD155" s="24">
        <v>105000</v>
      </c>
      <c r="AE155" s="24">
        <v>103000</v>
      </c>
      <c r="AF155" s="24">
        <v>103500</v>
      </c>
      <c r="AG155" s="24">
        <v>101500</v>
      </c>
      <c r="AH155" s="24">
        <v>102000</v>
      </c>
      <c r="AI155" s="24">
        <v>100500</v>
      </c>
      <c r="AJ155" s="25">
        <v>3.9</v>
      </c>
      <c r="AK155" s="25">
        <v>9.4</v>
      </c>
    </row>
    <row r="156" spans="1:37" x14ac:dyDescent="0.25">
      <c r="A156" t="s">
        <v>301</v>
      </c>
      <c r="B156" t="s">
        <v>214</v>
      </c>
      <c r="C156">
        <v>116202073</v>
      </c>
      <c r="D156" t="str">
        <f t="shared" si="117"/>
        <v>Karabulut, Çağla-116202073</v>
      </c>
      <c r="E156" s="22">
        <v>4</v>
      </c>
      <c r="F156" s="22">
        <v>2</v>
      </c>
      <c r="G156" s="22">
        <v>10</v>
      </c>
      <c r="H156" s="22">
        <v>2269565</v>
      </c>
      <c r="I156" s="22">
        <v>5499301</v>
      </c>
      <c r="J156" s="22">
        <v>9756805</v>
      </c>
      <c r="K156" s="22">
        <v>5512928</v>
      </c>
      <c r="L156" s="22">
        <v>100000</v>
      </c>
      <c r="M156" s="22">
        <v>108800</v>
      </c>
      <c r="N156" s="22">
        <v>117900</v>
      </c>
      <c r="O156" s="22">
        <v>127300</v>
      </c>
      <c r="P156" s="22">
        <v>117900</v>
      </c>
      <c r="Q156" s="22">
        <v>127300</v>
      </c>
      <c r="R156" s="22">
        <v>108800</v>
      </c>
      <c r="S156" s="22">
        <v>100000</v>
      </c>
      <c r="T156" s="24">
        <v>25000</v>
      </c>
      <c r="U156" s="22">
        <v>27052</v>
      </c>
      <c r="V156" s="22">
        <v>24752</v>
      </c>
      <c r="W156" s="22">
        <v>22452</v>
      </c>
      <c r="X156" s="22">
        <v>24752</v>
      </c>
      <c r="Y156" s="22">
        <v>22452</v>
      </c>
      <c r="Z156" s="22">
        <v>27052</v>
      </c>
      <c r="AA156" s="22">
        <v>29152</v>
      </c>
      <c r="AB156" s="24">
        <v>98000</v>
      </c>
      <c r="AC156" s="24">
        <v>101000</v>
      </c>
      <c r="AD156" s="24">
        <v>103000</v>
      </c>
      <c r="AE156" s="24">
        <v>104000</v>
      </c>
      <c r="AF156" s="24">
        <v>96000</v>
      </c>
      <c r="AG156" s="24">
        <v>99500</v>
      </c>
      <c r="AH156" s="24">
        <v>100000</v>
      </c>
      <c r="AI156" s="24">
        <v>101000</v>
      </c>
      <c r="AJ156" s="25">
        <v>4.3</v>
      </c>
      <c r="AK156" s="25">
        <v>7.4</v>
      </c>
    </row>
    <row r="157" spans="1:37" x14ac:dyDescent="0.25">
      <c r="A157" t="s">
        <v>301</v>
      </c>
      <c r="B157" t="s">
        <v>302</v>
      </c>
      <c r="C157">
        <v>116203074</v>
      </c>
      <c r="D157" t="str">
        <f t="shared" si="117"/>
        <v>Karabulut, Nikol-116203074</v>
      </c>
      <c r="E157" s="22">
        <v>5</v>
      </c>
      <c r="F157" s="22">
        <v>1</v>
      </c>
      <c r="G157" s="22">
        <v>8</v>
      </c>
      <c r="H157" s="22">
        <v>2147452</v>
      </c>
      <c r="I157" s="22">
        <v>8887373</v>
      </c>
      <c r="J157" s="22">
        <v>18862</v>
      </c>
      <c r="K157" s="22">
        <v>8827015</v>
      </c>
      <c r="L157" s="22">
        <v>100000</v>
      </c>
      <c r="M157" s="22">
        <v>108000</v>
      </c>
      <c r="N157" s="22">
        <v>117700</v>
      </c>
      <c r="O157" s="22">
        <v>127700</v>
      </c>
      <c r="P157" s="22">
        <v>108000</v>
      </c>
      <c r="Q157" s="22">
        <v>127700</v>
      </c>
      <c r="R157" s="22">
        <v>100000</v>
      </c>
      <c r="S157" s="22">
        <v>117700</v>
      </c>
      <c r="T157" s="24">
        <v>27000</v>
      </c>
      <c r="U157" s="22">
        <v>26753</v>
      </c>
      <c r="V157" s="22">
        <v>24453</v>
      </c>
      <c r="W157" s="22">
        <v>22453</v>
      </c>
      <c r="X157" s="22">
        <v>26753</v>
      </c>
      <c r="Y157" s="22">
        <v>22453</v>
      </c>
      <c r="Z157" s="22">
        <v>29153</v>
      </c>
      <c r="AA157" s="22">
        <v>24453</v>
      </c>
      <c r="AB157" s="24">
        <v>119000</v>
      </c>
      <c r="AC157" s="24">
        <v>122000</v>
      </c>
      <c r="AD157" s="24">
        <v>125000</v>
      </c>
      <c r="AE157" s="24">
        <v>128000</v>
      </c>
      <c r="AF157" s="24">
        <v>117500</v>
      </c>
      <c r="AG157" s="24">
        <v>120500</v>
      </c>
      <c r="AH157" s="24">
        <v>121500</v>
      </c>
      <c r="AI157" s="24">
        <v>125000</v>
      </c>
      <c r="AJ157" s="25">
        <v>3.4</v>
      </c>
      <c r="AK157" s="25">
        <v>6.7</v>
      </c>
    </row>
    <row r="158" spans="1:37" x14ac:dyDescent="0.25">
      <c r="A158" t="s">
        <v>303</v>
      </c>
      <c r="B158" t="s">
        <v>304</v>
      </c>
      <c r="C158">
        <v>113204045</v>
      </c>
      <c r="D158" t="str">
        <f t="shared" si="117"/>
        <v>Karadaş, Yılmaz-113204045</v>
      </c>
      <c r="E158" s="22">
        <v>6</v>
      </c>
      <c r="F158" s="22">
        <v>2</v>
      </c>
      <c r="G158" s="22">
        <v>10</v>
      </c>
      <c r="H158" s="22">
        <v>205875</v>
      </c>
      <c r="I158" s="22">
        <v>7588104</v>
      </c>
      <c r="J158" s="22">
        <v>362967</v>
      </c>
      <c r="K158" s="22">
        <v>8141136</v>
      </c>
      <c r="L158" s="22">
        <v>100000</v>
      </c>
      <c r="M158" s="22">
        <v>109400</v>
      </c>
      <c r="N158" s="22">
        <v>118100</v>
      </c>
      <c r="O158" s="22">
        <v>127500</v>
      </c>
      <c r="P158" s="22">
        <v>127500</v>
      </c>
      <c r="Q158" s="22">
        <v>109400</v>
      </c>
      <c r="R158" s="22">
        <v>118100</v>
      </c>
      <c r="S158" s="22">
        <v>100000</v>
      </c>
      <c r="T158" s="24">
        <v>26000</v>
      </c>
      <c r="U158" s="22">
        <v>26854</v>
      </c>
      <c r="V158" s="22">
        <v>24754</v>
      </c>
      <c r="W158" s="22">
        <v>22254</v>
      </c>
      <c r="X158" s="22">
        <v>22254</v>
      </c>
      <c r="Y158" s="22">
        <v>26854</v>
      </c>
      <c r="Z158" s="22">
        <v>24754</v>
      </c>
      <c r="AA158" s="22">
        <v>29154</v>
      </c>
      <c r="AB158" s="24">
        <v>120000</v>
      </c>
      <c r="AC158" s="24">
        <v>123000</v>
      </c>
      <c r="AD158" s="24">
        <v>124000</v>
      </c>
      <c r="AE158" s="24">
        <v>126000</v>
      </c>
      <c r="AF158" s="24">
        <v>118500</v>
      </c>
      <c r="AG158" s="24">
        <v>119500</v>
      </c>
      <c r="AH158" s="24">
        <v>120500</v>
      </c>
      <c r="AI158" s="24">
        <v>124000</v>
      </c>
      <c r="AJ158" s="25">
        <v>2.8</v>
      </c>
      <c r="AK158" s="25">
        <v>8.9</v>
      </c>
    </row>
    <row r="159" spans="1:37" x14ac:dyDescent="0.25">
      <c r="A159" t="s">
        <v>305</v>
      </c>
      <c r="B159" t="s">
        <v>246</v>
      </c>
      <c r="C159">
        <v>114202030</v>
      </c>
      <c r="D159" t="str">
        <f t="shared" si="117"/>
        <v>Karakaya, Sena-114202030</v>
      </c>
      <c r="E159" s="22">
        <v>4</v>
      </c>
      <c r="F159" s="22">
        <v>2</v>
      </c>
      <c r="G159" s="22">
        <v>10</v>
      </c>
      <c r="H159" s="22">
        <v>3072278</v>
      </c>
      <c r="I159" s="22">
        <v>2330074</v>
      </c>
      <c r="J159" s="22">
        <v>7418843</v>
      </c>
      <c r="K159" s="22">
        <v>1800851</v>
      </c>
      <c r="L159" s="22">
        <v>100000</v>
      </c>
      <c r="M159" s="22">
        <v>108800</v>
      </c>
      <c r="N159" s="22">
        <v>118100</v>
      </c>
      <c r="O159" s="22">
        <v>126400</v>
      </c>
      <c r="P159" s="22">
        <v>118100</v>
      </c>
      <c r="Q159" s="22">
        <v>100000</v>
      </c>
      <c r="R159" s="22">
        <v>108800</v>
      </c>
      <c r="S159" s="22">
        <v>126400</v>
      </c>
      <c r="T159" s="24">
        <v>29000</v>
      </c>
      <c r="U159" s="22">
        <v>26655</v>
      </c>
      <c r="V159" s="22">
        <v>24655</v>
      </c>
      <c r="W159" s="22">
        <v>22355</v>
      </c>
      <c r="X159" s="22">
        <v>24655</v>
      </c>
      <c r="Y159" s="22">
        <v>29155</v>
      </c>
      <c r="Z159" s="22">
        <v>26655</v>
      </c>
      <c r="AA159" s="22">
        <v>22355</v>
      </c>
      <c r="AB159" s="24">
        <v>105000</v>
      </c>
      <c r="AC159" s="24">
        <v>104000</v>
      </c>
      <c r="AD159" s="24">
        <v>106000</v>
      </c>
      <c r="AE159" s="24">
        <v>104000</v>
      </c>
      <c r="AF159" s="24">
        <v>101000</v>
      </c>
      <c r="AG159" s="24">
        <v>100000</v>
      </c>
      <c r="AH159" s="24">
        <v>104500</v>
      </c>
      <c r="AI159" s="24">
        <v>101500</v>
      </c>
      <c r="AJ159" s="25">
        <v>5</v>
      </c>
      <c r="AK159" s="25">
        <v>8.1</v>
      </c>
    </row>
    <row r="160" spans="1:37" x14ac:dyDescent="0.25">
      <c r="A160" t="s">
        <v>306</v>
      </c>
      <c r="B160" t="s">
        <v>307</v>
      </c>
      <c r="C160">
        <v>114202036</v>
      </c>
      <c r="D160" t="str">
        <f t="shared" si="117"/>
        <v>Karaman, Tarık Buğra-114202036</v>
      </c>
      <c r="E160" s="22">
        <v>7</v>
      </c>
      <c r="F160" s="22">
        <v>1</v>
      </c>
      <c r="G160" s="22">
        <v>8</v>
      </c>
      <c r="H160" s="22">
        <v>337663</v>
      </c>
      <c r="I160" s="22">
        <v>2791443</v>
      </c>
      <c r="J160" s="22">
        <v>9143714</v>
      </c>
      <c r="K160" s="22">
        <v>2283461</v>
      </c>
      <c r="L160" s="22">
        <v>100000</v>
      </c>
      <c r="M160" s="22">
        <v>109200</v>
      </c>
      <c r="N160" s="22">
        <v>117600</v>
      </c>
      <c r="O160" s="22">
        <v>127400</v>
      </c>
      <c r="P160" s="22">
        <v>117600</v>
      </c>
      <c r="Q160" s="22">
        <v>109200</v>
      </c>
      <c r="R160" s="22">
        <v>127400</v>
      </c>
      <c r="S160" s="22">
        <v>100000</v>
      </c>
      <c r="T160" s="24">
        <v>24000</v>
      </c>
      <c r="U160" s="22">
        <v>26656</v>
      </c>
      <c r="V160" s="22">
        <v>24156</v>
      </c>
      <c r="W160" s="22">
        <v>22056</v>
      </c>
      <c r="X160" s="22">
        <v>24156</v>
      </c>
      <c r="Y160" s="22">
        <v>26656</v>
      </c>
      <c r="Z160" s="22">
        <v>22056</v>
      </c>
      <c r="AA160" s="22">
        <v>29156</v>
      </c>
      <c r="AB160" s="24">
        <v>108000</v>
      </c>
      <c r="AC160" s="24">
        <v>105000</v>
      </c>
      <c r="AD160" s="24">
        <v>109000</v>
      </c>
      <c r="AE160" s="24">
        <v>109000</v>
      </c>
      <c r="AF160" s="24">
        <v>105000</v>
      </c>
      <c r="AG160" s="24">
        <v>101000</v>
      </c>
      <c r="AH160" s="24">
        <v>105000</v>
      </c>
      <c r="AI160" s="24">
        <v>107000</v>
      </c>
      <c r="AJ160" s="25">
        <v>3</v>
      </c>
      <c r="AK160" s="25">
        <v>7.4</v>
      </c>
    </row>
    <row r="161" spans="1:37" x14ac:dyDescent="0.25">
      <c r="A161" t="s">
        <v>308</v>
      </c>
      <c r="B161" t="s">
        <v>51</v>
      </c>
      <c r="C161">
        <v>114206029</v>
      </c>
      <c r="D161" t="str">
        <f t="shared" si="117"/>
        <v>Karanfiloğlu, Berk-114206029</v>
      </c>
      <c r="E161" s="22">
        <v>5</v>
      </c>
      <c r="F161" s="22">
        <v>3</v>
      </c>
      <c r="G161" s="22">
        <v>15</v>
      </c>
      <c r="H161" s="22">
        <v>2140347</v>
      </c>
      <c r="I161" s="22">
        <v>6505913</v>
      </c>
      <c r="J161" s="22">
        <v>1407601</v>
      </c>
      <c r="K161" s="22">
        <v>6450961</v>
      </c>
      <c r="L161" s="22">
        <v>100000</v>
      </c>
      <c r="M161" s="22">
        <v>109900</v>
      </c>
      <c r="N161" s="22">
        <v>118600</v>
      </c>
      <c r="O161" s="22">
        <v>127100</v>
      </c>
      <c r="P161" s="22">
        <v>109900</v>
      </c>
      <c r="Q161" s="22">
        <v>127100</v>
      </c>
      <c r="R161" s="22">
        <v>100000</v>
      </c>
      <c r="S161" s="22">
        <v>118600</v>
      </c>
      <c r="T161" s="24">
        <v>23000</v>
      </c>
      <c r="U161" s="22">
        <v>26657</v>
      </c>
      <c r="V161" s="22">
        <v>24657</v>
      </c>
      <c r="W161" s="22">
        <v>22557</v>
      </c>
      <c r="X161" s="22">
        <v>26657</v>
      </c>
      <c r="Y161" s="22">
        <v>22557</v>
      </c>
      <c r="Z161" s="22">
        <v>29157</v>
      </c>
      <c r="AA161" s="22">
        <v>24657</v>
      </c>
      <c r="AB161" s="24">
        <v>100000</v>
      </c>
      <c r="AC161" s="24">
        <v>98000</v>
      </c>
      <c r="AD161" s="24">
        <v>97000</v>
      </c>
      <c r="AE161" s="24">
        <v>100000</v>
      </c>
      <c r="AF161" s="24">
        <v>98500</v>
      </c>
      <c r="AG161" s="24">
        <v>94000</v>
      </c>
      <c r="AH161" s="24">
        <v>93000</v>
      </c>
      <c r="AI161" s="24">
        <v>97000</v>
      </c>
      <c r="AJ161" s="25">
        <v>4.3</v>
      </c>
      <c r="AK161" s="25">
        <v>6.6</v>
      </c>
    </row>
    <row r="162" spans="1:37" x14ac:dyDescent="0.25">
      <c r="A162" t="s">
        <v>309</v>
      </c>
      <c r="B162" t="s">
        <v>310</v>
      </c>
      <c r="C162">
        <v>112203010</v>
      </c>
      <c r="D162" t="str">
        <f t="shared" si="117"/>
        <v>Karataş, Eyüp Yarkın-112203010</v>
      </c>
      <c r="E162" s="22">
        <v>7</v>
      </c>
      <c r="F162" s="22">
        <v>3</v>
      </c>
      <c r="G162" s="22">
        <v>15</v>
      </c>
      <c r="H162" s="22">
        <v>6840121</v>
      </c>
      <c r="I162" s="22">
        <v>5639591</v>
      </c>
      <c r="J162" s="22">
        <v>7321487</v>
      </c>
      <c r="K162" s="22">
        <v>7832029</v>
      </c>
      <c r="L162" s="22">
        <v>100000</v>
      </c>
      <c r="M162" s="22">
        <v>108400</v>
      </c>
      <c r="N162" s="22">
        <v>117300</v>
      </c>
      <c r="O162" s="22">
        <v>126400</v>
      </c>
      <c r="P162" s="22">
        <v>126400</v>
      </c>
      <c r="Q162" s="22">
        <v>117300</v>
      </c>
      <c r="R162" s="22">
        <v>100000</v>
      </c>
      <c r="S162" s="22">
        <v>108400</v>
      </c>
      <c r="T162" s="24">
        <v>23000</v>
      </c>
      <c r="U162" s="22">
        <v>26758</v>
      </c>
      <c r="V162" s="22">
        <v>24658</v>
      </c>
      <c r="W162" s="22">
        <v>22458</v>
      </c>
      <c r="X162" s="22">
        <v>22458</v>
      </c>
      <c r="Y162" s="22">
        <v>24658</v>
      </c>
      <c r="Z162" s="22">
        <v>29158</v>
      </c>
      <c r="AA162" s="22">
        <v>26758</v>
      </c>
      <c r="AB162" s="24">
        <v>112000</v>
      </c>
      <c r="AC162" s="24">
        <v>114000</v>
      </c>
      <c r="AD162" s="24">
        <v>117000</v>
      </c>
      <c r="AE162" s="24">
        <v>119000</v>
      </c>
      <c r="AF162" s="24">
        <v>109500</v>
      </c>
      <c r="AG162" s="24">
        <v>111000</v>
      </c>
      <c r="AH162" s="24">
        <v>114000</v>
      </c>
      <c r="AI162" s="24">
        <v>117000</v>
      </c>
      <c r="AJ162" s="25">
        <v>2.5</v>
      </c>
      <c r="AK162" s="25">
        <v>8.9</v>
      </c>
    </row>
    <row r="163" spans="1:37" x14ac:dyDescent="0.25">
      <c r="A163" t="s">
        <v>311</v>
      </c>
      <c r="B163" t="s">
        <v>122</v>
      </c>
      <c r="C163">
        <v>115203072</v>
      </c>
      <c r="D163" t="str">
        <f t="shared" si="117"/>
        <v>Karğın, Elif-115203072</v>
      </c>
      <c r="E163" s="22">
        <v>5</v>
      </c>
      <c r="F163" s="22">
        <v>1</v>
      </c>
      <c r="G163" s="22">
        <v>8</v>
      </c>
      <c r="H163" s="22">
        <v>4120378</v>
      </c>
      <c r="I163" s="22">
        <v>179625</v>
      </c>
      <c r="J163" s="22">
        <v>7818756</v>
      </c>
      <c r="K163" s="22">
        <v>3556696</v>
      </c>
      <c r="L163" s="22">
        <v>100000</v>
      </c>
      <c r="M163" s="22">
        <v>109900</v>
      </c>
      <c r="N163" s="22">
        <v>118200</v>
      </c>
      <c r="O163" s="22">
        <v>128000</v>
      </c>
      <c r="P163" s="22">
        <v>118200</v>
      </c>
      <c r="Q163" s="22">
        <v>100000</v>
      </c>
      <c r="R163" s="22">
        <v>128000</v>
      </c>
      <c r="S163" s="22">
        <v>109900</v>
      </c>
      <c r="T163" s="24">
        <v>26000</v>
      </c>
      <c r="U163" s="22">
        <v>27159</v>
      </c>
      <c r="V163" s="22">
        <v>24759</v>
      </c>
      <c r="W163" s="22">
        <v>22659</v>
      </c>
      <c r="X163" s="22">
        <v>24759</v>
      </c>
      <c r="Y163" s="22">
        <v>29159</v>
      </c>
      <c r="Z163" s="22">
        <v>22659</v>
      </c>
      <c r="AA163" s="22">
        <v>27159</v>
      </c>
      <c r="AB163" s="24">
        <v>105000</v>
      </c>
      <c r="AC163" s="24">
        <v>109000</v>
      </c>
      <c r="AD163" s="24">
        <v>112000</v>
      </c>
      <c r="AE163" s="24">
        <v>115000</v>
      </c>
      <c r="AF163" s="24">
        <v>102000</v>
      </c>
      <c r="AG163" s="24">
        <v>106500</v>
      </c>
      <c r="AH163" s="24">
        <v>110500</v>
      </c>
      <c r="AI163" s="24">
        <v>111500</v>
      </c>
      <c r="AJ163" s="25">
        <v>2.6</v>
      </c>
      <c r="AK163" s="25">
        <v>7.1</v>
      </c>
    </row>
    <row r="164" spans="1:37" x14ac:dyDescent="0.25">
      <c r="A164" t="s">
        <v>312</v>
      </c>
      <c r="B164" t="s">
        <v>313</v>
      </c>
      <c r="C164">
        <v>114200060</v>
      </c>
      <c r="D164" t="str">
        <f t="shared" si="117"/>
        <v>Kartal, Lamia-114200060</v>
      </c>
      <c r="E164" s="22">
        <v>4</v>
      </c>
      <c r="F164" s="22">
        <v>1</v>
      </c>
      <c r="G164" s="22">
        <v>8</v>
      </c>
      <c r="H164" s="22">
        <v>3426455</v>
      </c>
      <c r="I164" s="22">
        <v>1084484</v>
      </c>
      <c r="J164" s="22">
        <v>6039304</v>
      </c>
      <c r="K164" s="22">
        <v>1257831</v>
      </c>
      <c r="L164" s="22">
        <v>100000</v>
      </c>
      <c r="M164" s="22">
        <v>109300</v>
      </c>
      <c r="N164" s="22">
        <v>117600</v>
      </c>
      <c r="O164" s="22">
        <v>126200</v>
      </c>
      <c r="P164" s="22">
        <v>117600</v>
      </c>
      <c r="Q164" s="22">
        <v>100000</v>
      </c>
      <c r="R164" s="22">
        <v>126200</v>
      </c>
      <c r="S164" s="22">
        <v>109300</v>
      </c>
      <c r="T164" s="24">
        <v>26000</v>
      </c>
      <c r="U164" s="22">
        <v>27160</v>
      </c>
      <c r="V164" s="22">
        <v>24760</v>
      </c>
      <c r="W164" s="22">
        <v>22760</v>
      </c>
      <c r="X164" s="22">
        <v>24760</v>
      </c>
      <c r="Y164" s="22">
        <v>29160</v>
      </c>
      <c r="Z164" s="22">
        <v>22760</v>
      </c>
      <c r="AA164" s="22">
        <v>27160</v>
      </c>
      <c r="AB164" s="24">
        <v>119000</v>
      </c>
      <c r="AC164" s="24">
        <v>117000</v>
      </c>
      <c r="AD164" s="24">
        <v>114000</v>
      </c>
      <c r="AE164" s="24">
        <v>115000</v>
      </c>
      <c r="AF164" s="24">
        <v>116000</v>
      </c>
      <c r="AG164" s="24">
        <v>114000</v>
      </c>
      <c r="AH164" s="24">
        <v>111500</v>
      </c>
      <c r="AI164" s="24">
        <v>112500</v>
      </c>
      <c r="AJ164" s="25">
        <v>3</v>
      </c>
      <c r="AK164" s="25">
        <v>8.8000000000000007</v>
      </c>
    </row>
    <row r="165" spans="1:37" x14ac:dyDescent="0.25">
      <c r="A165" t="s">
        <v>314</v>
      </c>
      <c r="B165" t="s">
        <v>315</v>
      </c>
      <c r="C165">
        <v>115203038</v>
      </c>
      <c r="D165" t="str">
        <f t="shared" si="117"/>
        <v>Keçeli, Fikret Gizem-115203038</v>
      </c>
      <c r="E165" s="22">
        <v>4</v>
      </c>
      <c r="F165" s="22">
        <v>1</v>
      </c>
      <c r="G165" s="22">
        <v>8</v>
      </c>
      <c r="H165" s="22">
        <v>6010968</v>
      </c>
      <c r="I165" s="22">
        <v>741442</v>
      </c>
      <c r="J165" s="22">
        <v>6235462</v>
      </c>
      <c r="K165" s="22">
        <v>3070859</v>
      </c>
      <c r="L165" s="22">
        <v>100000</v>
      </c>
      <c r="M165" s="22">
        <v>109900</v>
      </c>
      <c r="N165" s="22">
        <v>119600</v>
      </c>
      <c r="O165" s="22">
        <v>129000</v>
      </c>
      <c r="P165" s="22">
        <v>119600</v>
      </c>
      <c r="Q165" s="22">
        <v>100000</v>
      </c>
      <c r="R165" s="22">
        <v>129000</v>
      </c>
      <c r="S165" s="22">
        <v>109900</v>
      </c>
      <c r="T165" s="24">
        <v>24000</v>
      </c>
      <c r="U165" s="22">
        <v>27161</v>
      </c>
      <c r="V165" s="22">
        <v>25061</v>
      </c>
      <c r="W165" s="22">
        <v>22761</v>
      </c>
      <c r="X165" s="22">
        <v>25061</v>
      </c>
      <c r="Y165" s="22">
        <v>29161</v>
      </c>
      <c r="Z165" s="22">
        <v>22761</v>
      </c>
      <c r="AA165" s="22">
        <v>27161</v>
      </c>
      <c r="AB165" s="24">
        <v>120000</v>
      </c>
      <c r="AC165" s="24">
        <v>119000</v>
      </c>
      <c r="AD165" s="24">
        <v>121000</v>
      </c>
      <c r="AE165" s="24">
        <v>121000</v>
      </c>
      <c r="AF165" s="24">
        <v>118500</v>
      </c>
      <c r="AG165" s="24">
        <v>115000</v>
      </c>
      <c r="AH165" s="24">
        <v>118000</v>
      </c>
      <c r="AI165" s="24">
        <v>117000</v>
      </c>
      <c r="AJ165" s="25">
        <v>2.8</v>
      </c>
      <c r="AK165" s="25">
        <v>9</v>
      </c>
    </row>
    <row r="166" spans="1:37" x14ac:dyDescent="0.25">
      <c r="A166" t="s">
        <v>316</v>
      </c>
      <c r="B166" t="s">
        <v>317</v>
      </c>
      <c r="C166">
        <v>114205071</v>
      </c>
      <c r="D166" t="str">
        <f t="shared" si="117"/>
        <v>Kerimoğlu, Sinan Kevin-114205071</v>
      </c>
      <c r="E166" s="22">
        <v>5</v>
      </c>
      <c r="F166" s="22">
        <v>2</v>
      </c>
      <c r="G166" s="22">
        <v>10</v>
      </c>
      <c r="H166" s="22">
        <v>7289272</v>
      </c>
      <c r="I166" s="22">
        <v>8196090</v>
      </c>
      <c r="J166" s="22">
        <v>4343467</v>
      </c>
      <c r="K166" s="22">
        <v>7904270</v>
      </c>
      <c r="L166" s="22">
        <v>100000</v>
      </c>
      <c r="M166" s="22">
        <v>109100</v>
      </c>
      <c r="N166" s="22">
        <v>117900</v>
      </c>
      <c r="O166" s="22">
        <v>127300</v>
      </c>
      <c r="P166" s="22">
        <v>109100</v>
      </c>
      <c r="Q166" s="22">
        <v>127300</v>
      </c>
      <c r="R166" s="22">
        <v>100000</v>
      </c>
      <c r="S166" s="22">
        <v>117900</v>
      </c>
      <c r="T166" s="24">
        <v>27000</v>
      </c>
      <c r="U166" s="22">
        <v>26962</v>
      </c>
      <c r="V166" s="22">
        <v>24462</v>
      </c>
      <c r="W166" s="22">
        <v>21962</v>
      </c>
      <c r="X166" s="22">
        <v>26962</v>
      </c>
      <c r="Y166" s="22">
        <v>21962</v>
      </c>
      <c r="Z166" s="22">
        <v>29162</v>
      </c>
      <c r="AA166" s="22">
        <v>24462</v>
      </c>
      <c r="AB166" s="24">
        <v>110000</v>
      </c>
      <c r="AC166" s="24">
        <v>107000</v>
      </c>
      <c r="AD166" s="24">
        <v>104000</v>
      </c>
      <c r="AE166" s="24">
        <v>106000</v>
      </c>
      <c r="AF166" s="24">
        <v>107000</v>
      </c>
      <c r="AG166" s="24">
        <v>104000</v>
      </c>
      <c r="AH166" s="24">
        <v>100500</v>
      </c>
      <c r="AI166" s="24">
        <v>104500</v>
      </c>
      <c r="AJ166" s="25">
        <v>4.8</v>
      </c>
      <c r="AK166" s="25">
        <v>9.4</v>
      </c>
    </row>
    <row r="167" spans="1:37" x14ac:dyDescent="0.25">
      <c r="A167" t="s">
        <v>318</v>
      </c>
      <c r="B167" t="s">
        <v>190</v>
      </c>
      <c r="C167">
        <v>115203085</v>
      </c>
      <c r="D167" t="str">
        <f t="shared" si="117"/>
        <v>Khalifah, Mustafa-115203085</v>
      </c>
      <c r="E167" s="22">
        <v>6</v>
      </c>
      <c r="F167" s="22">
        <v>1</v>
      </c>
      <c r="G167" s="22">
        <v>8</v>
      </c>
      <c r="H167" s="22">
        <v>3636165</v>
      </c>
      <c r="I167" s="22">
        <v>3912861</v>
      </c>
      <c r="J167" s="22">
        <v>5830158</v>
      </c>
      <c r="K167" s="22">
        <v>2361147</v>
      </c>
      <c r="L167" s="22">
        <v>100000</v>
      </c>
      <c r="M167" s="22">
        <v>109100</v>
      </c>
      <c r="N167" s="22">
        <v>118700</v>
      </c>
      <c r="O167" s="22">
        <v>126700</v>
      </c>
      <c r="P167" s="22">
        <v>118700</v>
      </c>
      <c r="Q167" s="22">
        <v>109100</v>
      </c>
      <c r="R167" s="22">
        <v>100000</v>
      </c>
      <c r="S167" s="22">
        <v>126700</v>
      </c>
      <c r="T167" s="24">
        <v>26000</v>
      </c>
      <c r="U167" s="22">
        <v>26963</v>
      </c>
      <c r="V167" s="22">
        <v>24863</v>
      </c>
      <c r="W167" s="22">
        <v>22663</v>
      </c>
      <c r="X167" s="22">
        <v>24863</v>
      </c>
      <c r="Y167" s="22">
        <v>26963</v>
      </c>
      <c r="Z167" s="22">
        <v>29163</v>
      </c>
      <c r="AA167" s="22">
        <v>22663</v>
      </c>
      <c r="AB167" s="24">
        <v>104000</v>
      </c>
      <c r="AC167" s="24">
        <v>102000</v>
      </c>
      <c r="AD167" s="24">
        <v>103000</v>
      </c>
      <c r="AE167" s="24">
        <v>103000</v>
      </c>
      <c r="AF167" s="24">
        <v>102000</v>
      </c>
      <c r="AG167" s="24">
        <v>99500</v>
      </c>
      <c r="AH167" s="24">
        <v>100500</v>
      </c>
      <c r="AI167" s="24">
        <v>101000</v>
      </c>
      <c r="AJ167" s="25">
        <v>3.7</v>
      </c>
      <c r="AK167" s="25">
        <v>9.6</v>
      </c>
    </row>
    <row r="168" spans="1:37" x14ac:dyDescent="0.25">
      <c r="A168" t="s">
        <v>319</v>
      </c>
      <c r="B168" t="s">
        <v>320</v>
      </c>
      <c r="C168">
        <v>115204019</v>
      </c>
      <c r="D168" t="str">
        <f t="shared" si="117"/>
        <v>Kılıç, Enes-115204019</v>
      </c>
      <c r="E168" s="22">
        <v>5</v>
      </c>
      <c r="F168" s="22">
        <v>3</v>
      </c>
      <c r="G168" s="22">
        <v>15</v>
      </c>
      <c r="H168" s="22">
        <v>908433</v>
      </c>
      <c r="I168" s="22">
        <v>1832744</v>
      </c>
      <c r="J168" s="22">
        <v>14595</v>
      </c>
      <c r="K168" s="22">
        <v>5244176</v>
      </c>
      <c r="L168" s="22">
        <v>100000</v>
      </c>
      <c r="M168" s="22">
        <v>109200</v>
      </c>
      <c r="N168" s="22">
        <v>117600</v>
      </c>
      <c r="O168" s="22">
        <v>125900</v>
      </c>
      <c r="P168" s="22">
        <v>125900</v>
      </c>
      <c r="Q168" s="22">
        <v>109200</v>
      </c>
      <c r="R168" s="22">
        <v>100000</v>
      </c>
      <c r="S168" s="22">
        <v>117600</v>
      </c>
      <c r="T168" s="24">
        <v>27000</v>
      </c>
      <c r="U168" s="22">
        <v>26964</v>
      </c>
      <c r="V168" s="22">
        <v>24964</v>
      </c>
      <c r="W168" s="22">
        <v>22564</v>
      </c>
      <c r="X168" s="22">
        <v>22564</v>
      </c>
      <c r="Y168" s="22">
        <v>26964</v>
      </c>
      <c r="Z168" s="22">
        <v>29164</v>
      </c>
      <c r="AA168" s="22">
        <v>24964</v>
      </c>
      <c r="AB168" s="24">
        <v>102000</v>
      </c>
      <c r="AC168" s="24">
        <v>100000</v>
      </c>
      <c r="AD168" s="24">
        <v>103000</v>
      </c>
      <c r="AE168" s="24">
        <v>103000</v>
      </c>
      <c r="AF168" s="24">
        <v>98000</v>
      </c>
      <c r="AG168" s="24">
        <v>97500</v>
      </c>
      <c r="AH168" s="24">
        <v>99500</v>
      </c>
      <c r="AI168" s="24">
        <v>101000</v>
      </c>
      <c r="AJ168" s="25">
        <v>3.1</v>
      </c>
      <c r="AK168" s="25">
        <v>8.6999999999999993</v>
      </c>
    </row>
    <row r="169" spans="1:37" x14ac:dyDescent="0.25">
      <c r="A169" t="s">
        <v>321</v>
      </c>
      <c r="B169" t="s">
        <v>298</v>
      </c>
      <c r="C169">
        <v>115203040</v>
      </c>
      <c r="D169" t="str">
        <f t="shared" si="117"/>
        <v>Kılıçaslan, Serkan-115203040</v>
      </c>
      <c r="E169" s="22">
        <v>4</v>
      </c>
      <c r="F169" s="22">
        <v>3</v>
      </c>
      <c r="G169" s="22">
        <v>15</v>
      </c>
      <c r="H169" s="22">
        <v>2441918</v>
      </c>
      <c r="I169" s="22">
        <v>6649600</v>
      </c>
      <c r="J169" s="22">
        <v>5267008</v>
      </c>
      <c r="K169" s="22">
        <v>5909440</v>
      </c>
      <c r="L169" s="22">
        <v>100000</v>
      </c>
      <c r="M169" s="22">
        <v>109400</v>
      </c>
      <c r="N169" s="22">
        <v>118800</v>
      </c>
      <c r="O169" s="22">
        <v>128000</v>
      </c>
      <c r="P169" s="22">
        <v>109400</v>
      </c>
      <c r="Q169" s="22">
        <v>128000</v>
      </c>
      <c r="R169" s="22">
        <v>118800</v>
      </c>
      <c r="S169" s="22">
        <v>100000</v>
      </c>
      <c r="T169" s="24">
        <v>29000</v>
      </c>
      <c r="U169" s="22">
        <v>27165</v>
      </c>
      <c r="V169" s="22">
        <v>25165</v>
      </c>
      <c r="W169" s="22">
        <v>23165</v>
      </c>
      <c r="X169" s="22">
        <v>27165</v>
      </c>
      <c r="Y169" s="22">
        <v>23165</v>
      </c>
      <c r="Z169" s="22">
        <v>25165</v>
      </c>
      <c r="AA169" s="22">
        <v>29165</v>
      </c>
      <c r="AB169" s="24">
        <v>119000</v>
      </c>
      <c r="AC169" s="24">
        <v>121000</v>
      </c>
      <c r="AD169" s="24">
        <v>122000</v>
      </c>
      <c r="AE169" s="24">
        <v>120000</v>
      </c>
      <c r="AF169" s="24">
        <v>117500</v>
      </c>
      <c r="AG169" s="24">
        <v>118000</v>
      </c>
      <c r="AH169" s="24">
        <v>120500</v>
      </c>
      <c r="AI169" s="24">
        <v>116500</v>
      </c>
      <c r="AJ169" s="25">
        <v>2.5</v>
      </c>
      <c r="AK169" s="25">
        <v>9.1</v>
      </c>
    </row>
    <row r="170" spans="1:37" x14ac:dyDescent="0.25">
      <c r="A170" t="s">
        <v>322</v>
      </c>
      <c r="B170" t="s">
        <v>323</v>
      </c>
      <c r="C170">
        <v>112203013</v>
      </c>
      <c r="D170" t="str">
        <f t="shared" si="117"/>
        <v>Kılıçkap, Jiyan-112203013</v>
      </c>
      <c r="E170" s="22">
        <v>6</v>
      </c>
      <c r="F170" s="22">
        <v>3</v>
      </c>
      <c r="G170" s="22">
        <v>15</v>
      </c>
      <c r="H170" s="22">
        <v>1705525</v>
      </c>
      <c r="I170" s="22">
        <v>5541693</v>
      </c>
      <c r="J170" s="22">
        <v>3765154</v>
      </c>
      <c r="K170" s="22">
        <v>4292602</v>
      </c>
      <c r="L170" s="22">
        <v>100000</v>
      </c>
      <c r="M170" s="22">
        <v>108800</v>
      </c>
      <c r="N170" s="22">
        <v>117500</v>
      </c>
      <c r="O170" s="22">
        <v>125800</v>
      </c>
      <c r="P170" s="22">
        <v>108800</v>
      </c>
      <c r="Q170" s="22">
        <v>125800</v>
      </c>
      <c r="R170" s="22">
        <v>117500</v>
      </c>
      <c r="S170" s="22">
        <v>100000</v>
      </c>
      <c r="T170" s="24">
        <v>29000</v>
      </c>
      <c r="U170" s="22">
        <v>26666</v>
      </c>
      <c r="V170" s="22">
        <v>24466</v>
      </c>
      <c r="W170" s="22">
        <v>22366</v>
      </c>
      <c r="X170" s="22">
        <v>26666</v>
      </c>
      <c r="Y170" s="22">
        <v>22366</v>
      </c>
      <c r="Z170" s="22">
        <v>24466</v>
      </c>
      <c r="AA170" s="22">
        <v>29166</v>
      </c>
      <c r="AB170" s="24">
        <v>109000</v>
      </c>
      <c r="AC170" s="24">
        <v>106000</v>
      </c>
      <c r="AD170" s="24">
        <v>105000</v>
      </c>
      <c r="AE170" s="24">
        <v>103000</v>
      </c>
      <c r="AF170" s="24">
        <v>105500</v>
      </c>
      <c r="AG170" s="24">
        <v>103000</v>
      </c>
      <c r="AH170" s="24">
        <v>103500</v>
      </c>
      <c r="AI170" s="24">
        <v>100000</v>
      </c>
      <c r="AJ170" s="25">
        <v>2.9</v>
      </c>
      <c r="AK170" s="25">
        <v>8.6</v>
      </c>
    </row>
    <row r="171" spans="1:37" x14ac:dyDescent="0.25">
      <c r="A171" t="s">
        <v>324</v>
      </c>
      <c r="B171" t="s">
        <v>117</v>
      </c>
      <c r="C171">
        <v>115204027</v>
      </c>
      <c r="D171" t="str">
        <f t="shared" si="117"/>
        <v>Kınalıdır, Baran-115204027</v>
      </c>
      <c r="E171" s="22">
        <v>6</v>
      </c>
      <c r="F171" s="22">
        <v>1</v>
      </c>
      <c r="G171" s="22">
        <v>8</v>
      </c>
      <c r="H171" s="22">
        <v>6963998</v>
      </c>
      <c r="I171" s="22">
        <v>2396416</v>
      </c>
      <c r="J171" s="22">
        <v>603694</v>
      </c>
      <c r="K171" s="22">
        <v>7824332</v>
      </c>
      <c r="L171" s="22">
        <v>100000</v>
      </c>
      <c r="M171" s="22">
        <v>109000</v>
      </c>
      <c r="N171" s="22">
        <v>118600</v>
      </c>
      <c r="O171" s="22">
        <v>127400</v>
      </c>
      <c r="P171" s="22">
        <v>127400</v>
      </c>
      <c r="Q171" s="22">
        <v>100000</v>
      </c>
      <c r="R171" s="22">
        <v>109000</v>
      </c>
      <c r="S171" s="22">
        <v>118600</v>
      </c>
      <c r="T171" s="24">
        <v>24000</v>
      </c>
      <c r="U171" s="22">
        <v>26767</v>
      </c>
      <c r="V171" s="22">
        <v>24267</v>
      </c>
      <c r="W171" s="22">
        <v>22067</v>
      </c>
      <c r="X171" s="22">
        <v>22067</v>
      </c>
      <c r="Y171" s="22">
        <v>29167</v>
      </c>
      <c r="Z171" s="22">
        <v>26767</v>
      </c>
      <c r="AA171" s="22">
        <v>24267</v>
      </c>
      <c r="AB171" s="24">
        <v>117000</v>
      </c>
      <c r="AC171" s="24">
        <v>115000</v>
      </c>
      <c r="AD171" s="24">
        <v>116000</v>
      </c>
      <c r="AE171" s="24">
        <v>115000</v>
      </c>
      <c r="AF171" s="24">
        <v>114000</v>
      </c>
      <c r="AG171" s="24">
        <v>113500</v>
      </c>
      <c r="AH171" s="24">
        <v>114500</v>
      </c>
      <c r="AI171" s="24">
        <v>111500</v>
      </c>
      <c r="AJ171" s="25">
        <v>4.3</v>
      </c>
      <c r="AK171" s="25">
        <v>6.7</v>
      </c>
    </row>
    <row r="172" spans="1:37" x14ac:dyDescent="0.25">
      <c r="A172" t="s">
        <v>325</v>
      </c>
      <c r="B172" t="s">
        <v>61</v>
      </c>
      <c r="C172">
        <v>116200154</v>
      </c>
      <c r="D172" t="str">
        <f t="shared" si="117"/>
        <v>Kıran, Furkan-116200154</v>
      </c>
      <c r="E172" s="22">
        <v>5</v>
      </c>
      <c r="F172" s="22">
        <v>1</v>
      </c>
      <c r="G172" s="22">
        <v>8</v>
      </c>
      <c r="H172" s="22">
        <v>7542033</v>
      </c>
      <c r="I172" s="22">
        <v>9323049</v>
      </c>
      <c r="J172" s="22">
        <v>3737042</v>
      </c>
      <c r="K172" s="22">
        <v>4929952</v>
      </c>
      <c r="L172" s="22">
        <v>100000</v>
      </c>
      <c r="M172" s="22">
        <v>109900</v>
      </c>
      <c r="N172" s="22">
        <v>118800</v>
      </c>
      <c r="O172" s="22">
        <v>128800</v>
      </c>
      <c r="P172" s="22">
        <v>109900</v>
      </c>
      <c r="Q172" s="22">
        <v>100000</v>
      </c>
      <c r="R172" s="22">
        <v>128800</v>
      </c>
      <c r="S172" s="22">
        <v>118800</v>
      </c>
      <c r="T172" s="24">
        <v>24000</v>
      </c>
      <c r="U172" s="22">
        <v>26768</v>
      </c>
      <c r="V172" s="22">
        <v>24668</v>
      </c>
      <c r="W172" s="22">
        <v>22268</v>
      </c>
      <c r="X172" s="22">
        <v>26768</v>
      </c>
      <c r="Y172" s="22">
        <v>29168</v>
      </c>
      <c r="Z172" s="22">
        <v>22268</v>
      </c>
      <c r="AA172" s="22">
        <v>24668</v>
      </c>
      <c r="AB172" s="24">
        <v>94000</v>
      </c>
      <c r="AC172" s="24">
        <v>96000</v>
      </c>
      <c r="AD172" s="24">
        <v>98000</v>
      </c>
      <c r="AE172" s="24">
        <v>102000</v>
      </c>
      <c r="AF172" s="24">
        <v>90000</v>
      </c>
      <c r="AG172" s="24">
        <v>92500</v>
      </c>
      <c r="AH172" s="24">
        <v>95500</v>
      </c>
      <c r="AI172" s="24">
        <v>100000</v>
      </c>
      <c r="AJ172" s="25">
        <v>4.5</v>
      </c>
      <c r="AK172" s="25">
        <v>8.4</v>
      </c>
    </row>
    <row r="173" spans="1:37" x14ac:dyDescent="0.25">
      <c r="A173" t="s">
        <v>326</v>
      </c>
      <c r="B173" t="s">
        <v>327</v>
      </c>
      <c r="C173">
        <v>113205003</v>
      </c>
      <c r="D173" t="str">
        <f t="shared" si="117"/>
        <v>Kırmacı, Kılıç Kıray-113205003</v>
      </c>
      <c r="E173" s="22">
        <v>7</v>
      </c>
      <c r="F173" s="22">
        <v>2</v>
      </c>
      <c r="G173" s="22">
        <v>10</v>
      </c>
      <c r="H173" s="22">
        <v>7620327</v>
      </c>
      <c r="I173" s="22">
        <v>9364403</v>
      </c>
      <c r="J173" s="22">
        <v>1464067</v>
      </c>
      <c r="K173" s="22">
        <v>6880385</v>
      </c>
      <c r="L173" s="22">
        <v>100000</v>
      </c>
      <c r="M173" s="22">
        <v>109800</v>
      </c>
      <c r="N173" s="22">
        <v>117800</v>
      </c>
      <c r="O173" s="22">
        <v>126200</v>
      </c>
      <c r="P173" s="22">
        <v>109800</v>
      </c>
      <c r="Q173" s="22">
        <v>100000</v>
      </c>
      <c r="R173" s="22">
        <v>126200</v>
      </c>
      <c r="S173" s="22">
        <v>117800</v>
      </c>
      <c r="T173" s="24">
        <v>24000</v>
      </c>
      <c r="U173" s="22">
        <v>26669</v>
      </c>
      <c r="V173" s="22">
        <v>24569</v>
      </c>
      <c r="W173" s="22">
        <v>22069</v>
      </c>
      <c r="X173" s="22">
        <v>26669</v>
      </c>
      <c r="Y173" s="22">
        <v>29169</v>
      </c>
      <c r="Z173" s="22">
        <v>22069</v>
      </c>
      <c r="AA173" s="22">
        <v>24569</v>
      </c>
      <c r="AB173" s="24">
        <v>106000</v>
      </c>
      <c r="AC173" s="24">
        <v>108000</v>
      </c>
      <c r="AD173" s="24">
        <v>106000</v>
      </c>
      <c r="AE173" s="24">
        <v>110000</v>
      </c>
      <c r="AF173" s="24">
        <v>103000</v>
      </c>
      <c r="AG173" s="24">
        <v>106000</v>
      </c>
      <c r="AH173" s="24">
        <v>104000</v>
      </c>
      <c r="AI173" s="24">
        <v>107500</v>
      </c>
      <c r="AJ173" s="25">
        <v>4.5</v>
      </c>
      <c r="AK173" s="25">
        <v>8.4</v>
      </c>
    </row>
    <row r="174" spans="1:37" x14ac:dyDescent="0.25">
      <c r="A174" t="s">
        <v>328</v>
      </c>
      <c r="B174" t="s">
        <v>329</v>
      </c>
      <c r="C174">
        <v>113202026</v>
      </c>
      <c r="D174" t="str">
        <f t="shared" si="117"/>
        <v>Kırmızıay, Büşra-113202026</v>
      </c>
      <c r="E174" s="22">
        <v>7</v>
      </c>
      <c r="F174" s="22">
        <v>3</v>
      </c>
      <c r="G174" s="22">
        <v>15</v>
      </c>
      <c r="H174" s="22">
        <v>6301833</v>
      </c>
      <c r="I174" s="22">
        <v>304711</v>
      </c>
      <c r="J174" s="22">
        <v>6299110</v>
      </c>
      <c r="K174" s="22">
        <v>2814662</v>
      </c>
      <c r="L174" s="22">
        <v>100000</v>
      </c>
      <c r="M174" s="22">
        <v>109100</v>
      </c>
      <c r="N174" s="22">
        <v>118800</v>
      </c>
      <c r="O174" s="22">
        <v>128200</v>
      </c>
      <c r="P174" s="22">
        <v>100000</v>
      </c>
      <c r="Q174" s="22">
        <v>118800</v>
      </c>
      <c r="R174" s="22">
        <v>128200</v>
      </c>
      <c r="S174" s="22">
        <v>109100</v>
      </c>
      <c r="T174" s="24">
        <v>23000</v>
      </c>
      <c r="U174" s="22">
        <v>27170</v>
      </c>
      <c r="V174" s="22">
        <v>25170</v>
      </c>
      <c r="W174" s="22">
        <v>22770</v>
      </c>
      <c r="X174" s="22">
        <v>29170</v>
      </c>
      <c r="Y174" s="22">
        <v>25170</v>
      </c>
      <c r="Z174" s="22">
        <v>22770</v>
      </c>
      <c r="AA174" s="22">
        <v>27170</v>
      </c>
      <c r="AB174" s="24">
        <v>99000</v>
      </c>
      <c r="AC174" s="24">
        <v>101000</v>
      </c>
      <c r="AD174" s="24">
        <v>104000</v>
      </c>
      <c r="AE174" s="24">
        <v>105000</v>
      </c>
      <c r="AF174" s="24">
        <v>95500</v>
      </c>
      <c r="AG174" s="24">
        <v>97500</v>
      </c>
      <c r="AH174" s="24">
        <v>102500</v>
      </c>
      <c r="AI174" s="24">
        <v>101000</v>
      </c>
      <c r="AJ174" s="25">
        <v>4.3</v>
      </c>
      <c r="AK174" s="25">
        <v>6.9</v>
      </c>
    </row>
    <row r="175" spans="1:37" x14ac:dyDescent="0.25">
      <c r="A175" t="s">
        <v>330</v>
      </c>
      <c r="B175" t="s">
        <v>331</v>
      </c>
      <c r="C175">
        <v>116203055</v>
      </c>
      <c r="D175" t="str">
        <f t="shared" si="117"/>
        <v>Kişi, Murtaza-116203055</v>
      </c>
      <c r="E175" s="22">
        <v>5</v>
      </c>
      <c r="F175" s="22">
        <v>3</v>
      </c>
      <c r="G175" s="22">
        <v>15</v>
      </c>
      <c r="H175" s="22">
        <v>8403107</v>
      </c>
      <c r="I175" s="22">
        <v>176398</v>
      </c>
      <c r="J175" s="22">
        <v>5175920</v>
      </c>
      <c r="K175" s="22">
        <v>4855791</v>
      </c>
      <c r="L175" s="22">
        <v>100000</v>
      </c>
      <c r="M175" s="22">
        <v>108300</v>
      </c>
      <c r="N175" s="22">
        <v>116700</v>
      </c>
      <c r="O175" s="22">
        <v>125500</v>
      </c>
      <c r="P175" s="22">
        <v>100000</v>
      </c>
      <c r="Q175" s="22">
        <v>116700</v>
      </c>
      <c r="R175" s="22">
        <v>125500</v>
      </c>
      <c r="S175" s="22">
        <v>108300</v>
      </c>
      <c r="T175" s="24">
        <v>29000</v>
      </c>
      <c r="U175" s="22">
        <v>26971</v>
      </c>
      <c r="V175" s="22">
        <v>24571</v>
      </c>
      <c r="W175" s="22">
        <v>22471</v>
      </c>
      <c r="X175" s="22">
        <v>29171</v>
      </c>
      <c r="Y175" s="22">
        <v>24571</v>
      </c>
      <c r="Z175" s="22">
        <v>22471</v>
      </c>
      <c r="AA175" s="22">
        <v>26971</v>
      </c>
      <c r="AB175" s="24">
        <v>115000</v>
      </c>
      <c r="AC175" s="24">
        <v>118000</v>
      </c>
      <c r="AD175" s="24">
        <v>120000</v>
      </c>
      <c r="AE175" s="24">
        <v>120000</v>
      </c>
      <c r="AF175" s="24">
        <v>112500</v>
      </c>
      <c r="AG175" s="24">
        <v>116500</v>
      </c>
      <c r="AH175" s="24">
        <v>117500</v>
      </c>
      <c r="AI175" s="24">
        <v>116000</v>
      </c>
      <c r="AJ175" s="25">
        <v>5</v>
      </c>
      <c r="AK175" s="25">
        <v>7.2</v>
      </c>
    </row>
    <row r="176" spans="1:37" x14ac:dyDescent="0.25">
      <c r="A176" t="s">
        <v>332</v>
      </c>
      <c r="B176" t="s">
        <v>333</v>
      </c>
      <c r="C176">
        <v>115204055</v>
      </c>
      <c r="D176" t="str">
        <f t="shared" si="117"/>
        <v>Kızılpınar, Onur Çağrı-115204055</v>
      </c>
      <c r="E176" s="22">
        <v>7</v>
      </c>
      <c r="F176" s="22">
        <v>1</v>
      </c>
      <c r="G176" s="22">
        <v>8</v>
      </c>
      <c r="H176" s="22">
        <v>5143142</v>
      </c>
      <c r="I176" s="22">
        <v>5488481</v>
      </c>
      <c r="J176" s="22">
        <v>4419941</v>
      </c>
      <c r="K176" s="22">
        <v>2418958</v>
      </c>
      <c r="L176" s="22">
        <v>100000</v>
      </c>
      <c r="M176" s="22">
        <v>109100</v>
      </c>
      <c r="N176" s="22">
        <v>118200</v>
      </c>
      <c r="O176" s="22">
        <v>127800</v>
      </c>
      <c r="P176" s="22">
        <v>109100</v>
      </c>
      <c r="Q176" s="22">
        <v>100000</v>
      </c>
      <c r="R176" s="22">
        <v>118200</v>
      </c>
      <c r="S176" s="22">
        <v>127800</v>
      </c>
      <c r="T176" s="24">
        <v>28000</v>
      </c>
      <c r="U176" s="22">
        <v>26972</v>
      </c>
      <c r="V176" s="22">
        <v>24772</v>
      </c>
      <c r="W176" s="22">
        <v>22272</v>
      </c>
      <c r="X176" s="22">
        <v>26972</v>
      </c>
      <c r="Y176" s="22">
        <v>29172</v>
      </c>
      <c r="Z176" s="22">
        <v>24772</v>
      </c>
      <c r="AA176" s="22">
        <v>22272</v>
      </c>
      <c r="AB176" s="24">
        <v>118000</v>
      </c>
      <c r="AC176" s="24">
        <v>121000</v>
      </c>
      <c r="AD176" s="24">
        <v>125000</v>
      </c>
      <c r="AE176" s="24">
        <v>125000</v>
      </c>
      <c r="AF176" s="24">
        <v>115000</v>
      </c>
      <c r="AG176" s="24">
        <v>117000</v>
      </c>
      <c r="AH176" s="24">
        <v>123500</v>
      </c>
      <c r="AI176" s="24">
        <v>123500</v>
      </c>
      <c r="AJ176" s="25">
        <v>3.9</v>
      </c>
      <c r="AK176" s="25">
        <v>9.6999999999999993</v>
      </c>
    </row>
    <row r="177" spans="1:37" x14ac:dyDescent="0.25">
      <c r="A177" t="s">
        <v>334</v>
      </c>
      <c r="B177" t="s">
        <v>335</v>
      </c>
      <c r="C177">
        <v>113205011</v>
      </c>
      <c r="D177" t="str">
        <f t="shared" si="117"/>
        <v>Koçak, Yusuf-113205011</v>
      </c>
      <c r="E177" s="22">
        <v>7</v>
      </c>
      <c r="F177" s="22">
        <v>2</v>
      </c>
      <c r="G177" s="22">
        <v>10</v>
      </c>
      <c r="H177" s="22">
        <v>651810</v>
      </c>
      <c r="I177" s="22">
        <v>35817</v>
      </c>
      <c r="J177" s="22">
        <v>3011599</v>
      </c>
      <c r="K177" s="22">
        <v>4082987</v>
      </c>
      <c r="L177" s="22">
        <v>100000</v>
      </c>
      <c r="M177" s="22">
        <v>109300</v>
      </c>
      <c r="N177" s="22">
        <v>118000</v>
      </c>
      <c r="O177" s="22">
        <v>128000</v>
      </c>
      <c r="P177" s="22">
        <v>128000</v>
      </c>
      <c r="Q177" s="22">
        <v>118000</v>
      </c>
      <c r="R177" s="22">
        <v>100000</v>
      </c>
      <c r="S177" s="22">
        <v>109300</v>
      </c>
      <c r="T177" s="24">
        <v>23000</v>
      </c>
      <c r="U177" s="22">
        <v>26773</v>
      </c>
      <c r="V177" s="22">
        <v>24573</v>
      </c>
      <c r="W177" s="22">
        <v>22373</v>
      </c>
      <c r="X177" s="22">
        <v>22373</v>
      </c>
      <c r="Y177" s="22">
        <v>24573</v>
      </c>
      <c r="Z177" s="22">
        <v>29173</v>
      </c>
      <c r="AA177" s="22">
        <v>26773</v>
      </c>
      <c r="AB177" s="24">
        <v>95000</v>
      </c>
      <c r="AC177" s="24">
        <v>99000</v>
      </c>
      <c r="AD177" s="24">
        <v>101000</v>
      </c>
      <c r="AE177" s="24">
        <v>105000</v>
      </c>
      <c r="AF177" s="24">
        <v>92000</v>
      </c>
      <c r="AG177" s="24">
        <v>97500</v>
      </c>
      <c r="AH177" s="24">
        <v>98500</v>
      </c>
      <c r="AI177" s="24">
        <v>102500</v>
      </c>
      <c r="AJ177" s="25">
        <v>2.9</v>
      </c>
      <c r="AK177" s="25">
        <v>7.7</v>
      </c>
    </row>
    <row r="178" spans="1:37" x14ac:dyDescent="0.25">
      <c r="A178" t="s">
        <v>336</v>
      </c>
      <c r="B178" t="s">
        <v>337</v>
      </c>
      <c r="C178">
        <v>114203043</v>
      </c>
      <c r="D178" t="str">
        <f t="shared" si="117"/>
        <v>Köksal, Kadir Burak-114203043</v>
      </c>
      <c r="E178" s="22">
        <v>7</v>
      </c>
      <c r="F178" s="22">
        <v>2</v>
      </c>
      <c r="G178" s="22">
        <v>10</v>
      </c>
      <c r="H178" s="22">
        <v>8382434</v>
      </c>
      <c r="I178" s="22">
        <v>2872142</v>
      </c>
      <c r="J178" s="22">
        <v>5816809</v>
      </c>
      <c r="K178" s="22">
        <v>6534866</v>
      </c>
      <c r="L178" s="22">
        <v>100000</v>
      </c>
      <c r="M178" s="22">
        <v>109900</v>
      </c>
      <c r="N178" s="22">
        <v>118000</v>
      </c>
      <c r="O178" s="22">
        <v>126700</v>
      </c>
      <c r="P178" s="22">
        <v>100000</v>
      </c>
      <c r="Q178" s="22">
        <v>126700</v>
      </c>
      <c r="R178" s="22">
        <v>118000</v>
      </c>
      <c r="S178" s="22">
        <v>109900</v>
      </c>
      <c r="T178" s="24">
        <v>28000</v>
      </c>
      <c r="U178" s="22">
        <v>26674</v>
      </c>
      <c r="V178" s="22">
        <v>24474</v>
      </c>
      <c r="W178" s="22">
        <v>22474</v>
      </c>
      <c r="X178" s="22">
        <v>29174</v>
      </c>
      <c r="Y178" s="22">
        <v>22474</v>
      </c>
      <c r="Z178" s="22">
        <v>24474</v>
      </c>
      <c r="AA178" s="22">
        <v>26674</v>
      </c>
      <c r="AB178" s="24">
        <v>95000</v>
      </c>
      <c r="AC178" s="24">
        <v>99000</v>
      </c>
      <c r="AD178" s="24">
        <v>97000</v>
      </c>
      <c r="AE178" s="24">
        <v>101000</v>
      </c>
      <c r="AF178" s="24">
        <v>92000</v>
      </c>
      <c r="AG178" s="24">
        <v>97500</v>
      </c>
      <c r="AH178" s="24">
        <v>94000</v>
      </c>
      <c r="AI178" s="24">
        <v>97000</v>
      </c>
      <c r="AJ178" s="25">
        <v>4.0999999999999996</v>
      </c>
      <c r="AK178" s="25">
        <v>6.6</v>
      </c>
    </row>
    <row r="179" spans="1:37" x14ac:dyDescent="0.25">
      <c r="A179" t="s">
        <v>338</v>
      </c>
      <c r="B179" t="s">
        <v>339</v>
      </c>
      <c r="C179">
        <v>114204036</v>
      </c>
      <c r="D179" t="str">
        <f t="shared" si="117"/>
        <v>Kontürk, İlker-114204036</v>
      </c>
      <c r="E179" s="22">
        <v>5</v>
      </c>
      <c r="F179" s="22">
        <v>3</v>
      </c>
      <c r="G179" s="22">
        <v>15</v>
      </c>
      <c r="H179" s="22">
        <v>2928327</v>
      </c>
      <c r="I179" s="22">
        <v>4330150</v>
      </c>
      <c r="J179" s="22">
        <v>1966715</v>
      </c>
      <c r="K179" s="22">
        <v>2114814</v>
      </c>
      <c r="L179" s="22">
        <v>100000</v>
      </c>
      <c r="M179" s="22">
        <v>109900</v>
      </c>
      <c r="N179" s="22">
        <v>119500</v>
      </c>
      <c r="O179" s="22">
        <v>128000</v>
      </c>
      <c r="P179" s="22">
        <v>109900</v>
      </c>
      <c r="Q179" s="22">
        <v>100000</v>
      </c>
      <c r="R179" s="22">
        <v>128000</v>
      </c>
      <c r="S179" s="22">
        <v>119500</v>
      </c>
      <c r="T179" s="24">
        <v>25000</v>
      </c>
      <c r="U179" s="22">
        <v>26675</v>
      </c>
      <c r="V179" s="22">
        <v>24375</v>
      </c>
      <c r="W179" s="22">
        <v>22175</v>
      </c>
      <c r="X179" s="22">
        <v>26675</v>
      </c>
      <c r="Y179" s="22">
        <v>29175</v>
      </c>
      <c r="Z179" s="22">
        <v>22175</v>
      </c>
      <c r="AA179" s="22">
        <v>24375</v>
      </c>
      <c r="AB179" s="24">
        <v>120000</v>
      </c>
      <c r="AC179" s="24">
        <v>124000</v>
      </c>
      <c r="AD179" s="24">
        <v>121000</v>
      </c>
      <c r="AE179" s="24">
        <v>125000</v>
      </c>
      <c r="AF179" s="24">
        <v>116500</v>
      </c>
      <c r="AG179" s="24">
        <v>120500</v>
      </c>
      <c r="AH179" s="24">
        <v>118500</v>
      </c>
      <c r="AI179" s="24">
        <v>123000</v>
      </c>
      <c r="AJ179" s="25">
        <v>2.9</v>
      </c>
      <c r="AK179" s="25">
        <v>7.5</v>
      </c>
    </row>
    <row r="180" spans="1:37" x14ac:dyDescent="0.25">
      <c r="A180" t="s">
        <v>340</v>
      </c>
      <c r="B180" t="s">
        <v>214</v>
      </c>
      <c r="C180">
        <v>116201145</v>
      </c>
      <c r="D180" t="str">
        <f t="shared" si="117"/>
        <v>Köroğlu, Çağla-116201145</v>
      </c>
      <c r="E180" s="22">
        <v>6</v>
      </c>
      <c r="F180" s="22">
        <v>3</v>
      </c>
      <c r="G180" s="22">
        <v>15</v>
      </c>
      <c r="H180" s="22">
        <v>8719181</v>
      </c>
      <c r="I180" s="22">
        <v>5096094</v>
      </c>
      <c r="J180" s="22">
        <v>1243268</v>
      </c>
      <c r="K180" s="22">
        <v>9183643</v>
      </c>
      <c r="L180" s="22">
        <v>100000</v>
      </c>
      <c r="M180" s="22">
        <v>109700</v>
      </c>
      <c r="N180" s="22">
        <v>117800</v>
      </c>
      <c r="O180" s="22">
        <v>126300</v>
      </c>
      <c r="P180" s="22">
        <v>126300</v>
      </c>
      <c r="Q180" s="22">
        <v>100000</v>
      </c>
      <c r="R180" s="22">
        <v>109700</v>
      </c>
      <c r="S180" s="22">
        <v>117800</v>
      </c>
      <c r="T180" s="24">
        <v>28000</v>
      </c>
      <c r="U180" s="22">
        <v>26876</v>
      </c>
      <c r="V180" s="22">
        <v>24476</v>
      </c>
      <c r="W180" s="22">
        <v>21976</v>
      </c>
      <c r="X180" s="22">
        <v>21976</v>
      </c>
      <c r="Y180" s="22">
        <v>29176</v>
      </c>
      <c r="Z180" s="22">
        <v>26876</v>
      </c>
      <c r="AA180" s="22">
        <v>24476</v>
      </c>
      <c r="AB180" s="24">
        <v>116000</v>
      </c>
      <c r="AC180" s="24">
        <v>115000</v>
      </c>
      <c r="AD180" s="24">
        <v>117000</v>
      </c>
      <c r="AE180" s="24">
        <v>117000</v>
      </c>
      <c r="AF180" s="24">
        <v>114000</v>
      </c>
      <c r="AG180" s="24">
        <v>113500</v>
      </c>
      <c r="AH180" s="24">
        <v>114500</v>
      </c>
      <c r="AI180" s="24">
        <v>114500</v>
      </c>
      <c r="AJ180" s="25">
        <v>3.1</v>
      </c>
      <c r="AK180" s="25">
        <v>9.4</v>
      </c>
    </row>
    <row r="181" spans="1:37" x14ac:dyDescent="0.25">
      <c r="A181" t="s">
        <v>341</v>
      </c>
      <c r="B181" t="s">
        <v>342</v>
      </c>
      <c r="C181">
        <v>113204020</v>
      </c>
      <c r="D181" t="str">
        <f t="shared" si="117"/>
        <v>Koyutürk, Raşit-113204020</v>
      </c>
      <c r="E181" s="22">
        <v>4</v>
      </c>
      <c r="F181" s="22">
        <v>1</v>
      </c>
      <c r="G181" s="22">
        <v>8</v>
      </c>
      <c r="H181" s="22">
        <v>2770105</v>
      </c>
      <c r="I181" s="22">
        <v>1459892</v>
      </c>
      <c r="J181" s="22">
        <v>9252527</v>
      </c>
      <c r="K181" s="22">
        <v>4995831</v>
      </c>
      <c r="L181" s="22">
        <v>100000</v>
      </c>
      <c r="M181" s="22">
        <v>109300</v>
      </c>
      <c r="N181" s="22">
        <v>117600</v>
      </c>
      <c r="O181" s="22">
        <v>127100</v>
      </c>
      <c r="P181" s="22">
        <v>117600</v>
      </c>
      <c r="Q181" s="22">
        <v>127100</v>
      </c>
      <c r="R181" s="22">
        <v>100000</v>
      </c>
      <c r="S181" s="22">
        <v>109300</v>
      </c>
      <c r="T181" s="24">
        <v>26000</v>
      </c>
      <c r="U181" s="22">
        <v>26977</v>
      </c>
      <c r="V181" s="22">
        <v>24977</v>
      </c>
      <c r="W181" s="22">
        <v>22677</v>
      </c>
      <c r="X181" s="22">
        <v>24977</v>
      </c>
      <c r="Y181" s="22">
        <v>22677</v>
      </c>
      <c r="Z181" s="22">
        <v>29177</v>
      </c>
      <c r="AA181" s="22">
        <v>26977</v>
      </c>
      <c r="AB181" s="24">
        <v>101000</v>
      </c>
      <c r="AC181" s="24">
        <v>105000</v>
      </c>
      <c r="AD181" s="24">
        <v>105000</v>
      </c>
      <c r="AE181" s="24">
        <v>103000</v>
      </c>
      <c r="AF181" s="24">
        <v>99500</v>
      </c>
      <c r="AG181" s="24">
        <v>103500</v>
      </c>
      <c r="AH181" s="24">
        <v>101000</v>
      </c>
      <c r="AI181" s="24">
        <v>99500</v>
      </c>
      <c r="AJ181" s="25">
        <v>4.2</v>
      </c>
      <c r="AK181" s="25">
        <v>9.3000000000000007</v>
      </c>
    </row>
    <row r="182" spans="1:37" x14ac:dyDescent="0.25">
      <c r="A182" t="s">
        <v>343</v>
      </c>
      <c r="B182" t="s">
        <v>122</v>
      </c>
      <c r="C182">
        <v>114202009</v>
      </c>
      <c r="D182" t="str">
        <f t="shared" si="117"/>
        <v>Küçük, Elif-114202009</v>
      </c>
      <c r="E182" s="22">
        <v>5</v>
      </c>
      <c r="F182" s="22">
        <v>2</v>
      </c>
      <c r="G182" s="22">
        <v>10</v>
      </c>
      <c r="H182" s="22">
        <v>8699591</v>
      </c>
      <c r="I182" s="22">
        <v>4340120</v>
      </c>
      <c r="J182" s="22">
        <v>5937625</v>
      </c>
      <c r="K182" s="22">
        <v>8200251</v>
      </c>
      <c r="L182" s="22">
        <v>100000</v>
      </c>
      <c r="M182" s="22">
        <v>108100</v>
      </c>
      <c r="N182" s="22">
        <v>117200</v>
      </c>
      <c r="O182" s="22">
        <v>126800</v>
      </c>
      <c r="P182" s="22">
        <v>100000</v>
      </c>
      <c r="Q182" s="22">
        <v>126800</v>
      </c>
      <c r="R182" s="22">
        <v>117200</v>
      </c>
      <c r="S182" s="22">
        <v>108100</v>
      </c>
      <c r="T182" s="24">
        <v>24000</v>
      </c>
      <c r="U182" s="22">
        <v>26778</v>
      </c>
      <c r="V182" s="22">
        <v>24278</v>
      </c>
      <c r="W182" s="22">
        <v>21778</v>
      </c>
      <c r="X182" s="22">
        <v>29178</v>
      </c>
      <c r="Y182" s="22">
        <v>21778</v>
      </c>
      <c r="Z182" s="22">
        <v>24278</v>
      </c>
      <c r="AA182" s="22">
        <v>26778</v>
      </c>
      <c r="AB182" s="24">
        <v>92000</v>
      </c>
      <c r="AC182" s="24">
        <v>93000</v>
      </c>
      <c r="AD182" s="24">
        <v>97000</v>
      </c>
      <c r="AE182" s="24">
        <v>99000</v>
      </c>
      <c r="AF182" s="24">
        <v>90000</v>
      </c>
      <c r="AG182" s="24">
        <v>89000</v>
      </c>
      <c r="AH182" s="24">
        <v>94000</v>
      </c>
      <c r="AI182" s="24">
        <v>97000</v>
      </c>
      <c r="AJ182" s="25">
        <v>4.0999999999999996</v>
      </c>
      <c r="AK182" s="25">
        <v>6.6</v>
      </c>
    </row>
    <row r="183" spans="1:37" x14ac:dyDescent="0.25">
      <c r="A183" t="s">
        <v>343</v>
      </c>
      <c r="B183" t="s">
        <v>344</v>
      </c>
      <c r="C183">
        <v>114202047</v>
      </c>
      <c r="D183" t="str">
        <f t="shared" si="117"/>
        <v>Küçük, Hüseyin Ardan-114202047</v>
      </c>
      <c r="E183" s="22">
        <v>5</v>
      </c>
      <c r="F183" s="22">
        <v>3</v>
      </c>
      <c r="G183" s="22">
        <v>15</v>
      </c>
      <c r="H183" s="22">
        <v>7148128</v>
      </c>
      <c r="I183" s="22">
        <v>7487558</v>
      </c>
      <c r="J183" s="22">
        <v>2138096</v>
      </c>
      <c r="K183" s="22">
        <v>147470</v>
      </c>
      <c r="L183" s="22">
        <v>100000</v>
      </c>
      <c r="M183" s="22">
        <v>109200</v>
      </c>
      <c r="N183" s="22">
        <v>117800</v>
      </c>
      <c r="O183" s="22">
        <v>127200</v>
      </c>
      <c r="P183" s="22">
        <v>109200</v>
      </c>
      <c r="Q183" s="22">
        <v>100000</v>
      </c>
      <c r="R183" s="22">
        <v>117800</v>
      </c>
      <c r="S183" s="22">
        <v>127200</v>
      </c>
      <c r="T183" s="24">
        <v>24000</v>
      </c>
      <c r="U183" s="22">
        <v>27179</v>
      </c>
      <c r="V183" s="22">
        <v>24679</v>
      </c>
      <c r="W183" s="22">
        <v>22579</v>
      </c>
      <c r="X183" s="22">
        <v>27179</v>
      </c>
      <c r="Y183" s="22">
        <v>29179</v>
      </c>
      <c r="Z183" s="22">
        <v>24679</v>
      </c>
      <c r="AA183" s="22">
        <v>22579</v>
      </c>
      <c r="AB183" s="24">
        <v>106000</v>
      </c>
      <c r="AC183" s="24">
        <v>103000</v>
      </c>
      <c r="AD183" s="24">
        <v>103000</v>
      </c>
      <c r="AE183" s="24">
        <v>107000</v>
      </c>
      <c r="AF183" s="24">
        <v>102500</v>
      </c>
      <c r="AG183" s="24">
        <v>100000</v>
      </c>
      <c r="AH183" s="24">
        <v>101000</v>
      </c>
      <c r="AI183" s="24">
        <v>105000</v>
      </c>
      <c r="AJ183" s="25">
        <v>4.4000000000000004</v>
      </c>
      <c r="AK183" s="25">
        <v>6.5</v>
      </c>
    </row>
    <row r="184" spans="1:37" x14ac:dyDescent="0.25">
      <c r="A184" t="s">
        <v>345</v>
      </c>
      <c r="B184" t="s">
        <v>346</v>
      </c>
      <c r="C184">
        <v>116203182</v>
      </c>
      <c r="D184" t="str">
        <f t="shared" si="117"/>
        <v>Küçükyılmaz, Canakan-116203182</v>
      </c>
      <c r="E184" s="22">
        <v>5</v>
      </c>
      <c r="F184" s="22">
        <v>2</v>
      </c>
      <c r="G184" s="22">
        <v>10</v>
      </c>
      <c r="H184" s="22">
        <v>5567400</v>
      </c>
      <c r="I184" s="22">
        <v>7017477</v>
      </c>
      <c r="J184" s="22">
        <v>9328564</v>
      </c>
      <c r="K184" s="22">
        <v>3644674</v>
      </c>
      <c r="L184" s="22">
        <v>100000</v>
      </c>
      <c r="M184" s="22">
        <v>110000</v>
      </c>
      <c r="N184" s="22">
        <v>119400</v>
      </c>
      <c r="O184" s="22">
        <v>129300</v>
      </c>
      <c r="P184" s="22">
        <v>119400</v>
      </c>
      <c r="Q184" s="22">
        <v>110000</v>
      </c>
      <c r="R184" s="22">
        <v>100000</v>
      </c>
      <c r="S184" s="22">
        <v>129300</v>
      </c>
      <c r="T184" s="24">
        <v>29000</v>
      </c>
      <c r="U184" s="22">
        <v>27180</v>
      </c>
      <c r="V184" s="22">
        <v>24780</v>
      </c>
      <c r="W184" s="22">
        <v>22380</v>
      </c>
      <c r="X184" s="22">
        <v>24780</v>
      </c>
      <c r="Y184" s="22">
        <v>27180</v>
      </c>
      <c r="Z184" s="22">
        <v>29180</v>
      </c>
      <c r="AA184" s="22">
        <v>22380</v>
      </c>
      <c r="AB184" s="24">
        <v>118000</v>
      </c>
      <c r="AC184" s="24">
        <v>119000</v>
      </c>
      <c r="AD184" s="24">
        <v>121000</v>
      </c>
      <c r="AE184" s="24">
        <v>118000</v>
      </c>
      <c r="AF184" s="24">
        <v>115500</v>
      </c>
      <c r="AG184" s="24">
        <v>117000</v>
      </c>
      <c r="AH184" s="24">
        <v>119000</v>
      </c>
      <c r="AI184" s="24">
        <v>116000</v>
      </c>
      <c r="AJ184" s="25">
        <v>3.1</v>
      </c>
      <c r="AK184" s="25">
        <v>6.8</v>
      </c>
    </row>
    <row r="185" spans="1:37" x14ac:dyDescent="0.25">
      <c r="A185" t="s">
        <v>347</v>
      </c>
      <c r="B185" t="s">
        <v>348</v>
      </c>
      <c r="C185">
        <v>114205040</v>
      </c>
      <c r="D185" t="str">
        <f t="shared" si="117"/>
        <v>Kumruluoğlu, Ahmet-114205040</v>
      </c>
      <c r="E185" s="22">
        <v>6</v>
      </c>
      <c r="F185" s="22">
        <v>2</v>
      </c>
      <c r="G185" s="22">
        <v>10</v>
      </c>
      <c r="H185" s="22">
        <v>2314848</v>
      </c>
      <c r="I185" s="22">
        <v>1982874</v>
      </c>
      <c r="J185" s="22">
        <v>4260797</v>
      </c>
      <c r="K185" s="22">
        <v>9872667</v>
      </c>
      <c r="L185" s="22">
        <v>100000</v>
      </c>
      <c r="M185" s="22">
        <v>109100</v>
      </c>
      <c r="N185" s="22">
        <v>117900</v>
      </c>
      <c r="O185" s="22">
        <v>126400</v>
      </c>
      <c r="P185" s="22">
        <v>126400</v>
      </c>
      <c r="Q185" s="22">
        <v>117900</v>
      </c>
      <c r="R185" s="22">
        <v>100000</v>
      </c>
      <c r="S185" s="22">
        <v>109100</v>
      </c>
      <c r="T185" s="24">
        <v>26000</v>
      </c>
      <c r="U185" s="22">
        <v>26881</v>
      </c>
      <c r="V185" s="22">
        <v>24881</v>
      </c>
      <c r="W185" s="22">
        <v>22781</v>
      </c>
      <c r="X185" s="22">
        <v>22781</v>
      </c>
      <c r="Y185" s="22">
        <v>24881</v>
      </c>
      <c r="Z185" s="22">
        <v>29181</v>
      </c>
      <c r="AA185" s="22">
        <v>26881</v>
      </c>
      <c r="AB185" s="24">
        <v>91000</v>
      </c>
      <c r="AC185" s="24">
        <v>91000</v>
      </c>
      <c r="AD185" s="24">
        <v>88000</v>
      </c>
      <c r="AE185" s="24">
        <v>92000</v>
      </c>
      <c r="AF185" s="24">
        <v>88500</v>
      </c>
      <c r="AG185" s="24">
        <v>88500</v>
      </c>
      <c r="AH185" s="24">
        <v>86500</v>
      </c>
      <c r="AI185" s="24">
        <v>90000</v>
      </c>
      <c r="AJ185" s="25">
        <v>3.4</v>
      </c>
      <c r="AK185" s="25">
        <v>9.5</v>
      </c>
    </row>
    <row r="186" spans="1:37" x14ac:dyDescent="0.25">
      <c r="A186" t="s">
        <v>349</v>
      </c>
      <c r="B186" t="s">
        <v>350</v>
      </c>
      <c r="C186">
        <v>114200013</v>
      </c>
      <c r="D186" t="str">
        <f t="shared" si="117"/>
        <v>Kundak, Esin-114200013</v>
      </c>
      <c r="E186" s="22">
        <v>6</v>
      </c>
      <c r="F186" s="22">
        <v>2</v>
      </c>
      <c r="G186" s="22">
        <v>10</v>
      </c>
      <c r="H186" s="22">
        <v>6098514</v>
      </c>
      <c r="I186" s="22">
        <v>508698</v>
      </c>
      <c r="J186" s="22">
        <v>5956806</v>
      </c>
      <c r="K186" s="22">
        <v>6618268</v>
      </c>
      <c r="L186" s="22">
        <v>100000</v>
      </c>
      <c r="M186" s="22">
        <v>109200</v>
      </c>
      <c r="N186" s="22">
        <v>117800</v>
      </c>
      <c r="O186" s="22">
        <v>127700</v>
      </c>
      <c r="P186" s="22">
        <v>127700</v>
      </c>
      <c r="Q186" s="22">
        <v>100000</v>
      </c>
      <c r="R186" s="22">
        <v>117800</v>
      </c>
      <c r="S186" s="22">
        <v>109200</v>
      </c>
      <c r="T186" s="24">
        <v>23000</v>
      </c>
      <c r="U186" s="22">
        <v>26682</v>
      </c>
      <c r="V186" s="22">
        <v>24182</v>
      </c>
      <c r="W186" s="22">
        <v>21882</v>
      </c>
      <c r="X186" s="22">
        <v>21882</v>
      </c>
      <c r="Y186" s="22">
        <v>29182</v>
      </c>
      <c r="Z186" s="22">
        <v>24182</v>
      </c>
      <c r="AA186" s="22">
        <v>26682</v>
      </c>
      <c r="AB186" s="24">
        <v>90000</v>
      </c>
      <c r="AC186" s="24">
        <v>89000</v>
      </c>
      <c r="AD186" s="24">
        <v>92000</v>
      </c>
      <c r="AE186" s="24">
        <v>90000</v>
      </c>
      <c r="AF186" s="24">
        <v>86500</v>
      </c>
      <c r="AG186" s="24">
        <v>87000</v>
      </c>
      <c r="AH186" s="24">
        <v>88500</v>
      </c>
      <c r="AI186" s="24">
        <v>88500</v>
      </c>
      <c r="AJ186" s="25">
        <v>4.9000000000000004</v>
      </c>
      <c r="AK186" s="25">
        <v>7.3</v>
      </c>
    </row>
    <row r="187" spans="1:37" x14ac:dyDescent="0.25">
      <c r="A187" t="s">
        <v>351</v>
      </c>
      <c r="B187" t="s">
        <v>352</v>
      </c>
      <c r="C187">
        <v>114200064</v>
      </c>
      <c r="D187" t="str">
        <f t="shared" si="117"/>
        <v>Kurt, Ferdi-114200064</v>
      </c>
      <c r="E187" s="22">
        <v>4</v>
      </c>
      <c r="F187" s="22">
        <v>3</v>
      </c>
      <c r="G187" s="22">
        <v>15</v>
      </c>
      <c r="H187" s="22">
        <v>1538230</v>
      </c>
      <c r="I187" s="22">
        <v>8548302</v>
      </c>
      <c r="J187" s="22">
        <v>8900974</v>
      </c>
      <c r="K187" s="22">
        <v>5873820</v>
      </c>
      <c r="L187" s="22">
        <v>100000</v>
      </c>
      <c r="M187" s="22">
        <v>108200</v>
      </c>
      <c r="N187" s="22">
        <v>116300</v>
      </c>
      <c r="O187" s="22">
        <v>125100</v>
      </c>
      <c r="P187" s="22">
        <v>116300</v>
      </c>
      <c r="Q187" s="22">
        <v>108200</v>
      </c>
      <c r="R187" s="22">
        <v>125100</v>
      </c>
      <c r="S187" s="22">
        <v>100000</v>
      </c>
      <c r="T187" s="24">
        <v>24000</v>
      </c>
      <c r="U187" s="22">
        <v>26883</v>
      </c>
      <c r="V187" s="22">
        <v>24883</v>
      </c>
      <c r="W187" s="22">
        <v>22383</v>
      </c>
      <c r="X187" s="22">
        <v>24883</v>
      </c>
      <c r="Y187" s="22">
        <v>26883</v>
      </c>
      <c r="Z187" s="22">
        <v>22383</v>
      </c>
      <c r="AA187" s="22">
        <v>29183</v>
      </c>
      <c r="AB187" s="24">
        <v>101000</v>
      </c>
      <c r="AC187" s="24">
        <v>99000</v>
      </c>
      <c r="AD187" s="24">
        <v>101000</v>
      </c>
      <c r="AE187" s="24">
        <v>104000</v>
      </c>
      <c r="AF187" s="24">
        <v>99500</v>
      </c>
      <c r="AG187" s="24">
        <v>96000</v>
      </c>
      <c r="AH187" s="24">
        <v>98500</v>
      </c>
      <c r="AI187" s="24">
        <v>100500</v>
      </c>
      <c r="AJ187" s="25">
        <v>2.7</v>
      </c>
      <c r="AK187" s="25">
        <v>7.6</v>
      </c>
    </row>
    <row r="188" spans="1:37" x14ac:dyDescent="0.25">
      <c r="A188" t="s">
        <v>351</v>
      </c>
      <c r="B188" t="s">
        <v>353</v>
      </c>
      <c r="C188">
        <v>116202077</v>
      </c>
      <c r="D188" t="str">
        <f t="shared" si="117"/>
        <v>Kurt, Necmettin Barış-116202077</v>
      </c>
      <c r="E188" s="22">
        <v>4</v>
      </c>
      <c r="F188" s="22">
        <v>2</v>
      </c>
      <c r="G188" s="22">
        <v>10</v>
      </c>
      <c r="H188" s="22">
        <v>3200632</v>
      </c>
      <c r="I188" s="22">
        <v>5376927</v>
      </c>
      <c r="J188" s="22">
        <v>6949690</v>
      </c>
      <c r="K188" s="22">
        <v>6096508</v>
      </c>
      <c r="L188" s="22">
        <v>100000</v>
      </c>
      <c r="M188" s="22">
        <v>109100</v>
      </c>
      <c r="N188" s="22">
        <v>118200</v>
      </c>
      <c r="O188" s="22">
        <v>126200</v>
      </c>
      <c r="P188" s="22">
        <v>118200</v>
      </c>
      <c r="Q188" s="22">
        <v>126200</v>
      </c>
      <c r="R188" s="22">
        <v>109100</v>
      </c>
      <c r="S188" s="22">
        <v>100000</v>
      </c>
      <c r="T188" s="24">
        <v>26000</v>
      </c>
      <c r="U188" s="22">
        <v>26984</v>
      </c>
      <c r="V188" s="22">
        <v>24784</v>
      </c>
      <c r="W188" s="22">
        <v>22784</v>
      </c>
      <c r="X188" s="22">
        <v>24784</v>
      </c>
      <c r="Y188" s="22">
        <v>22784</v>
      </c>
      <c r="Z188" s="22">
        <v>26984</v>
      </c>
      <c r="AA188" s="22">
        <v>29184</v>
      </c>
      <c r="AB188" s="24">
        <v>112000</v>
      </c>
      <c r="AC188" s="24">
        <v>109000</v>
      </c>
      <c r="AD188" s="24">
        <v>109000</v>
      </c>
      <c r="AE188" s="24">
        <v>109000</v>
      </c>
      <c r="AF188" s="24">
        <v>109500</v>
      </c>
      <c r="AG188" s="24">
        <v>106000</v>
      </c>
      <c r="AH188" s="24">
        <v>105500</v>
      </c>
      <c r="AI188" s="24">
        <v>107500</v>
      </c>
      <c r="AJ188" s="25">
        <v>3.7</v>
      </c>
      <c r="AK188" s="25">
        <v>7.3</v>
      </c>
    </row>
    <row r="189" spans="1:37" x14ac:dyDescent="0.25">
      <c r="A189" t="s">
        <v>354</v>
      </c>
      <c r="B189" t="s">
        <v>47</v>
      </c>
      <c r="C189">
        <v>115202089</v>
      </c>
      <c r="D189" t="str">
        <f t="shared" si="117"/>
        <v>Kuşoğlu, Emre-115202089</v>
      </c>
      <c r="E189" s="22">
        <v>7</v>
      </c>
      <c r="F189" s="22">
        <v>3</v>
      </c>
      <c r="G189" s="22">
        <v>15</v>
      </c>
      <c r="H189" s="22">
        <v>1806620</v>
      </c>
      <c r="I189" s="22">
        <v>1469524</v>
      </c>
      <c r="J189" s="22">
        <v>2946774</v>
      </c>
      <c r="K189" s="22">
        <v>3122705</v>
      </c>
      <c r="L189" s="22">
        <v>100000</v>
      </c>
      <c r="M189" s="22">
        <v>108800</v>
      </c>
      <c r="N189" s="22">
        <v>117700</v>
      </c>
      <c r="O189" s="22">
        <v>127300</v>
      </c>
      <c r="P189" s="22">
        <v>127300</v>
      </c>
      <c r="Q189" s="22">
        <v>117700</v>
      </c>
      <c r="R189" s="22">
        <v>100000</v>
      </c>
      <c r="S189" s="22">
        <v>108800</v>
      </c>
      <c r="T189" s="24">
        <v>25000</v>
      </c>
      <c r="U189" s="22">
        <v>27185</v>
      </c>
      <c r="V189" s="22">
        <v>25085</v>
      </c>
      <c r="W189" s="22">
        <v>23085</v>
      </c>
      <c r="X189" s="22">
        <v>23085</v>
      </c>
      <c r="Y189" s="22">
        <v>25085</v>
      </c>
      <c r="Z189" s="22">
        <v>29185</v>
      </c>
      <c r="AA189" s="22">
        <v>27185</v>
      </c>
      <c r="AB189" s="24">
        <v>101000</v>
      </c>
      <c r="AC189" s="24">
        <v>99000</v>
      </c>
      <c r="AD189" s="24">
        <v>101000</v>
      </c>
      <c r="AE189" s="24">
        <v>103000</v>
      </c>
      <c r="AF189" s="24">
        <v>97000</v>
      </c>
      <c r="AG189" s="24">
        <v>95500</v>
      </c>
      <c r="AH189" s="24">
        <v>98500</v>
      </c>
      <c r="AI189" s="24">
        <v>100500</v>
      </c>
      <c r="AJ189" s="25">
        <v>4.0999999999999996</v>
      </c>
      <c r="AK189" s="25">
        <v>7.4</v>
      </c>
    </row>
    <row r="190" spans="1:37" x14ac:dyDescent="0.25">
      <c r="A190" t="s">
        <v>355</v>
      </c>
      <c r="B190" t="s">
        <v>176</v>
      </c>
      <c r="C190">
        <v>114202034</v>
      </c>
      <c r="D190" t="str">
        <f t="shared" si="117"/>
        <v>Kutluer, Metin-114202034</v>
      </c>
      <c r="E190" s="22">
        <v>4</v>
      </c>
      <c r="F190" s="22">
        <v>3</v>
      </c>
      <c r="G190" s="22">
        <v>15</v>
      </c>
      <c r="H190" s="22">
        <v>5623736</v>
      </c>
      <c r="I190" s="22">
        <v>5067344</v>
      </c>
      <c r="J190" s="22">
        <v>3360599</v>
      </c>
      <c r="K190" s="22">
        <v>206398</v>
      </c>
      <c r="L190" s="22">
        <v>100000</v>
      </c>
      <c r="M190" s="22">
        <v>108100</v>
      </c>
      <c r="N190" s="22">
        <v>116300</v>
      </c>
      <c r="O190" s="22">
        <v>124500</v>
      </c>
      <c r="P190" s="22">
        <v>100000</v>
      </c>
      <c r="Q190" s="22">
        <v>108100</v>
      </c>
      <c r="R190" s="22">
        <v>116300</v>
      </c>
      <c r="S190" s="22">
        <v>124500</v>
      </c>
      <c r="T190" s="24">
        <v>28000</v>
      </c>
      <c r="U190" s="22">
        <v>26786</v>
      </c>
      <c r="V190" s="22">
        <v>24686</v>
      </c>
      <c r="W190" s="22">
        <v>22386</v>
      </c>
      <c r="X190" s="22">
        <v>29186</v>
      </c>
      <c r="Y190" s="22">
        <v>26786</v>
      </c>
      <c r="Z190" s="22">
        <v>24686</v>
      </c>
      <c r="AA190" s="22">
        <v>22386</v>
      </c>
      <c r="AB190" s="24">
        <v>99000</v>
      </c>
      <c r="AC190" s="24">
        <v>101000</v>
      </c>
      <c r="AD190" s="24">
        <v>99000</v>
      </c>
      <c r="AE190" s="24">
        <v>100000</v>
      </c>
      <c r="AF190" s="24">
        <v>97000</v>
      </c>
      <c r="AG190" s="24">
        <v>97500</v>
      </c>
      <c r="AH190" s="24">
        <v>96500</v>
      </c>
      <c r="AI190" s="24">
        <v>96000</v>
      </c>
      <c r="AJ190" s="25">
        <v>2.9</v>
      </c>
      <c r="AK190" s="25">
        <v>9.1</v>
      </c>
    </row>
    <row r="191" spans="1:37" x14ac:dyDescent="0.25">
      <c r="A191" t="s">
        <v>356</v>
      </c>
      <c r="B191" t="s">
        <v>357</v>
      </c>
      <c r="C191">
        <v>113204018</v>
      </c>
      <c r="D191" t="str">
        <f t="shared" si="117"/>
        <v>Mecit, Banu Ezgi-113204018</v>
      </c>
      <c r="E191" s="22">
        <v>5</v>
      </c>
      <c r="F191" s="22">
        <v>3</v>
      </c>
      <c r="G191" s="22">
        <v>15</v>
      </c>
      <c r="H191" s="22">
        <v>1920344</v>
      </c>
      <c r="I191" s="22">
        <v>2022033</v>
      </c>
      <c r="J191" s="22">
        <v>3946663</v>
      </c>
      <c r="K191" s="22">
        <v>2057612</v>
      </c>
      <c r="L191" s="22">
        <v>100000</v>
      </c>
      <c r="M191" s="22">
        <v>109100</v>
      </c>
      <c r="N191" s="22">
        <v>117500</v>
      </c>
      <c r="O191" s="22">
        <v>125500</v>
      </c>
      <c r="P191" s="22">
        <v>117500</v>
      </c>
      <c r="Q191" s="22">
        <v>125500</v>
      </c>
      <c r="R191" s="22">
        <v>109100</v>
      </c>
      <c r="S191" s="22">
        <v>100000</v>
      </c>
      <c r="T191" s="24">
        <v>25000</v>
      </c>
      <c r="U191" s="22">
        <v>27187</v>
      </c>
      <c r="V191" s="22">
        <v>24987</v>
      </c>
      <c r="W191" s="22">
        <v>22487</v>
      </c>
      <c r="X191" s="22">
        <v>24987</v>
      </c>
      <c r="Y191" s="22">
        <v>22487</v>
      </c>
      <c r="Z191" s="22">
        <v>27187</v>
      </c>
      <c r="AA191" s="22">
        <v>29187</v>
      </c>
      <c r="AB191" s="24">
        <v>116000</v>
      </c>
      <c r="AC191" s="24">
        <v>120000</v>
      </c>
      <c r="AD191" s="24">
        <v>121000</v>
      </c>
      <c r="AE191" s="24">
        <v>122000</v>
      </c>
      <c r="AF191" s="24">
        <v>114500</v>
      </c>
      <c r="AG191" s="24">
        <v>117500</v>
      </c>
      <c r="AH191" s="24">
        <v>117500</v>
      </c>
      <c r="AI191" s="24">
        <v>119000</v>
      </c>
      <c r="AJ191" s="25">
        <v>3.6</v>
      </c>
      <c r="AK191" s="25">
        <v>8.9</v>
      </c>
    </row>
    <row r="192" spans="1:37" x14ac:dyDescent="0.25">
      <c r="A192" t="s">
        <v>358</v>
      </c>
      <c r="B192" t="s">
        <v>359</v>
      </c>
      <c r="C192">
        <v>116206151</v>
      </c>
      <c r="D192" t="str">
        <f t="shared" si="117"/>
        <v>Mohammed, Siraj Mohammed Alsaedi-116206151</v>
      </c>
      <c r="E192" s="22">
        <v>4</v>
      </c>
      <c r="F192" s="22">
        <v>2</v>
      </c>
      <c r="G192" s="22">
        <v>10</v>
      </c>
      <c r="H192" s="22">
        <v>2892944</v>
      </c>
      <c r="I192" s="22">
        <v>4422738</v>
      </c>
      <c r="J192" s="22">
        <v>3071244</v>
      </c>
      <c r="K192" s="22">
        <v>3738422</v>
      </c>
      <c r="L192" s="22">
        <v>100000</v>
      </c>
      <c r="M192" s="22">
        <v>109800</v>
      </c>
      <c r="N192" s="22">
        <v>118600</v>
      </c>
      <c r="O192" s="22">
        <v>127800</v>
      </c>
      <c r="P192" s="22">
        <v>109800</v>
      </c>
      <c r="Q192" s="22">
        <v>127800</v>
      </c>
      <c r="R192" s="22">
        <v>118600</v>
      </c>
      <c r="S192" s="22">
        <v>100000</v>
      </c>
      <c r="T192" s="24">
        <v>27000</v>
      </c>
      <c r="U192" s="22">
        <v>27188</v>
      </c>
      <c r="V192" s="22">
        <v>24788</v>
      </c>
      <c r="W192" s="22">
        <v>22688</v>
      </c>
      <c r="X192" s="22">
        <v>27188</v>
      </c>
      <c r="Y192" s="22">
        <v>22688</v>
      </c>
      <c r="Z192" s="22">
        <v>24788</v>
      </c>
      <c r="AA192" s="22">
        <v>29188</v>
      </c>
      <c r="AB192" s="24">
        <v>99000</v>
      </c>
      <c r="AC192" s="24">
        <v>96000</v>
      </c>
      <c r="AD192" s="24">
        <v>93000</v>
      </c>
      <c r="AE192" s="24">
        <v>94000</v>
      </c>
      <c r="AF192" s="24">
        <v>96000</v>
      </c>
      <c r="AG192" s="24">
        <v>93500</v>
      </c>
      <c r="AH192" s="24">
        <v>90500</v>
      </c>
      <c r="AI192" s="24">
        <v>90500</v>
      </c>
      <c r="AJ192" s="25">
        <v>2.9</v>
      </c>
      <c r="AK192" s="25">
        <v>8.6</v>
      </c>
    </row>
    <row r="193" spans="1:37" x14ac:dyDescent="0.25">
      <c r="A193" t="s">
        <v>360</v>
      </c>
      <c r="B193" t="s">
        <v>361</v>
      </c>
      <c r="C193">
        <v>11575005</v>
      </c>
      <c r="D193" t="str">
        <f t="shared" si="117"/>
        <v>Murkoyunlu, Sezen-11575005</v>
      </c>
      <c r="E193" s="22">
        <v>7</v>
      </c>
      <c r="F193" s="22">
        <v>1</v>
      </c>
      <c r="G193" s="22">
        <v>8</v>
      </c>
      <c r="H193" s="22">
        <v>7527596</v>
      </c>
      <c r="I193" s="22">
        <v>5100022</v>
      </c>
      <c r="J193" s="22">
        <v>6604508</v>
      </c>
      <c r="K193" s="22">
        <v>980627</v>
      </c>
      <c r="L193" s="22">
        <v>100000</v>
      </c>
      <c r="M193" s="22">
        <v>109200</v>
      </c>
      <c r="N193" s="22">
        <v>119000</v>
      </c>
      <c r="O193" s="22">
        <v>127200</v>
      </c>
      <c r="P193" s="22">
        <v>100000</v>
      </c>
      <c r="Q193" s="22">
        <v>119000</v>
      </c>
      <c r="R193" s="22">
        <v>109200</v>
      </c>
      <c r="S193" s="22">
        <v>127200</v>
      </c>
      <c r="T193" s="24">
        <v>24000</v>
      </c>
      <c r="U193" s="22">
        <v>26689</v>
      </c>
      <c r="V193" s="22">
        <v>24389</v>
      </c>
      <c r="W193" s="22">
        <v>21889</v>
      </c>
      <c r="X193" s="22">
        <v>29189</v>
      </c>
      <c r="Y193" s="22">
        <v>24389</v>
      </c>
      <c r="Z193" s="22">
        <v>26689</v>
      </c>
      <c r="AA193" s="22">
        <v>21889</v>
      </c>
      <c r="AB193" s="24">
        <v>100000</v>
      </c>
      <c r="AC193" s="24">
        <v>97000</v>
      </c>
      <c r="AD193" s="24">
        <v>101000</v>
      </c>
      <c r="AE193" s="24">
        <v>100000</v>
      </c>
      <c r="AF193" s="24">
        <v>96000</v>
      </c>
      <c r="AG193" s="24">
        <v>93000</v>
      </c>
      <c r="AH193" s="24">
        <v>98000</v>
      </c>
      <c r="AI193" s="24">
        <v>96000</v>
      </c>
      <c r="AJ193" s="25">
        <v>3.8</v>
      </c>
      <c r="AK193" s="25">
        <v>7.2</v>
      </c>
    </row>
    <row r="194" spans="1:37" x14ac:dyDescent="0.25">
      <c r="A194" t="s">
        <v>362</v>
      </c>
      <c r="B194" t="s">
        <v>363</v>
      </c>
      <c r="C194">
        <v>116205103</v>
      </c>
      <c r="D194" t="str">
        <f t="shared" si="117"/>
        <v>Namal, Fahri-116205103</v>
      </c>
      <c r="E194" s="22">
        <v>5</v>
      </c>
      <c r="F194" s="22">
        <v>3</v>
      </c>
      <c r="G194" s="22">
        <v>15</v>
      </c>
      <c r="H194" s="22">
        <v>8491485</v>
      </c>
      <c r="I194" s="22">
        <v>6198219</v>
      </c>
      <c r="J194" s="22">
        <v>4190989</v>
      </c>
      <c r="K194" s="22">
        <v>8578678</v>
      </c>
      <c r="L194" s="22">
        <v>100000</v>
      </c>
      <c r="M194" s="22">
        <v>109000</v>
      </c>
      <c r="N194" s="22">
        <v>118300</v>
      </c>
      <c r="O194" s="22">
        <v>127500</v>
      </c>
      <c r="P194" s="22">
        <v>127500</v>
      </c>
      <c r="Q194" s="22">
        <v>100000</v>
      </c>
      <c r="R194" s="22">
        <v>109000</v>
      </c>
      <c r="S194" s="22">
        <v>118300</v>
      </c>
      <c r="T194" s="24">
        <v>24000</v>
      </c>
      <c r="U194" s="22">
        <v>26990</v>
      </c>
      <c r="V194" s="22">
        <v>24790</v>
      </c>
      <c r="W194" s="22">
        <v>22390</v>
      </c>
      <c r="X194" s="22">
        <v>22390</v>
      </c>
      <c r="Y194" s="22">
        <v>29190</v>
      </c>
      <c r="Z194" s="22">
        <v>26990</v>
      </c>
      <c r="AA194" s="22">
        <v>24790</v>
      </c>
      <c r="AB194" s="24">
        <v>96000</v>
      </c>
      <c r="AC194" s="24">
        <v>99000</v>
      </c>
      <c r="AD194" s="24">
        <v>97000</v>
      </c>
      <c r="AE194" s="24">
        <v>94000</v>
      </c>
      <c r="AF194" s="24">
        <v>93000</v>
      </c>
      <c r="AG194" s="24">
        <v>97500</v>
      </c>
      <c r="AH194" s="24">
        <v>93500</v>
      </c>
      <c r="AI194" s="24">
        <v>91500</v>
      </c>
      <c r="AJ194" s="25">
        <v>3</v>
      </c>
      <c r="AK194" s="25">
        <v>6.6</v>
      </c>
    </row>
    <row r="195" spans="1:37" x14ac:dyDescent="0.25">
      <c r="A195" t="s">
        <v>364</v>
      </c>
      <c r="B195" t="s">
        <v>365</v>
      </c>
      <c r="C195">
        <v>114204035</v>
      </c>
      <c r="D195" t="str">
        <f t="shared" si="117"/>
        <v>Nerezoğlu, Berke Can-114204035</v>
      </c>
      <c r="E195" s="22">
        <v>6</v>
      </c>
      <c r="F195" s="22">
        <v>2</v>
      </c>
      <c r="G195" s="22">
        <v>10</v>
      </c>
      <c r="H195" s="22">
        <v>1192809</v>
      </c>
      <c r="I195" s="22">
        <v>9470278</v>
      </c>
      <c r="J195" s="22">
        <v>3789479</v>
      </c>
      <c r="K195" s="22">
        <v>9043171</v>
      </c>
      <c r="L195" s="22">
        <v>100000</v>
      </c>
      <c r="M195" s="22">
        <v>108700</v>
      </c>
      <c r="N195" s="22">
        <v>117300</v>
      </c>
      <c r="O195" s="22">
        <v>125500</v>
      </c>
      <c r="P195" s="22">
        <v>108700</v>
      </c>
      <c r="Q195" s="22">
        <v>125500</v>
      </c>
      <c r="R195" s="22">
        <v>117300</v>
      </c>
      <c r="S195" s="22">
        <v>100000</v>
      </c>
      <c r="T195" s="24">
        <v>23000</v>
      </c>
      <c r="U195" s="22">
        <v>26691</v>
      </c>
      <c r="V195" s="22">
        <v>24691</v>
      </c>
      <c r="W195" s="22">
        <v>22491</v>
      </c>
      <c r="X195" s="22">
        <v>26691</v>
      </c>
      <c r="Y195" s="22">
        <v>22491</v>
      </c>
      <c r="Z195" s="22">
        <v>24691</v>
      </c>
      <c r="AA195" s="22">
        <v>29191</v>
      </c>
      <c r="AB195" s="24">
        <v>97000</v>
      </c>
      <c r="AC195" s="24">
        <v>96000</v>
      </c>
      <c r="AD195" s="24">
        <v>95000</v>
      </c>
      <c r="AE195" s="24">
        <v>92000</v>
      </c>
      <c r="AF195" s="24">
        <v>93500</v>
      </c>
      <c r="AG195" s="24">
        <v>92500</v>
      </c>
      <c r="AH195" s="24">
        <v>91000</v>
      </c>
      <c r="AI195" s="24">
        <v>88500</v>
      </c>
      <c r="AJ195" s="25">
        <v>2.9</v>
      </c>
      <c r="AK195" s="25">
        <v>7</v>
      </c>
    </row>
    <row r="196" spans="1:37" x14ac:dyDescent="0.25">
      <c r="A196" t="s">
        <v>366</v>
      </c>
      <c r="B196" t="s">
        <v>367</v>
      </c>
      <c r="C196">
        <v>115205107</v>
      </c>
      <c r="D196" t="str">
        <f t="shared" ref="D196:D260" si="118">A196&amp;", "&amp;B196&amp;"-"&amp;C196</f>
        <v>Okutan, İkbal Ömer-115205107</v>
      </c>
      <c r="E196" s="22">
        <v>4</v>
      </c>
      <c r="F196" s="22">
        <v>1</v>
      </c>
      <c r="G196" s="22">
        <v>8</v>
      </c>
      <c r="H196" s="22">
        <v>2728655</v>
      </c>
      <c r="I196" s="22">
        <v>8459667</v>
      </c>
      <c r="J196" s="22">
        <v>153138</v>
      </c>
      <c r="K196" s="22">
        <v>3885517</v>
      </c>
      <c r="L196" s="22">
        <v>100000</v>
      </c>
      <c r="M196" s="22">
        <v>108500</v>
      </c>
      <c r="N196" s="22">
        <v>116500</v>
      </c>
      <c r="O196" s="22">
        <v>125700</v>
      </c>
      <c r="P196" s="22">
        <v>108500</v>
      </c>
      <c r="Q196" s="22">
        <v>125700</v>
      </c>
      <c r="R196" s="22">
        <v>100000</v>
      </c>
      <c r="S196" s="22">
        <v>116500</v>
      </c>
      <c r="T196" s="24">
        <v>25000</v>
      </c>
      <c r="U196" s="22">
        <v>26792</v>
      </c>
      <c r="V196" s="22">
        <v>24592</v>
      </c>
      <c r="W196" s="22">
        <v>22492</v>
      </c>
      <c r="X196" s="22">
        <v>26792</v>
      </c>
      <c r="Y196" s="22">
        <v>22492</v>
      </c>
      <c r="Z196" s="22">
        <v>29192</v>
      </c>
      <c r="AA196" s="22">
        <v>24592</v>
      </c>
      <c r="AB196" s="24">
        <v>111000</v>
      </c>
      <c r="AC196" s="24">
        <v>114000</v>
      </c>
      <c r="AD196" s="24">
        <v>113000</v>
      </c>
      <c r="AE196" s="24">
        <v>112000</v>
      </c>
      <c r="AF196" s="24">
        <v>109000</v>
      </c>
      <c r="AG196" s="24">
        <v>112000</v>
      </c>
      <c r="AH196" s="24">
        <v>111000</v>
      </c>
      <c r="AI196" s="24">
        <v>108000</v>
      </c>
      <c r="AJ196" s="25">
        <v>3.2</v>
      </c>
      <c r="AK196" s="25">
        <v>7.5</v>
      </c>
    </row>
    <row r="197" spans="1:37" x14ac:dyDescent="0.25">
      <c r="A197" t="s">
        <v>368</v>
      </c>
      <c r="B197" t="s">
        <v>139</v>
      </c>
      <c r="C197">
        <v>115204036</v>
      </c>
      <c r="D197" t="str">
        <f t="shared" si="118"/>
        <v>Oran, Onur-115204036</v>
      </c>
      <c r="E197" s="22">
        <v>5</v>
      </c>
      <c r="F197" s="22">
        <v>3</v>
      </c>
      <c r="G197" s="22">
        <v>15</v>
      </c>
      <c r="H197" s="22">
        <v>1691843</v>
      </c>
      <c r="I197" s="22">
        <v>2849215</v>
      </c>
      <c r="J197" s="22">
        <v>2863661</v>
      </c>
      <c r="K197" s="22">
        <v>9530354</v>
      </c>
      <c r="L197" s="22">
        <v>100000</v>
      </c>
      <c r="M197" s="22">
        <v>108800</v>
      </c>
      <c r="N197" s="22">
        <v>117700</v>
      </c>
      <c r="O197" s="22">
        <v>127100</v>
      </c>
      <c r="P197" s="22">
        <v>127100</v>
      </c>
      <c r="Q197" s="22">
        <v>117700</v>
      </c>
      <c r="R197" s="22">
        <v>108800</v>
      </c>
      <c r="S197" s="22">
        <v>100000</v>
      </c>
      <c r="T197" s="24">
        <v>27000</v>
      </c>
      <c r="U197" s="22">
        <v>26693</v>
      </c>
      <c r="V197" s="22">
        <v>24393</v>
      </c>
      <c r="W197" s="22">
        <v>22193</v>
      </c>
      <c r="X197" s="22">
        <v>22193</v>
      </c>
      <c r="Y197" s="22">
        <v>24393</v>
      </c>
      <c r="Z197" s="22">
        <v>26693</v>
      </c>
      <c r="AA197" s="22">
        <v>29193</v>
      </c>
      <c r="AB197" s="24">
        <v>118000</v>
      </c>
      <c r="AC197" s="24">
        <v>119000</v>
      </c>
      <c r="AD197" s="24">
        <v>118000</v>
      </c>
      <c r="AE197" s="24">
        <v>120000</v>
      </c>
      <c r="AF197" s="24">
        <v>114500</v>
      </c>
      <c r="AG197" s="24">
        <v>116500</v>
      </c>
      <c r="AH197" s="24">
        <v>115500</v>
      </c>
      <c r="AI197" s="24">
        <v>117000</v>
      </c>
      <c r="AJ197" s="25">
        <v>3.7</v>
      </c>
      <c r="AK197" s="25">
        <v>8.6999999999999993</v>
      </c>
    </row>
    <row r="198" spans="1:37" x14ac:dyDescent="0.25">
      <c r="A198" t="s">
        <v>369</v>
      </c>
      <c r="B198" t="s">
        <v>370</v>
      </c>
      <c r="C198">
        <v>114202043</v>
      </c>
      <c r="D198" t="str">
        <f t="shared" si="118"/>
        <v>Oturaklıoğlu, Nazif Mert-114202043</v>
      </c>
      <c r="E198" s="22">
        <v>5</v>
      </c>
      <c r="F198" s="22">
        <v>1</v>
      </c>
      <c r="G198" s="22">
        <v>8</v>
      </c>
      <c r="H198" s="22">
        <v>8889576</v>
      </c>
      <c r="I198" s="22">
        <v>7699062</v>
      </c>
      <c r="J198" s="22">
        <v>5115973</v>
      </c>
      <c r="K198" s="22">
        <v>513179</v>
      </c>
      <c r="L198" s="22">
        <v>100000</v>
      </c>
      <c r="M198" s="22">
        <v>109800</v>
      </c>
      <c r="N198" s="22">
        <v>119600</v>
      </c>
      <c r="O198" s="22">
        <v>128500</v>
      </c>
      <c r="P198" s="22">
        <v>100000</v>
      </c>
      <c r="Q198" s="22">
        <v>109800</v>
      </c>
      <c r="R198" s="22">
        <v>119600</v>
      </c>
      <c r="S198" s="22">
        <v>128500</v>
      </c>
      <c r="T198" s="24">
        <v>25000</v>
      </c>
      <c r="U198" s="22">
        <v>26694</v>
      </c>
      <c r="V198" s="22">
        <v>24494</v>
      </c>
      <c r="W198" s="22">
        <v>22294</v>
      </c>
      <c r="X198" s="22">
        <v>29194</v>
      </c>
      <c r="Y198" s="22">
        <v>26694</v>
      </c>
      <c r="Z198" s="22">
        <v>24494</v>
      </c>
      <c r="AA198" s="22">
        <v>22294</v>
      </c>
      <c r="AB198" s="24">
        <v>109000</v>
      </c>
      <c r="AC198" s="24">
        <v>108000</v>
      </c>
      <c r="AD198" s="24">
        <v>108000</v>
      </c>
      <c r="AE198" s="24">
        <v>109000</v>
      </c>
      <c r="AF198" s="24">
        <v>105000</v>
      </c>
      <c r="AG198" s="24">
        <v>106500</v>
      </c>
      <c r="AH198" s="24">
        <v>106500</v>
      </c>
      <c r="AI198" s="24">
        <v>107000</v>
      </c>
      <c r="AJ198" s="25">
        <v>2.5</v>
      </c>
      <c r="AK198" s="25">
        <v>8.9</v>
      </c>
    </row>
    <row r="199" spans="1:37" x14ac:dyDescent="0.25">
      <c r="A199" t="s">
        <v>371</v>
      </c>
      <c r="B199" t="s">
        <v>282</v>
      </c>
      <c r="C199">
        <v>115204046</v>
      </c>
      <c r="D199" t="str">
        <f t="shared" si="118"/>
        <v>Öz, Esra-115204046</v>
      </c>
      <c r="E199" s="22">
        <v>6</v>
      </c>
      <c r="F199" s="22">
        <v>2</v>
      </c>
      <c r="G199" s="22">
        <v>10</v>
      </c>
      <c r="H199" s="22">
        <v>7955522</v>
      </c>
      <c r="I199" s="22">
        <v>29220</v>
      </c>
      <c r="J199" s="22">
        <v>8012371</v>
      </c>
      <c r="K199" s="22">
        <v>8497174</v>
      </c>
      <c r="L199" s="22">
        <v>100000</v>
      </c>
      <c r="M199" s="22">
        <v>109100</v>
      </c>
      <c r="N199" s="22">
        <v>118500</v>
      </c>
      <c r="O199" s="22">
        <v>127700</v>
      </c>
      <c r="P199" s="22">
        <v>127700</v>
      </c>
      <c r="Q199" s="22">
        <v>118500</v>
      </c>
      <c r="R199" s="22">
        <v>100000</v>
      </c>
      <c r="S199" s="22">
        <v>109100</v>
      </c>
      <c r="T199" s="24">
        <v>23000</v>
      </c>
      <c r="U199" s="22">
        <v>27095</v>
      </c>
      <c r="V199" s="22">
        <v>25095</v>
      </c>
      <c r="W199" s="22">
        <v>22695</v>
      </c>
      <c r="X199" s="22">
        <v>22695</v>
      </c>
      <c r="Y199" s="22">
        <v>25095</v>
      </c>
      <c r="Z199" s="22">
        <v>29195</v>
      </c>
      <c r="AA199" s="22">
        <v>27095</v>
      </c>
      <c r="AB199" s="24">
        <v>115000</v>
      </c>
      <c r="AC199" s="24">
        <v>118000</v>
      </c>
      <c r="AD199" s="24">
        <v>120000</v>
      </c>
      <c r="AE199" s="24">
        <v>121000</v>
      </c>
      <c r="AF199" s="24">
        <v>112500</v>
      </c>
      <c r="AG199" s="24">
        <v>114500</v>
      </c>
      <c r="AH199" s="24">
        <v>117000</v>
      </c>
      <c r="AI199" s="24">
        <v>119000</v>
      </c>
      <c r="AJ199" s="25">
        <v>4.5</v>
      </c>
      <c r="AK199" s="25">
        <v>8.6999999999999993</v>
      </c>
    </row>
    <row r="200" spans="1:37" x14ac:dyDescent="0.25">
      <c r="A200" t="s">
        <v>372</v>
      </c>
      <c r="B200" t="s">
        <v>373</v>
      </c>
      <c r="C200">
        <v>113205047</v>
      </c>
      <c r="D200" t="str">
        <f t="shared" si="118"/>
        <v>Ozan, Tunç-113205047</v>
      </c>
      <c r="E200" s="22">
        <v>4</v>
      </c>
      <c r="F200" s="22">
        <v>2</v>
      </c>
      <c r="G200" s="22">
        <v>10</v>
      </c>
      <c r="H200" s="22">
        <v>7593376</v>
      </c>
      <c r="I200" s="22">
        <v>1358590</v>
      </c>
      <c r="J200" s="22">
        <v>1013759</v>
      </c>
      <c r="K200" s="22">
        <v>4485303</v>
      </c>
      <c r="L200" s="22">
        <v>100000</v>
      </c>
      <c r="M200" s="22">
        <v>109600</v>
      </c>
      <c r="N200" s="22">
        <v>117700</v>
      </c>
      <c r="O200" s="22">
        <v>126900</v>
      </c>
      <c r="P200" s="22">
        <v>100000</v>
      </c>
      <c r="Q200" s="22">
        <v>126900</v>
      </c>
      <c r="R200" s="22">
        <v>109600</v>
      </c>
      <c r="S200" s="22">
        <v>117700</v>
      </c>
      <c r="T200" s="24">
        <v>26000</v>
      </c>
      <c r="U200" s="22">
        <v>26796</v>
      </c>
      <c r="V200" s="22">
        <v>24296</v>
      </c>
      <c r="W200" s="22">
        <v>22196</v>
      </c>
      <c r="X200" s="22">
        <v>29196</v>
      </c>
      <c r="Y200" s="22">
        <v>22196</v>
      </c>
      <c r="Z200" s="22">
        <v>26796</v>
      </c>
      <c r="AA200" s="22">
        <v>24296</v>
      </c>
      <c r="AB200" s="24">
        <v>91000</v>
      </c>
      <c r="AC200" s="24">
        <v>92000</v>
      </c>
      <c r="AD200" s="24">
        <v>93000</v>
      </c>
      <c r="AE200" s="24">
        <v>91000</v>
      </c>
      <c r="AF200" s="24">
        <v>87000</v>
      </c>
      <c r="AG200" s="24">
        <v>89500</v>
      </c>
      <c r="AH200" s="24">
        <v>91000</v>
      </c>
      <c r="AI200" s="24">
        <v>88500</v>
      </c>
      <c r="AJ200" s="25">
        <v>4.7</v>
      </c>
      <c r="AK200" s="25">
        <v>8.6</v>
      </c>
    </row>
    <row r="201" spans="1:37" x14ac:dyDescent="0.25">
      <c r="A201" t="s">
        <v>374</v>
      </c>
      <c r="B201" t="s">
        <v>296</v>
      </c>
      <c r="C201">
        <v>114203061</v>
      </c>
      <c r="D201" t="str">
        <f t="shared" si="118"/>
        <v>Özdemir, Gizem-114203061</v>
      </c>
      <c r="E201" s="22">
        <v>6</v>
      </c>
      <c r="F201" s="22">
        <v>2</v>
      </c>
      <c r="G201" s="22">
        <v>10</v>
      </c>
      <c r="H201" s="22">
        <v>2988882</v>
      </c>
      <c r="I201" s="22">
        <v>1858671</v>
      </c>
      <c r="J201" s="22">
        <v>963754</v>
      </c>
      <c r="K201" s="22">
        <v>594204</v>
      </c>
      <c r="L201" s="22">
        <v>100000</v>
      </c>
      <c r="M201" s="22">
        <v>110000</v>
      </c>
      <c r="N201" s="22">
        <v>119800</v>
      </c>
      <c r="O201" s="22">
        <v>128900</v>
      </c>
      <c r="P201" s="22">
        <v>100000</v>
      </c>
      <c r="Q201" s="22">
        <v>110000</v>
      </c>
      <c r="R201" s="22">
        <v>119800</v>
      </c>
      <c r="S201" s="22">
        <v>128900</v>
      </c>
      <c r="T201" s="24">
        <v>26000</v>
      </c>
      <c r="U201" s="22">
        <v>26797</v>
      </c>
      <c r="V201" s="22">
        <v>24497</v>
      </c>
      <c r="W201" s="22">
        <v>22397</v>
      </c>
      <c r="X201" s="22">
        <v>29197</v>
      </c>
      <c r="Y201" s="22">
        <v>26797</v>
      </c>
      <c r="Z201" s="22">
        <v>24497</v>
      </c>
      <c r="AA201" s="22">
        <v>22397</v>
      </c>
      <c r="AB201" s="24">
        <v>119000</v>
      </c>
      <c r="AC201" s="24">
        <v>123000</v>
      </c>
      <c r="AD201" s="24">
        <v>123000</v>
      </c>
      <c r="AE201" s="24">
        <v>125000</v>
      </c>
      <c r="AF201" s="24">
        <v>116000</v>
      </c>
      <c r="AG201" s="24">
        <v>119500</v>
      </c>
      <c r="AH201" s="24">
        <v>120000</v>
      </c>
      <c r="AI201" s="24">
        <v>122000</v>
      </c>
      <c r="AJ201" s="25">
        <v>3.5</v>
      </c>
      <c r="AK201" s="25">
        <v>9.6</v>
      </c>
    </row>
    <row r="202" spans="1:37" x14ac:dyDescent="0.25">
      <c r="A202" t="s">
        <v>375</v>
      </c>
      <c r="B202" t="s">
        <v>376</v>
      </c>
      <c r="C202">
        <v>112206007</v>
      </c>
      <c r="D202" t="str">
        <f t="shared" si="118"/>
        <v>Özer, Necmi Can-112206007</v>
      </c>
      <c r="E202" s="22">
        <v>4</v>
      </c>
      <c r="F202" s="22">
        <v>3</v>
      </c>
      <c r="G202" s="22">
        <v>15</v>
      </c>
      <c r="H202" s="22">
        <v>6788200</v>
      </c>
      <c r="I202" s="22">
        <v>9890128</v>
      </c>
      <c r="J202" s="22">
        <v>8596609</v>
      </c>
      <c r="K202" s="22">
        <v>7919169</v>
      </c>
      <c r="L202" s="22">
        <v>100000</v>
      </c>
      <c r="M202" s="22">
        <v>109200</v>
      </c>
      <c r="N202" s="22">
        <v>117400</v>
      </c>
      <c r="O202" s="22">
        <v>126900</v>
      </c>
      <c r="P202" s="22">
        <v>109200</v>
      </c>
      <c r="Q202" s="22">
        <v>117400</v>
      </c>
      <c r="R202" s="22">
        <v>126900</v>
      </c>
      <c r="S202" s="22">
        <v>100000</v>
      </c>
      <c r="T202" s="24">
        <v>24000</v>
      </c>
      <c r="U202" s="22">
        <v>27198</v>
      </c>
      <c r="V202" s="22">
        <v>24798</v>
      </c>
      <c r="W202" s="22">
        <v>22498</v>
      </c>
      <c r="X202" s="22">
        <v>27198</v>
      </c>
      <c r="Y202" s="22">
        <v>24798</v>
      </c>
      <c r="Z202" s="22">
        <v>22498</v>
      </c>
      <c r="AA202" s="22">
        <v>29198</v>
      </c>
      <c r="AB202" s="24">
        <v>107000</v>
      </c>
      <c r="AC202" s="24">
        <v>108000</v>
      </c>
      <c r="AD202" s="24">
        <v>110000</v>
      </c>
      <c r="AE202" s="24">
        <v>108000</v>
      </c>
      <c r="AF202" s="24">
        <v>105000</v>
      </c>
      <c r="AG202" s="24">
        <v>104500</v>
      </c>
      <c r="AH202" s="24">
        <v>106500</v>
      </c>
      <c r="AI202" s="24">
        <v>106500</v>
      </c>
      <c r="AJ202" s="25">
        <v>4.4000000000000004</v>
      </c>
      <c r="AK202" s="25">
        <v>8.5</v>
      </c>
    </row>
    <row r="203" spans="1:37" x14ac:dyDescent="0.25">
      <c r="A203" t="s">
        <v>375</v>
      </c>
      <c r="B203" t="s">
        <v>139</v>
      </c>
      <c r="C203">
        <v>112202060</v>
      </c>
      <c r="D203" t="str">
        <f t="shared" si="118"/>
        <v>Özer, Onur-112202060</v>
      </c>
      <c r="E203" s="22">
        <v>7</v>
      </c>
      <c r="F203" s="22">
        <v>3</v>
      </c>
      <c r="G203" s="22">
        <v>15</v>
      </c>
      <c r="H203" s="22">
        <v>743858</v>
      </c>
      <c r="I203" s="22">
        <v>499286</v>
      </c>
      <c r="J203" s="22">
        <v>4482352</v>
      </c>
      <c r="K203" s="22">
        <v>6574300</v>
      </c>
      <c r="L203" s="22">
        <v>100000</v>
      </c>
      <c r="M203" s="22">
        <v>108500</v>
      </c>
      <c r="N203" s="22">
        <v>117800</v>
      </c>
      <c r="O203" s="22">
        <v>127300</v>
      </c>
      <c r="P203" s="22">
        <v>127300</v>
      </c>
      <c r="Q203" s="22">
        <v>117800</v>
      </c>
      <c r="R203" s="22">
        <v>100000</v>
      </c>
      <c r="S203" s="22">
        <v>108500</v>
      </c>
      <c r="T203" s="24">
        <v>24000</v>
      </c>
      <c r="U203" s="22">
        <v>27199</v>
      </c>
      <c r="V203" s="22">
        <v>24699</v>
      </c>
      <c r="W203" s="22">
        <v>22399</v>
      </c>
      <c r="X203" s="22">
        <v>22399</v>
      </c>
      <c r="Y203" s="22">
        <v>24699</v>
      </c>
      <c r="Z203" s="22">
        <v>29199</v>
      </c>
      <c r="AA203" s="22">
        <v>27199</v>
      </c>
      <c r="AB203" s="24">
        <v>101000</v>
      </c>
      <c r="AC203" s="24">
        <v>101000</v>
      </c>
      <c r="AD203" s="24">
        <v>99000</v>
      </c>
      <c r="AE203" s="24">
        <v>102000</v>
      </c>
      <c r="AF203" s="24">
        <v>97500</v>
      </c>
      <c r="AG203" s="24">
        <v>98000</v>
      </c>
      <c r="AH203" s="24">
        <v>97000</v>
      </c>
      <c r="AI203" s="24">
        <v>98500</v>
      </c>
      <c r="AJ203" s="25">
        <v>5</v>
      </c>
      <c r="AK203" s="25">
        <v>8.1999999999999993</v>
      </c>
    </row>
    <row r="204" spans="1:37" x14ac:dyDescent="0.25">
      <c r="A204" t="s">
        <v>377</v>
      </c>
      <c r="B204" t="s">
        <v>61</v>
      </c>
      <c r="C204">
        <v>115204048</v>
      </c>
      <c r="D204" t="str">
        <f t="shared" si="118"/>
        <v>Özkan, Furkan-115204048</v>
      </c>
      <c r="E204" s="22">
        <v>5</v>
      </c>
      <c r="F204" s="22">
        <v>1</v>
      </c>
      <c r="G204" s="22">
        <v>8</v>
      </c>
      <c r="H204" s="22">
        <v>1383742</v>
      </c>
      <c r="I204" s="22">
        <v>2731072</v>
      </c>
      <c r="J204" s="22">
        <v>8499162</v>
      </c>
      <c r="K204" s="22">
        <v>6892833</v>
      </c>
      <c r="L204" s="22">
        <v>100000</v>
      </c>
      <c r="M204" s="22">
        <v>108200</v>
      </c>
      <c r="N204" s="22">
        <v>117000</v>
      </c>
      <c r="O204" s="22">
        <v>126700</v>
      </c>
      <c r="P204" s="22">
        <v>117000</v>
      </c>
      <c r="Q204" s="22">
        <v>126700</v>
      </c>
      <c r="R204" s="22">
        <v>108200</v>
      </c>
      <c r="S204" s="22">
        <v>100000</v>
      </c>
      <c r="T204" s="24">
        <v>24000</v>
      </c>
      <c r="U204" s="22">
        <v>27100</v>
      </c>
      <c r="V204" s="22">
        <v>24900</v>
      </c>
      <c r="W204" s="22">
        <v>22500</v>
      </c>
      <c r="X204" s="22">
        <v>24900</v>
      </c>
      <c r="Y204" s="22">
        <v>22500</v>
      </c>
      <c r="Z204" s="22">
        <v>27100</v>
      </c>
      <c r="AA204" s="22">
        <v>29200</v>
      </c>
      <c r="AB204" s="24">
        <v>92000</v>
      </c>
      <c r="AC204" s="24">
        <v>91000</v>
      </c>
      <c r="AD204" s="24">
        <v>94000</v>
      </c>
      <c r="AE204" s="24">
        <v>98000</v>
      </c>
      <c r="AF204" s="24">
        <v>89000</v>
      </c>
      <c r="AG204" s="24">
        <v>87500</v>
      </c>
      <c r="AH204" s="24">
        <v>91000</v>
      </c>
      <c r="AI204" s="24">
        <v>94000</v>
      </c>
      <c r="AJ204" s="25">
        <v>4.0999999999999996</v>
      </c>
      <c r="AK204" s="25">
        <v>6.5</v>
      </c>
    </row>
    <row r="205" spans="1:37" x14ac:dyDescent="0.25">
      <c r="A205" t="s">
        <v>378</v>
      </c>
      <c r="B205" t="s">
        <v>379</v>
      </c>
      <c r="C205">
        <v>114202015</v>
      </c>
      <c r="D205" t="str">
        <f t="shared" si="118"/>
        <v>Özkırış, Oktay-114202015</v>
      </c>
      <c r="E205" s="22">
        <v>6</v>
      </c>
      <c r="F205" s="22">
        <v>1</v>
      </c>
      <c r="G205" s="22">
        <v>8</v>
      </c>
      <c r="H205" s="22">
        <v>661442</v>
      </c>
      <c r="I205" s="22">
        <v>8202840</v>
      </c>
      <c r="J205" s="22">
        <v>5471184</v>
      </c>
      <c r="K205" s="22">
        <v>7296298</v>
      </c>
      <c r="L205" s="22">
        <v>100000</v>
      </c>
      <c r="M205" s="22">
        <v>108500</v>
      </c>
      <c r="N205" s="22">
        <v>117400</v>
      </c>
      <c r="O205" s="22">
        <v>125700</v>
      </c>
      <c r="P205" s="22">
        <v>108500</v>
      </c>
      <c r="Q205" s="22">
        <v>125700</v>
      </c>
      <c r="R205" s="22">
        <v>117400</v>
      </c>
      <c r="S205" s="22">
        <v>100000</v>
      </c>
      <c r="T205" s="24">
        <v>28000</v>
      </c>
      <c r="U205" s="22">
        <v>26901</v>
      </c>
      <c r="V205" s="22">
        <v>24801</v>
      </c>
      <c r="W205" s="22">
        <v>22401</v>
      </c>
      <c r="X205" s="22">
        <v>26901</v>
      </c>
      <c r="Y205" s="22">
        <v>22401</v>
      </c>
      <c r="Z205" s="22">
        <v>24801</v>
      </c>
      <c r="AA205" s="22">
        <v>29201</v>
      </c>
      <c r="AB205" s="24">
        <v>101000</v>
      </c>
      <c r="AC205" s="24">
        <v>102000</v>
      </c>
      <c r="AD205" s="24">
        <v>101000</v>
      </c>
      <c r="AE205" s="24">
        <v>99000</v>
      </c>
      <c r="AF205" s="24">
        <v>98500</v>
      </c>
      <c r="AG205" s="24">
        <v>100500</v>
      </c>
      <c r="AH205" s="24">
        <v>97500</v>
      </c>
      <c r="AI205" s="24">
        <v>95000</v>
      </c>
      <c r="AJ205" s="25">
        <v>2.8</v>
      </c>
      <c r="AK205" s="25">
        <v>8.8000000000000007</v>
      </c>
    </row>
    <row r="206" spans="1:37" x14ac:dyDescent="0.25">
      <c r="A206" t="s">
        <v>380</v>
      </c>
      <c r="B206" t="s">
        <v>95</v>
      </c>
      <c r="C206">
        <v>112202021</v>
      </c>
      <c r="D206" t="str">
        <f t="shared" si="118"/>
        <v>Özler, Eren-112202021</v>
      </c>
      <c r="E206" s="22">
        <v>6</v>
      </c>
      <c r="F206" s="22">
        <v>3</v>
      </c>
      <c r="G206" s="22">
        <v>15</v>
      </c>
      <c r="H206" s="22">
        <v>205859</v>
      </c>
      <c r="I206" s="22">
        <v>3491019</v>
      </c>
      <c r="J206" s="22">
        <v>5942873</v>
      </c>
      <c r="K206" s="22">
        <v>6769829</v>
      </c>
      <c r="L206" s="22">
        <v>100000</v>
      </c>
      <c r="M206" s="22">
        <v>108000</v>
      </c>
      <c r="N206" s="22">
        <v>117500</v>
      </c>
      <c r="O206" s="22">
        <v>126900</v>
      </c>
      <c r="P206" s="22">
        <v>126900</v>
      </c>
      <c r="Q206" s="22">
        <v>117500</v>
      </c>
      <c r="R206" s="22">
        <v>108000</v>
      </c>
      <c r="S206" s="22">
        <v>100000</v>
      </c>
      <c r="T206" s="24">
        <v>29000</v>
      </c>
      <c r="U206" s="22">
        <v>26702</v>
      </c>
      <c r="V206" s="22">
        <v>24202</v>
      </c>
      <c r="W206" s="22">
        <v>22002</v>
      </c>
      <c r="X206" s="22">
        <v>22002</v>
      </c>
      <c r="Y206" s="22">
        <v>24202</v>
      </c>
      <c r="Z206" s="22">
        <v>26702</v>
      </c>
      <c r="AA206" s="22">
        <v>29202</v>
      </c>
      <c r="AB206" s="24">
        <v>90000</v>
      </c>
      <c r="AC206" s="24">
        <v>94000</v>
      </c>
      <c r="AD206" s="24">
        <v>93000</v>
      </c>
      <c r="AE206" s="24">
        <v>95000</v>
      </c>
      <c r="AF206" s="24">
        <v>86500</v>
      </c>
      <c r="AG206" s="24">
        <v>90000</v>
      </c>
      <c r="AH206" s="24">
        <v>89000</v>
      </c>
      <c r="AI206" s="24">
        <v>92000</v>
      </c>
      <c r="AJ206" s="25">
        <v>2.7</v>
      </c>
      <c r="AK206" s="25">
        <v>6.7</v>
      </c>
    </row>
    <row r="207" spans="1:37" x14ac:dyDescent="0.25">
      <c r="A207" t="s">
        <v>381</v>
      </c>
      <c r="B207" t="s">
        <v>382</v>
      </c>
      <c r="C207">
        <v>113204023</v>
      </c>
      <c r="D207" t="str">
        <f t="shared" si="118"/>
        <v>Özşahin, Yağmur Burcu-113204023</v>
      </c>
      <c r="E207" s="22">
        <v>4</v>
      </c>
      <c r="F207" s="22">
        <v>2</v>
      </c>
      <c r="G207" s="22">
        <v>10</v>
      </c>
      <c r="H207" s="22">
        <v>6374090</v>
      </c>
      <c r="I207" s="22">
        <v>146208</v>
      </c>
      <c r="J207" s="22">
        <v>1076993</v>
      </c>
      <c r="K207" s="22">
        <v>2593618</v>
      </c>
      <c r="L207" s="22">
        <v>100000</v>
      </c>
      <c r="M207" s="22">
        <v>109400</v>
      </c>
      <c r="N207" s="22">
        <v>118600</v>
      </c>
      <c r="O207" s="22">
        <v>127900</v>
      </c>
      <c r="P207" s="22">
        <v>100000</v>
      </c>
      <c r="Q207" s="22">
        <v>127900</v>
      </c>
      <c r="R207" s="22">
        <v>118600</v>
      </c>
      <c r="S207" s="22">
        <v>109400</v>
      </c>
      <c r="T207" s="24">
        <v>24000</v>
      </c>
      <c r="U207" s="22">
        <v>26803</v>
      </c>
      <c r="V207" s="22">
        <v>24303</v>
      </c>
      <c r="W207" s="22">
        <v>22303</v>
      </c>
      <c r="X207" s="22">
        <v>29203</v>
      </c>
      <c r="Y207" s="22">
        <v>22303</v>
      </c>
      <c r="Z207" s="22">
        <v>24303</v>
      </c>
      <c r="AA207" s="22">
        <v>26803</v>
      </c>
      <c r="AB207" s="24">
        <v>105000</v>
      </c>
      <c r="AC207" s="24">
        <v>106000</v>
      </c>
      <c r="AD207" s="24">
        <v>103000</v>
      </c>
      <c r="AE207" s="24">
        <v>100000</v>
      </c>
      <c r="AF207" s="24">
        <v>103000</v>
      </c>
      <c r="AG207" s="24">
        <v>104500</v>
      </c>
      <c r="AH207" s="24">
        <v>99500</v>
      </c>
      <c r="AI207" s="24">
        <v>98000</v>
      </c>
      <c r="AJ207" s="25">
        <v>3.7</v>
      </c>
      <c r="AK207" s="25">
        <v>9.6</v>
      </c>
    </row>
    <row r="208" spans="1:37" x14ac:dyDescent="0.25">
      <c r="A208" t="s">
        <v>383</v>
      </c>
      <c r="B208" t="s">
        <v>117</v>
      </c>
      <c r="C208">
        <v>114202024</v>
      </c>
      <c r="D208" t="str">
        <f t="shared" si="118"/>
        <v>Öztürk, Baran-114202024</v>
      </c>
      <c r="E208" s="22">
        <v>6</v>
      </c>
      <c r="F208" s="22">
        <v>3</v>
      </c>
      <c r="G208" s="22">
        <v>15</v>
      </c>
      <c r="H208" s="22">
        <v>5911756</v>
      </c>
      <c r="I208" s="22">
        <v>8122761</v>
      </c>
      <c r="J208" s="22">
        <v>2268921</v>
      </c>
      <c r="K208" s="22">
        <v>4919322</v>
      </c>
      <c r="L208" s="22">
        <v>100000</v>
      </c>
      <c r="M208" s="22">
        <v>108400</v>
      </c>
      <c r="N208" s="22">
        <v>116800</v>
      </c>
      <c r="O208" s="22">
        <v>125300</v>
      </c>
      <c r="P208" s="22">
        <v>108400</v>
      </c>
      <c r="Q208" s="22">
        <v>100000</v>
      </c>
      <c r="R208" s="22">
        <v>125300</v>
      </c>
      <c r="S208" s="22">
        <v>116800</v>
      </c>
      <c r="T208" s="24">
        <v>23000</v>
      </c>
      <c r="U208" s="22">
        <v>26704</v>
      </c>
      <c r="V208" s="22">
        <v>24604</v>
      </c>
      <c r="W208" s="22">
        <v>22604</v>
      </c>
      <c r="X208" s="22">
        <v>26704</v>
      </c>
      <c r="Y208" s="22">
        <v>29204</v>
      </c>
      <c r="Z208" s="22">
        <v>22604</v>
      </c>
      <c r="AA208" s="22">
        <v>24604</v>
      </c>
      <c r="AB208" s="24">
        <v>92000</v>
      </c>
      <c r="AC208" s="24">
        <v>91000</v>
      </c>
      <c r="AD208" s="24">
        <v>95000</v>
      </c>
      <c r="AE208" s="24">
        <v>97000</v>
      </c>
      <c r="AF208" s="24">
        <v>88000</v>
      </c>
      <c r="AG208" s="24">
        <v>89000</v>
      </c>
      <c r="AH208" s="24">
        <v>92000</v>
      </c>
      <c r="AI208" s="24">
        <v>95500</v>
      </c>
      <c r="AJ208" s="25">
        <v>4.8</v>
      </c>
      <c r="AK208" s="25">
        <v>7.9</v>
      </c>
    </row>
    <row r="209" spans="1:37" x14ac:dyDescent="0.25">
      <c r="A209" t="s">
        <v>383</v>
      </c>
      <c r="B209" t="s">
        <v>384</v>
      </c>
      <c r="C209">
        <v>114202025</v>
      </c>
      <c r="D209" t="str">
        <f t="shared" si="118"/>
        <v>Öztürk, Emirhan-114202025</v>
      </c>
      <c r="E209" s="22">
        <v>7</v>
      </c>
      <c r="F209" s="22">
        <v>1</v>
      </c>
      <c r="G209" s="22">
        <v>8</v>
      </c>
      <c r="H209" s="22">
        <v>4439622</v>
      </c>
      <c r="I209" s="22">
        <v>3665497</v>
      </c>
      <c r="J209" s="22">
        <v>6796302</v>
      </c>
      <c r="K209" s="22">
        <v>7643340</v>
      </c>
      <c r="L209" s="22">
        <v>100000</v>
      </c>
      <c r="M209" s="22">
        <v>108200</v>
      </c>
      <c r="N209" s="22">
        <v>116500</v>
      </c>
      <c r="O209" s="22">
        <v>125900</v>
      </c>
      <c r="P209" s="22">
        <v>125900</v>
      </c>
      <c r="Q209" s="22">
        <v>116500</v>
      </c>
      <c r="R209" s="22">
        <v>100000</v>
      </c>
      <c r="S209" s="22">
        <v>108200</v>
      </c>
      <c r="T209" s="24">
        <v>25000</v>
      </c>
      <c r="U209" s="22">
        <v>26705</v>
      </c>
      <c r="V209" s="22">
        <v>24705</v>
      </c>
      <c r="W209" s="22">
        <v>22705</v>
      </c>
      <c r="X209" s="22">
        <v>22705</v>
      </c>
      <c r="Y209" s="22">
        <v>24705</v>
      </c>
      <c r="Z209" s="22">
        <v>29205</v>
      </c>
      <c r="AA209" s="22">
        <v>26705</v>
      </c>
      <c r="AB209" s="24">
        <v>108000</v>
      </c>
      <c r="AC209" s="24">
        <v>110000</v>
      </c>
      <c r="AD209" s="24">
        <v>112000</v>
      </c>
      <c r="AE209" s="24">
        <v>115000</v>
      </c>
      <c r="AF209" s="24">
        <v>105000</v>
      </c>
      <c r="AG209" s="24">
        <v>106000</v>
      </c>
      <c r="AH209" s="24">
        <v>108500</v>
      </c>
      <c r="AI209" s="24">
        <v>112500</v>
      </c>
      <c r="AJ209" s="25">
        <v>3.5</v>
      </c>
      <c r="AK209" s="25">
        <v>8.5</v>
      </c>
    </row>
    <row r="210" spans="1:37" x14ac:dyDescent="0.25">
      <c r="A210" t="s">
        <v>383</v>
      </c>
      <c r="B210" t="s">
        <v>385</v>
      </c>
      <c r="C210">
        <v>114204019</v>
      </c>
      <c r="D210" t="str">
        <f t="shared" si="118"/>
        <v>Öztürk, İlknur Senem-114204019</v>
      </c>
      <c r="E210" s="22">
        <v>5</v>
      </c>
      <c r="F210" s="22">
        <v>2</v>
      </c>
      <c r="G210" s="22">
        <v>10</v>
      </c>
      <c r="H210" s="22">
        <v>1189087</v>
      </c>
      <c r="I210" s="22">
        <v>3198404</v>
      </c>
      <c r="J210" s="22">
        <v>4239678</v>
      </c>
      <c r="K210" s="22">
        <v>1085749</v>
      </c>
      <c r="L210" s="22">
        <v>100000</v>
      </c>
      <c r="M210" s="22">
        <v>109700</v>
      </c>
      <c r="N210" s="22">
        <v>119500</v>
      </c>
      <c r="O210" s="22">
        <v>128900</v>
      </c>
      <c r="P210" s="22">
        <v>119500</v>
      </c>
      <c r="Q210" s="22">
        <v>109700</v>
      </c>
      <c r="R210" s="22">
        <v>100000</v>
      </c>
      <c r="S210" s="22">
        <v>128900</v>
      </c>
      <c r="T210" s="24">
        <v>27000</v>
      </c>
      <c r="U210" s="22">
        <v>26706</v>
      </c>
      <c r="V210" s="22">
        <v>24606</v>
      </c>
      <c r="W210" s="22">
        <v>22406</v>
      </c>
      <c r="X210" s="22">
        <v>24606</v>
      </c>
      <c r="Y210" s="22">
        <v>26706</v>
      </c>
      <c r="Z210" s="22">
        <v>29206</v>
      </c>
      <c r="AA210" s="22">
        <v>22406</v>
      </c>
      <c r="AB210" s="24">
        <v>98000</v>
      </c>
      <c r="AC210" s="24">
        <v>99000</v>
      </c>
      <c r="AD210" s="24">
        <v>97000</v>
      </c>
      <c r="AE210" s="24">
        <v>95000</v>
      </c>
      <c r="AF210" s="24">
        <v>94000</v>
      </c>
      <c r="AG210" s="24">
        <v>96000</v>
      </c>
      <c r="AH210" s="24">
        <v>95000</v>
      </c>
      <c r="AI210" s="24">
        <v>92000</v>
      </c>
      <c r="AJ210" s="25">
        <v>3.2</v>
      </c>
      <c r="AK210" s="25">
        <v>6.9</v>
      </c>
    </row>
    <row r="211" spans="1:37" x14ac:dyDescent="0.25">
      <c r="A211" t="s">
        <v>383</v>
      </c>
      <c r="B211" t="s">
        <v>109</v>
      </c>
      <c r="C211">
        <v>114206068</v>
      </c>
      <c r="D211" t="str">
        <f t="shared" si="118"/>
        <v>Öztürk, Mehmet-114206068</v>
      </c>
      <c r="E211" s="22">
        <v>7</v>
      </c>
      <c r="F211" s="22">
        <v>2</v>
      </c>
      <c r="G211" s="22">
        <v>10</v>
      </c>
      <c r="H211" s="22">
        <v>6876124</v>
      </c>
      <c r="I211" s="22">
        <v>8728290</v>
      </c>
      <c r="J211" s="22">
        <v>9338706</v>
      </c>
      <c r="K211" s="22">
        <v>645255</v>
      </c>
      <c r="L211" s="22">
        <v>100000</v>
      </c>
      <c r="M211" s="22">
        <v>109900</v>
      </c>
      <c r="N211" s="22">
        <v>119900</v>
      </c>
      <c r="O211" s="22">
        <v>128700</v>
      </c>
      <c r="P211" s="22">
        <v>119900</v>
      </c>
      <c r="Q211" s="22">
        <v>109900</v>
      </c>
      <c r="R211" s="22">
        <v>100000</v>
      </c>
      <c r="S211" s="22">
        <v>128700</v>
      </c>
      <c r="T211" s="24">
        <v>28000</v>
      </c>
      <c r="U211" s="22">
        <v>27007</v>
      </c>
      <c r="V211" s="22">
        <v>24907</v>
      </c>
      <c r="W211" s="22">
        <v>22407</v>
      </c>
      <c r="X211" s="22">
        <v>24907</v>
      </c>
      <c r="Y211" s="22">
        <v>27007</v>
      </c>
      <c r="Z211" s="22">
        <v>29207</v>
      </c>
      <c r="AA211" s="22">
        <v>22407</v>
      </c>
      <c r="AB211" s="24">
        <v>105000</v>
      </c>
      <c r="AC211" s="24">
        <v>107000</v>
      </c>
      <c r="AD211" s="24">
        <v>111000</v>
      </c>
      <c r="AE211" s="24">
        <v>112000</v>
      </c>
      <c r="AF211" s="24">
        <v>101500</v>
      </c>
      <c r="AG211" s="24">
        <v>104500</v>
      </c>
      <c r="AH211" s="24">
        <v>109500</v>
      </c>
      <c r="AI211" s="24">
        <v>110000</v>
      </c>
      <c r="AJ211" s="25">
        <v>3.1</v>
      </c>
      <c r="AK211" s="25">
        <v>9.5</v>
      </c>
    </row>
    <row r="212" spans="1:37" x14ac:dyDescent="0.25">
      <c r="A212" t="s">
        <v>383</v>
      </c>
      <c r="B212" t="s">
        <v>139</v>
      </c>
      <c r="C212">
        <v>116206225</v>
      </c>
      <c r="D212" t="str">
        <f t="shared" si="118"/>
        <v>Öztürk, Onur-116206225</v>
      </c>
      <c r="E212" s="22">
        <v>7</v>
      </c>
      <c r="F212" s="22">
        <v>2</v>
      </c>
      <c r="G212" s="22">
        <v>10</v>
      </c>
      <c r="H212" s="22">
        <v>4765366</v>
      </c>
      <c r="I212" s="22">
        <v>8771474</v>
      </c>
      <c r="J212" s="22">
        <v>3496575</v>
      </c>
      <c r="K212" s="22">
        <v>2807937</v>
      </c>
      <c r="L212" s="22">
        <v>100000</v>
      </c>
      <c r="M212" s="22">
        <v>109000</v>
      </c>
      <c r="N212" s="22">
        <v>117100</v>
      </c>
      <c r="O212" s="22">
        <v>126900</v>
      </c>
      <c r="P212" s="22">
        <v>109000</v>
      </c>
      <c r="Q212" s="22">
        <v>100000</v>
      </c>
      <c r="R212" s="22">
        <v>117100</v>
      </c>
      <c r="S212" s="22">
        <v>126900</v>
      </c>
      <c r="T212" s="24">
        <v>28000</v>
      </c>
      <c r="U212" s="22">
        <v>26808</v>
      </c>
      <c r="V212" s="22">
        <v>24408</v>
      </c>
      <c r="W212" s="22">
        <v>22008</v>
      </c>
      <c r="X212" s="22">
        <v>26808</v>
      </c>
      <c r="Y212" s="22">
        <v>29208</v>
      </c>
      <c r="Z212" s="22">
        <v>24408</v>
      </c>
      <c r="AA212" s="22">
        <v>22008</v>
      </c>
      <c r="AB212" s="24">
        <v>96000</v>
      </c>
      <c r="AC212" s="24">
        <v>98000</v>
      </c>
      <c r="AD212" s="24">
        <v>99000</v>
      </c>
      <c r="AE212" s="24">
        <v>98000</v>
      </c>
      <c r="AF212" s="24">
        <v>94500</v>
      </c>
      <c r="AG212" s="24">
        <v>94000</v>
      </c>
      <c r="AH212" s="24">
        <v>95500</v>
      </c>
      <c r="AI212" s="24">
        <v>94000</v>
      </c>
      <c r="AJ212" s="25">
        <v>3.6</v>
      </c>
      <c r="AK212" s="25">
        <v>8.6</v>
      </c>
    </row>
    <row r="213" spans="1:37" x14ac:dyDescent="0.25">
      <c r="A213" t="s">
        <v>383</v>
      </c>
      <c r="B213" t="s">
        <v>386</v>
      </c>
      <c r="C213">
        <v>114205060</v>
      </c>
      <c r="D213" t="str">
        <f t="shared" si="118"/>
        <v>Öztürk, Özcan-114205060</v>
      </c>
      <c r="E213" s="22">
        <v>7</v>
      </c>
      <c r="F213" s="22">
        <v>2</v>
      </c>
      <c r="G213" s="22">
        <v>10</v>
      </c>
      <c r="H213" s="22">
        <v>6599155</v>
      </c>
      <c r="I213" s="22">
        <v>4444768</v>
      </c>
      <c r="J213" s="22">
        <v>1050483</v>
      </c>
      <c r="K213" s="22">
        <v>4811486</v>
      </c>
      <c r="L213" s="22">
        <v>100000</v>
      </c>
      <c r="M213" s="22">
        <v>109200</v>
      </c>
      <c r="N213" s="22">
        <v>117500</v>
      </c>
      <c r="O213" s="22">
        <v>126300</v>
      </c>
      <c r="P213" s="22">
        <v>100000</v>
      </c>
      <c r="Q213" s="22">
        <v>126300</v>
      </c>
      <c r="R213" s="22">
        <v>109200</v>
      </c>
      <c r="S213" s="22">
        <v>117500</v>
      </c>
      <c r="T213" s="24">
        <v>26000</v>
      </c>
      <c r="U213" s="22">
        <v>26809</v>
      </c>
      <c r="V213" s="22">
        <v>24709</v>
      </c>
      <c r="W213" s="22">
        <v>22309</v>
      </c>
      <c r="X213" s="22">
        <v>29209</v>
      </c>
      <c r="Y213" s="22">
        <v>22309</v>
      </c>
      <c r="Z213" s="22">
        <v>26809</v>
      </c>
      <c r="AA213" s="22">
        <v>24709</v>
      </c>
      <c r="AB213" s="24">
        <v>90000</v>
      </c>
      <c r="AC213" s="24">
        <v>89000</v>
      </c>
      <c r="AD213" s="24">
        <v>91000</v>
      </c>
      <c r="AE213" s="24">
        <v>90000</v>
      </c>
      <c r="AF213" s="24">
        <v>86500</v>
      </c>
      <c r="AG213" s="24">
        <v>87500</v>
      </c>
      <c r="AH213" s="24">
        <v>88500</v>
      </c>
      <c r="AI213" s="24">
        <v>86000</v>
      </c>
      <c r="AJ213" s="25">
        <v>3.4</v>
      </c>
      <c r="AK213" s="25">
        <v>8</v>
      </c>
    </row>
    <row r="214" spans="1:37" x14ac:dyDescent="0.25">
      <c r="A214" t="s">
        <v>387</v>
      </c>
      <c r="B214" t="s">
        <v>388</v>
      </c>
      <c r="C214">
        <v>114205016</v>
      </c>
      <c r="D214" t="str">
        <f t="shared" si="118"/>
        <v>Özübek, Anıl-114205016</v>
      </c>
      <c r="E214" s="22">
        <v>5</v>
      </c>
      <c r="F214" s="22">
        <v>1</v>
      </c>
      <c r="G214" s="22">
        <v>8</v>
      </c>
      <c r="H214" s="22">
        <v>5599681</v>
      </c>
      <c r="I214" s="22">
        <v>9370773</v>
      </c>
      <c r="J214" s="22">
        <v>8071875</v>
      </c>
      <c r="K214" s="22">
        <v>7814972</v>
      </c>
      <c r="L214" s="22">
        <v>100000</v>
      </c>
      <c r="M214" s="22">
        <v>109700</v>
      </c>
      <c r="N214" s="22">
        <v>117900</v>
      </c>
      <c r="O214" s="22">
        <v>126100</v>
      </c>
      <c r="P214" s="22">
        <v>109700</v>
      </c>
      <c r="Q214" s="22">
        <v>117900</v>
      </c>
      <c r="R214" s="22">
        <v>126100</v>
      </c>
      <c r="S214" s="22">
        <v>100000</v>
      </c>
      <c r="T214" s="24">
        <v>26000</v>
      </c>
      <c r="U214" s="22">
        <v>26910</v>
      </c>
      <c r="V214" s="22">
        <v>24410</v>
      </c>
      <c r="W214" s="22">
        <v>22010</v>
      </c>
      <c r="X214" s="22">
        <v>26910</v>
      </c>
      <c r="Y214" s="22">
        <v>24410</v>
      </c>
      <c r="Z214" s="22">
        <v>22010</v>
      </c>
      <c r="AA214" s="22">
        <v>29210</v>
      </c>
      <c r="AB214" s="24">
        <v>107000</v>
      </c>
      <c r="AC214" s="24">
        <v>104000</v>
      </c>
      <c r="AD214" s="24">
        <v>108000</v>
      </c>
      <c r="AE214" s="24">
        <v>107000</v>
      </c>
      <c r="AF214" s="24">
        <v>103500</v>
      </c>
      <c r="AG214" s="24">
        <v>100000</v>
      </c>
      <c r="AH214" s="24">
        <v>105500</v>
      </c>
      <c r="AI214" s="24">
        <v>103500</v>
      </c>
      <c r="AJ214" s="25">
        <v>2.9</v>
      </c>
      <c r="AK214" s="25">
        <v>7.8</v>
      </c>
    </row>
    <row r="215" spans="1:37" x14ac:dyDescent="0.25">
      <c r="A215" t="s">
        <v>389</v>
      </c>
      <c r="B215" t="s">
        <v>390</v>
      </c>
      <c r="C215">
        <v>116203065</v>
      </c>
      <c r="D215" t="str">
        <f t="shared" si="118"/>
        <v>Özyurt, Yunus Emre-116203065</v>
      </c>
      <c r="E215" s="22">
        <v>5</v>
      </c>
      <c r="F215" s="22">
        <v>3</v>
      </c>
      <c r="G215" s="22">
        <v>15</v>
      </c>
      <c r="H215" s="22">
        <v>7280114</v>
      </c>
      <c r="I215" s="22">
        <v>5958333</v>
      </c>
      <c r="J215" s="22">
        <v>2015082</v>
      </c>
      <c r="K215" s="22">
        <v>1093136</v>
      </c>
      <c r="L215" s="22">
        <v>100000</v>
      </c>
      <c r="M215" s="22">
        <v>108500</v>
      </c>
      <c r="N215" s="22">
        <v>118000</v>
      </c>
      <c r="O215" s="22">
        <v>127000</v>
      </c>
      <c r="P215" s="22">
        <v>100000</v>
      </c>
      <c r="Q215" s="22">
        <v>108500</v>
      </c>
      <c r="R215" s="22">
        <v>118000</v>
      </c>
      <c r="S215" s="22">
        <v>127000</v>
      </c>
      <c r="T215" s="24">
        <v>29000</v>
      </c>
      <c r="U215" s="22">
        <v>27011</v>
      </c>
      <c r="V215" s="22">
        <v>24511</v>
      </c>
      <c r="W215" s="22">
        <v>22011</v>
      </c>
      <c r="X215" s="22">
        <v>29211</v>
      </c>
      <c r="Y215" s="22">
        <v>27011</v>
      </c>
      <c r="Z215" s="22">
        <v>24511</v>
      </c>
      <c r="AA215" s="22">
        <v>22011</v>
      </c>
      <c r="AB215" s="24">
        <v>108000</v>
      </c>
      <c r="AC215" s="24">
        <v>111000</v>
      </c>
      <c r="AD215" s="24">
        <v>114000</v>
      </c>
      <c r="AE215" s="24">
        <v>116000</v>
      </c>
      <c r="AF215" s="24">
        <v>104500</v>
      </c>
      <c r="AG215" s="24">
        <v>109000</v>
      </c>
      <c r="AH215" s="24">
        <v>111500</v>
      </c>
      <c r="AI215" s="24">
        <v>112500</v>
      </c>
      <c r="AJ215" s="25">
        <v>4.5999999999999996</v>
      </c>
      <c r="AK215" s="25">
        <v>8.6999999999999993</v>
      </c>
    </row>
    <row r="216" spans="1:37" x14ac:dyDescent="0.25">
      <c r="A216" t="s">
        <v>391</v>
      </c>
      <c r="B216" t="s">
        <v>392</v>
      </c>
      <c r="C216">
        <v>113201010</v>
      </c>
      <c r="D216" t="str">
        <f t="shared" si="118"/>
        <v>Özzade, Ayça Büşra-113201010</v>
      </c>
      <c r="E216" s="22">
        <v>4</v>
      </c>
      <c r="F216" s="22">
        <v>2</v>
      </c>
      <c r="G216" s="22">
        <v>10</v>
      </c>
      <c r="H216" s="22">
        <v>6856583</v>
      </c>
      <c r="I216" s="22">
        <v>5157248</v>
      </c>
      <c r="J216" s="22">
        <v>2020332</v>
      </c>
      <c r="K216" s="22">
        <v>7776598</v>
      </c>
      <c r="L216" s="22">
        <v>100000</v>
      </c>
      <c r="M216" s="22">
        <v>108300</v>
      </c>
      <c r="N216" s="22">
        <v>116900</v>
      </c>
      <c r="O216" s="22">
        <v>125000</v>
      </c>
      <c r="P216" s="22">
        <v>125000</v>
      </c>
      <c r="Q216" s="22">
        <v>100000</v>
      </c>
      <c r="R216" s="22">
        <v>108300</v>
      </c>
      <c r="S216" s="22">
        <v>116900</v>
      </c>
      <c r="T216" s="24">
        <v>25000</v>
      </c>
      <c r="U216" s="22">
        <v>27212</v>
      </c>
      <c r="V216" s="22">
        <v>25112</v>
      </c>
      <c r="W216" s="22">
        <v>22712</v>
      </c>
      <c r="X216" s="22">
        <v>22712</v>
      </c>
      <c r="Y216" s="22">
        <v>29212</v>
      </c>
      <c r="Z216" s="22">
        <v>27212</v>
      </c>
      <c r="AA216" s="22">
        <v>25112</v>
      </c>
      <c r="AB216" s="24">
        <v>104000</v>
      </c>
      <c r="AC216" s="24">
        <v>108000</v>
      </c>
      <c r="AD216" s="24">
        <v>105000</v>
      </c>
      <c r="AE216" s="24">
        <v>109000</v>
      </c>
      <c r="AF216" s="24">
        <v>102500</v>
      </c>
      <c r="AG216" s="24">
        <v>104000</v>
      </c>
      <c r="AH216" s="24">
        <v>101500</v>
      </c>
      <c r="AI216" s="24">
        <v>105500</v>
      </c>
      <c r="AJ216" s="25">
        <v>2.9</v>
      </c>
      <c r="AK216" s="25">
        <v>7</v>
      </c>
    </row>
    <row r="217" spans="1:37" x14ac:dyDescent="0.25">
      <c r="A217" t="s">
        <v>393</v>
      </c>
      <c r="B217" t="s">
        <v>192</v>
      </c>
      <c r="C217">
        <v>115206040</v>
      </c>
      <c r="D217" t="str">
        <f t="shared" si="118"/>
        <v>Palalı, Arda-115206040</v>
      </c>
      <c r="E217" s="22">
        <v>5</v>
      </c>
      <c r="F217" s="22">
        <v>2</v>
      </c>
      <c r="G217" s="22">
        <v>10</v>
      </c>
      <c r="H217" s="22">
        <v>7049639</v>
      </c>
      <c r="I217" s="22">
        <v>7749655</v>
      </c>
      <c r="J217" s="22">
        <v>6653076</v>
      </c>
      <c r="K217" s="22">
        <v>6325621</v>
      </c>
      <c r="L217" s="22">
        <v>100000</v>
      </c>
      <c r="M217" s="22">
        <v>108700</v>
      </c>
      <c r="N217" s="22">
        <v>117200</v>
      </c>
      <c r="O217" s="22">
        <v>126800</v>
      </c>
      <c r="P217" s="22">
        <v>108700</v>
      </c>
      <c r="Q217" s="22">
        <v>100000</v>
      </c>
      <c r="R217" s="22">
        <v>117200</v>
      </c>
      <c r="S217" s="22">
        <v>126800</v>
      </c>
      <c r="T217" s="24">
        <v>29000</v>
      </c>
      <c r="U217" s="22">
        <v>27113</v>
      </c>
      <c r="V217" s="22">
        <v>25013</v>
      </c>
      <c r="W217" s="22">
        <v>22713</v>
      </c>
      <c r="X217" s="22">
        <v>27113</v>
      </c>
      <c r="Y217" s="22">
        <v>29213</v>
      </c>
      <c r="Z217" s="22">
        <v>25013</v>
      </c>
      <c r="AA217" s="22">
        <v>22713</v>
      </c>
      <c r="AB217" s="24">
        <v>100000</v>
      </c>
      <c r="AC217" s="24">
        <v>103000</v>
      </c>
      <c r="AD217" s="24">
        <v>100000</v>
      </c>
      <c r="AE217" s="24">
        <v>103000</v>
      </c>
      <c r="AF217" s="24">
        <v>97500</v>
      </c>
      <c r="AG217" s="24">
        <v>100000</v>
      </c>
      <c r="AH217" s="24">
        <v>98500</v>
      </c>
      <c r="AI217" s="24">
        <v>101500</v>
      </c>
      <c r="AJ217" s="25">
        <v>4</v>
      </c>
      <c r="AK217" s="25">
        <v>6.9</v>
      </c>
    </row>
    <row r="218" spans="1:37" x14ac:dyDescent="0.25">
      <c r="A218" t="s">
        <v>394</v>
      </c>
      <c r="B218" t="s">
        <v>395</v>
      </c>
      <c r="C218">
        <v>115205014</v>
      </c>
      <c r="D218" t="str">
        <f t="shared" si="118"/>
        <v>Palombo, Sami-115205014</v>
      </c>
      <c r="E218" s="22">
        <v>7</v>
      </c>
      <c r="F218" s="22">
        <v>2</v>
      </c>
      <c r="G218" s="22">
        <v>10</v>
      </c>
      <c r="H218" s="22">
        <v>9247787</v>
      </c>
      <c r="I218" s="22">
        <v>4384905</v>
      </c>
      <c r="J218" s="22">
        <v>2300027</v>
      </c>
      <c r="K218" s="22">
        <v>2430662</v>
      </c>
      <c r="L218" s="22">
        <v>100000</v>
      </c>
      <c r="M218" s="22">
        <v>109500</v>
      </c>
      <c r="N218" s="22">
        <v>118900</v>
      </c>
      <c r="O218" s="22">
        <v>128200</v>
      </c>
      <c r="P218" s="22">
        <v>100000</v>
      </c>
      <c r="Q218" s="22">
        <v>109500</v>
      </c>
      <c r="R218" s="22">
        <v>128200</v>
      </c>
      <c r="S218" s="22">
        <v>118900</v>
      </c>
      <c r="T218" s="24">
        <v>29000</v>
      </c>
      <c r="U218" s="22">
        <v>26914</v>
      </c>
      <c r="V218" s="22">
        <v>24714</v>
      </c>
      <c r="W218" s="22">
        <v>22514</v>
      </c>
      <c r="X218" s="22">
        <v>29214</v>
      </c>
      <c r="Y218" s="22">
        <v>26914</v>
      </c>
      <c r="Z218" s="22">
        <v>22514</v>
      </c>
      <c r="AA218" s="22">
        <v>24714</v>
      </c>
      <c r="AB218" s="24">
        <v>92000</v>
      </c>
      <c r="AC218" s="24">
        <v>92000</v>
      </c>
      <c r="AD218" s="24">
        <v>90000</v>
      </c>
      <c r="AE218" s="24">
        <v>91000</v>
      </c>
      <c r="AF218" s="24">
        <v>88500</v>
      </c>
      <c r="AG218" s="24">
        <v>89000</v>
      </c>
      <c r="AH218" s="24">
        <v>87500</v>
      </c>
      <c r="AI218" s="24">
        <v>87500</v>
      </c>
      <c r="AJ218" s="25">
        <v>4.2</v>
      </c>
      <c r="AK218" s="25">
        <v>8.8000000000000007</v>
      </c>
    </row>
    <row r="219" spans="1:37" x14ac:dyDescent="0.25">
      <c r="A219" t="s">
        <v>396</v>
      </c>
      <c r="B219" t="s">
        <v>397</v>
      </c>
      <c r="C219">
        <v>114206041</v>
      </c>
      <c r="D219" t="str">
        <f t="shared" si="118"/>
        <v>Pınar, Eren Can-114206041</v>
      </c>
      <c r="E219" s="22">
        <v>5</v>
      </c>
      <c r="F219" s="22">
        <v>3</v>
      </c>
      <c r="G219" s="22">
        <v>15</v>
      </c>
      <c r="H219" s="22">
        <v>3659076</v>
      </c>
      <c r="I219" s="22">
        <v>1312205</v>
      </c>
      <c r="J219" s="22">
        <v>7481147</v>
      </c>
      <c r="K219" s="22">
        <v>8475014</v>
      </c>
      <c r="L219" s="22">
        <v>100000</v>
      </c>
      <c r="M219" s="22">
        <v>108500</v>
      </c>
      <c r="N219" s="22">
        <v>118400</v>
      </c>
      <c r="O219" s="22">
        <v>126700</v>
      </c>
      <c r="P219" s="22">
        <v>126700</v>
      </c>
      <c r="Q219" s="22">
        <v>118400</v>
      </c>
      <c r="R219" s="22">
        <v>100000</v>
      </c>
      <c r="S219" s="22">
        <v>108500</v>
      </c>
      <c r="T219" s="24">
        <v>27000</v>
      </c>
      <c r="U219" s="22">
        <v>27115</v>
      </c>
      <c r="V219" s="22">
        <v>25115</v>
      </c>
      <c r="W219" s="22">
        <v>23015</v>
      </c>
      <c r="X219" s="22">
        <v>23015</v>
      </c>
      <c r="Y219" s="22">
        <v>25115</v>
      </c>
      <c r="Z219" s="22">
        <v>29215</v>
      </c>
      <c r="AA219" s="22">
        <v>27115</v>
      </c>
      <c r="AB219" s="24">
        <v>115000</v>
      </c>
      <c r="AC219" s="24">
        <v>113000</v>
      </c>
      <c r="AD219" s="24">
        <v>114000</v>
      </c>
      <c r="AE219" s="24">
        <v>115000</v>
      </c>
      <c r="AF219" s="24">
        <v>111500</v>
      </c>
      <c r="AG219" s="24">
        <v>109500</v>
      </c>
      <c r="AH219" s="24">
        <v>111500</v>
      </c>
      <c r="AI219" s="24">
        <v>112500</v>
      </c>
      <c r="AJ219" s="25">
        <v>2.6</v>
      </c>
      <c r="AK219" s="25">
        <v>7.3</v>
      </c>
    </row>
    <row r="220" spans="1:37" x14ac:dyDescent="0.25">
      <c r="A220" t="s">
        <v>398</v>
      </c>
      <c r="B220" t="s">
        <v>348</v>
      </c>
      <c r="C220">
        <v>114205054</v>
      </c>
      <c r="D220" t="str">
        <f t="shared" si="118"/>
        <v>Renklioğlu, Ahmet-114205054</v>
      </c>
      <c r="E220" s="22">
        <v>6</v>
      </c>
      <c r="F220" s="22">
        <v>3</v>
      </c>
      <c r="G220" s="22">
        <v>15</v>
      </c>
      <c r="H220" s="22">
        <v>6711936</v>
      </c>
      <c r="I220" s="22">
        <v>3398217</v>
      </c>
      <c r="J220" s="22">
        <v>2684575</v>
      </c>
      <c r="K220" s="22">
        <v>7873824</v>
      </c>
      <c r="L220" s="22">
        <v>100000</v>
      </c>
      <c r="M220" s="22">
        <v>108400</v>
      </c>
      <c r="N220" s="22">
        <v>117700</v>
      </c>
      <c r="O220" s="22">
        <v>126300</v>
      </c>
      <c r="P220" s="22">
        <v>126300</v>
      </c>
      <c r="Q220" s="22">
        <v>100000</v>
      </c>
      <c r="R220" s="22">
        <v>108400</v>
      </c>
      <c r="S220" s="22">
        <v>117700</v>
      </c>
      <c r="T220" s="24">
        <v>28000</v>
      </c>
      <c r="U220" s="22">
        <v>26716</v>
      </c>
      <c r="V220" s="22">
        <v>24516</v>
      </c>
      <c r="W220" s="22">
        <v>22316</v>
      </c>
      <c r="X220" s="22">
        <v>22316</v>
      </c>
      <c r="Y220" s="22">
        <v>29216</v>
      </c>
      <c r="Z220" s="22">
        <v>26716</v>
      </c>
      <c r="AA220" s="22">
        <v>24516</v>
      </c>
      <c r="AB220" s="24">
        <v>109000</v>
      </c>
      <c r="AC220" s="24">
        <v>109000</v>
      </c>
      <c r="AD220" s="24">
        <v>109000</v>
      </c>
      <c r="AE220" s="24">
        <v>110000</v>
      </c>
      <c r="AF220" s="24">
        <v>107500</v>
      </c>
      <c r="AG220" s="24">
        <v>107500</v>
      </c>
      <c r="AH220" s="24">
        <v>107500</v>
      </c>
      <c r="AI220" s="24">
        <v>108500</v>
      </c>
      <c r="AJ220" s="25">
        <v>3.1</v>
      </c>
      <c r="AK220" s="25">
        <v>8.1999999999999993</v>
      </c>
    </row>
    <row r="221" spans="1:37" x14ac:dyDescent="0.25">
      <c r="A221" t="s">
        <v>399</v>
      </c>
      <c r="B221" t="s">
        <v>400</v>
      </c>
      <c r="C221">
        <v>114205064</v>
      </c>
      <c r="D221" t="str">
        <f t="shared" si="118"/>
        <v>Rud, Iliya-114205064</v>
      </c>
      <c r="E221" s="22">
        <v>4</v>
      </c>
      <c r="F221" s="22">
        <v>1</v>
      </c>
      <c r="G221" s="22">
        <v>8</v>
      </c>
      <c r="H221" s="22">
        <v>1400185</v>
      </c>
      <c r="I221" s="22">
        <v>7051985</v>
      </c>
      <c r="J221" s="22">
        <v>1844035</v>
      </c>
      <c r="K221" s="22">
        <v>4780011</v>
      </c>
      <c r="L221" s="22">
        <v>100000</v>
      </c>
      <c r="M221" s="22">
        <v>109200</v>
      </c>
      <c r="N221" s="22">
        <v>119100</v>
      </c>
      <c r="O221" s="22">
        <v>127700</v>
      </c>
      <c r="P221" s="22">
        <v>109200</v>
      </c>
      <c r="Q221" s="22">
        <v>127700</v>
      </c>
      <c r="R221" s="22">
        <v>119100</v>
      </c>
      <c r="S221" s="22">
        <v>100000</v>
      </c>
      <c r="T221" s="24">
        <v>28000</v>
      </c>
      <c r="U221" s="22">
        <v>26717</v>
      </c>
      <c r="V221" s="22">
        <v>24317</v>
      </c>
      <c r="W221" s="22">
        <v>22317</v>
      </c>
      <c r="X221" s="22">
        <v>26717</v>
      </c>
      <c r="Y221" s="22">
        <v>22317</v>
      </c>
      <c r="Z221" s="22">
        <v>24317</v>
      </c>
      <c r="AA221" s="22">
        <v>29217</v>
      </c>
      <c r="AB221" s="24">
        <v>116000</v>
      </c>
      <c r="AC221" s="24">
        <v>116000</v>
      </c>
      <c r="AD221" s="24">
        <v>117000</v>
      </c>
      <c r="AE221" s="24">
        <v>120000</v>
      </c>
      <c r="AF221" s="24">
        <v>112500</v>
      </c>
      <c r="AG221" s="24">
        <v>112500</v>
      </c>
      <c r="AH221" s="24">
        <v>113500</v>
      </c>
      <c r="AI221" s="24">
        <v>116500</v>
      </c>
      <c r="AJ221" s="25">
        <v>3.4</v>
      </c>
      <c r="AK221" s="25">
        <v>6.7</v>
      </c>
    </row>
    <row r="222" spans="1:37" x14ac:dyDescent="0.25">
      <c r="A222" t="s">
        <v>401</v>
      </c>
      <c r="B222" t="s">
        <v>402</v>
      </c>
      <c r="C222">
        <v>114202021</v>
      </c>
      <c r="D222" t="str">
        <f t="shared" si="118"/>
        <v>Şabablı, Ebru-114202021</v>
      </c>
      <c r="E222" s="22">
        <v>4</v>
      </c>
      <c r="F222" s="22">
        <v>1</v>
      </c>
      <c r="G222" s="22">
        <v>8</v>
      </c>
      <c r="H222" s="22">
        <v>6644141</v>
      </c>
      <c r="I222" s="22">
        <v>9389598</v>
      </c>
      <c r="J222" s="22">
        <v>5930450</v>
      </c>
      <c r="K222" s="22">
        <v>3927950</v>
      </c>
      <c r="L222" s="22">
        <v>100000</v>
      </c>
      <c r="M222" s="22">
        <v>109300</v>
      </c>
      <c r="N222" s="22">
        <v>117400</v>
      </c>
      <c r="O222" s="22">
        <v>125700</v>
      </c>
      <c r="P222" s="22">
        <v>109300</v>
      </c>
      <c r="Q222" s="22">
        <v>100000</v>
      </c>
      <c r="R222" s="22">
        <v>117400</v>
      </c>
      <c r="S222" s="22">
        <v>125700</v>
      </c>
      <c r="T222" s="24">
        <v>23000</v>
      </c>
      <c r="U222" s="22">
        <v>26718</v>
      </c>
      <c r="V222" s="22">
        <v>24218</v>
      </c>
      <c r="W222" s="22">
        <v>21918</v>
      </c>
      <c r="X222" s="22">
        <v>26718</v>
      </c>
      <c r="Y222" s="22">
        <v>29218</v>
      </c>
      <c r="Z222" s="22">
        <v>24218</v>
      </c>
      <c r="AA222" s="22">
        <v>21918</v>
      </c>
      <c r="AB222" s="24">
        <v>103000</v>
      </c>
      <c r="AC222" s="24">
        <v>107000</v>
      </c>
      <c r="AD222" s="24">
        <v>108000</v>
      </c>
      <c r="AE222" s="24">
        <v>112000</v>
      </c>
      <c r="AF222" s="24">
        <v>101000</v>
      </c>
      <c r="AG222" s="24">
        <v>103500</v>
      </c>
      <c r="AH222" s="24">
        <v>105000</v>
      </c>
      <c r="AI222" s="24">
        <v>110000</v>
      </c>
      <c r="AJ222" s="25">
        <v>3.9</v>
      </c>
      <c r="AK222" s="25">
        <v>9</v>
      </c>
    </row>
    <row r="223" spans="1:37" x14ac:dyDescent="0.25">
      <c r="A223" t="s">
        <v>403</v>
      </c>
      <c r="B223" t="s">
        <v>404</v>
      </c>
      <c r="C223">
        <v>115200100</v>
      </c>
      <c r="D223" t="str">
        <f t="shared" si="118"/>
        <v>Sadrimajd, Salva-115200100</v>
      </c>
      <c r="E223" s="22">
        <v>7</v>
      </c>
      <c r="F223" s="22">
        <v>3</v>
      </c>
      <c r="G223" s="22">
        <v>15</v>
      </c>
      <c r="H223" s="22">
        <v>3481326</v>
      </c>
      <c r="I223" s="22">
        <v>3418337</v>
      </c>
      <c r="J223" s="22">
        <v>7528065</v>
      </c>
      <c r="K223" s="22">
        <v>6157339</v>
      </c>
      <c r="L223" s="22">
        <v>100000</v>
      </c>
      <c r="M223" s="22">
        <v>109000</v>
      </c>
      <c r="N223" s="22">
        <v>117600</v>
      </c>
      <c r="O223" s="22">
        <v>125800</v>
      </c>
      <c r="P223" s="22">
        <v>117600</v>
      </c>
      <c r="Q223" s="22">
        <v>125800</v>
      </c>
      <c r="R223" s="22">
        <v>100000</v>
      </c>
      <c r="S223" s="22">
        <v>109000</v>
      </c>
      <c r="T223" s="24">
        <v>23000</v>
      </c>
      <c r="U223" s="22">
        <v>27219</v>
      </c>
      <c r="V223" s="22">
        <v>24719</v>
      </c>
      <c r="W223" s="22">
        <v>22419</v>
      </c>
      <c r="X223" s="22">
        <v>24719</v>
      </c>
      <c r="Y223" s="22">
        <v>22419</v>
      </c>
      <c r="Z223" s="22">
        <v>29219</v>
      </c>
      <c r="AA223" s="22">
        <v>27219</v>
      </c>
      <c r="AB223" s="24">
        <v>98000</v>
      </c>
      <c r="AC223" s="24">
        <v>100000</v>
      </c>
      <c r="AD223" s="24">
        <v>101000</v>
      </c>
      <c r="AE223" s="24">
        <v>98000</v>
      </c>
      <c r="AF223" s="24">
        <v>94000</v>
      </c>
      <c r="AG223" s="24">
        <v>96000</v>
      </c>
      <c r="AH223" s="24">
        <v>98500</v>
      </c>
      <c r="AI223" s="24">
        <v>96500</v>
      </c>
      <c r="AJ223" s="25">
        <v>3.1</v>
      </c>
      <c r="AK223" s="25">
        <v>8.5</v>
      </c>
    </row>
    <row r="224" spans="1:37" x14ac:dyDescent="0.25">
      <c r="A224" t="s">
        <v>405</v>
      </c>
      <c r="B224" t="s">
        <v>406</v>
      </c>
      <c r="C224">
        <v>115204008</v>
      </c>
      <c r="D224" t="str">
        <f t="shared" si="118"/>
        <v>Şahin, Hazal Su-115204008</v>
      </c>
      <c r="E224" s="22">
        <v>7</v>
      </c>
      <c r="F224" s="22">
        <v>3</v>
      </c>
      <c r="G224" s="22">
        <v>15</v>
      </c>
      <c r="H224" s="22">
        <v>4242221</v>
      </c>
      <c r="I224" s="22">
        <v>1165617</v>
      </c>
      <c r="J224" s="22">
        <v>4690171</v>
      </c>
      <c r="K224" s="22">
        <v>506040</v>
      </c>
      <c r="L224" s="22">
        <v>100000</v>
      </c>
      <c r="M224" s="22">
        <v>110000</v>
      </c>
      <c r="N224" s="22">
        <v>118400</v>
      </c>
      <c r="O224" s="22">
        <v>128100</v>
      </c>
      <c r="P224" s="22">
        <v>118400</v>
      </c>
      <c r="Q224" s="22">
        <v>100000</v>
      </c>
      <c r="R224" s="22">
        <v>110000</v>
      </c>
      <c r="S224" s="22">
        <v>128100</v>
      </c>
      <c r="T224" s="24">
        <v>27000</v>
      </c>
      <c r="U224" s="22">
        <v>26920</v>
      </c>
      <c r="V224" s="22">
        <v>24420</v>
      </c>
      <c r="W224" s="22">
        <v>22120</v>
      </c>
      <c r="X224" s="22">
        <v>24420</v>
      </c>
      <c r="Y224" s="22">
        <v>29220</v>
      </c>
      <c r="Z224" s="22">
        <v>26920</v>
      </c>
      <c r="AA224" s="22">
        <v>22120</v>
      </c>
      <c r="AB224" s="24">
        <v>109000</v>
      </c>
      <c r="AC224" s="24">
        <v>109000</v>
      </c>
      <c r="AD224" s="24">
        <v>110000</v>
      </c>
      <c r="AE224" s="24">
        <v>112000</v>
      </c>
      <c r="AF224" s="24">
        <v>106000</v>
      </c>
      <c r="AG224" s="24">
        <v>105500</v>
      </c>
      <c r="AH224" s="24">
        <v>106500</v>
      </c>
      <c r="AI224" s="24">
        <v>110500</v>
      </c>
      <c r="AJ224" s="25">
        <v>4.3</v>
      </c>
      <c r="AK224" s="25">
        <v>6.9</v>
      </c>
    </row>
    <row r="225" spans="1:37" x14ac:dyDescent="0.25">
      <c r="A225" t="s">
        <v>405</v>
      </c>
      <c r="B225" t="s">
        <v>407</v>
      </c>
      <c r="C225">
        <v>114201050</v>
      </c>
      <c r="D225" t="str">
        <f t="shared" si="118"/>
        <v>Şahin, İlayda-114201050</v>
      </c>
      <c r="E225" s="22">
        <v>7</v>
      </c>
      <c r="F225" s="22">
        <v>2</v>
      </c>
      <c r="G225" s="22">
        <v>10</v>
      </c>
      <c r="H225" s="22">
        <v>1799712</v>
      </c>
      <c r="I225" s="22">
        <v>5401250</v>
      </c>
      <c r="J225" s="22">
        <v>1543995</v>
      </c>
      <c r="K225" s="22">
        <v>6459397</v>
      </c>
      <c r="L225" s="22">
        <v>100000</v>
      </c>
      <c r="M225" s="22">
        <v>109400</v>
      </c>
      <c r="N225" s="22">
        <v>119400</v>
      </c>
      <c r="O225" s="22">
        <v>129200</v>
      </c>
      <c r="P225" s="22">
        <v>129200</v>
      </c>
      <c r="Q225" s="22">
        <v>109400</v>
      </c>
      <c r="R225" s="22">
        <v>100000</v>
      </c>
      <c r="S225" s="22">
        <v>119400</v>
      </c>
      <c r="T225" s="24">
        <v>29000</v>
      </c>
      <c r="U225" s="22">
        <v>27221</v>
      </c>
      <c r="V225" s="22">
        <v>25021</v>
      </c>
      <c r="W225" s="22">
        <v>23021</v>
      </c>
      <c r="X225" s="22">
        <v>23021</v>
      </c>
      <c r="Y225" s="22">
        <v>27221</v>
      </c>
      <c r="Z225" s="22">
        <v>29221</v>
      </c>
      <c r="AA225" s="22">
        <v>25021</v>
      </c>
      <c r="AB225" s="24">
        <v>99000</v>
      </c>
      <c r="AC225" s="24">
        <v>99000</v>
      </c>
      <c r="AD225" s="24">
        <v>102000</v>
      </c>
      <c r="AE225" s="24">
        <v>100000</v>
      </c>
      <c r="AF225" s="24">
        <v>97000</v>
      </c>
      <c r="AG225" s="24">
        <v>97000</v>
      </c>
      <c r="AH225" s="24">
        <v>98500</v>
      </c>
      <c r="AI225" s="24">
        <v>96500</v>
      </c>
      <c r="AJ225" s="25">
        <v>3.9</v>
      </c>
      <c r="AK225" s="25">
        <v>7</v>
      </c>
    </row>
    <row r="226" spans="1:37" x14ac:dyDescent="0.25">
      <c r="A226" t="s">
        <v>408</v>
      </c>
      <c r="B226" t="s">
        <v>409</v>
      </c>
      <c r="C226">
        <v>116203001</v>
      </c>
      <c r="D226" t="str">
        <f t="shared" si="118"/>
        <v>Saleem, Muhammad Farhan-116203001</v>
      </c>
      <c r="E226" s="22">
        <v>5</v>
      </c>
      <c r="F226" s="22">
        <v>2</v>
      </c>
      <c r="G226" s="22">
        <v>10</v>
      </c>
      <c r="H226" s="22">
        <v>8715523</v>
      </c>
      <c r="I226" s="22">
        <v>2627109</v>
      </c>
      <c r="J226" s="22">
        <v>3692986</v>
      </c>
      <c r="K226" s="22">
        <v>7630285</v>
      </c>
      <c r="L226" s="22">
        <v>100000</v>
      </c>
      <c r="M226" s="22">
        <v>108200</v>
      </c>
      <c r="N226" s="22">
        <v>117800</v>
      </c>
      <c r="O226" s="22">
        <v>125900</v>
      </c>
      <c r="P226" s="22">
        <v>100000</v>
      </c>
      <c r="Q226" s="22">
        <v>125900</v>
      </c>
      <c r="R226" s="22">
        <v>117800</v>
      </c>
      <c r="S226" s="22">
        <v>108200</v>
      </c>
      <c r="T226" s="24">
        <v>27000</v>
      </c>
      <c r="U226" s="22">
        <v>26822</v>
      </c>
      <c r="V226" s="22">
        <v>24422</v>
      </c>
      <c r="W226" s="22">
        <v>22222</v>
      </c>
      <c r="X226" s="22">
        <v>29222</v>
      </c>
      <c r="Y226" s="22">
        <v>22222</v>
      </c>
      <c r="Z226" s="22">
        <v>24422</v>
      </c>
      <c r="AA226" s="22">
        <v>26822</v>
      </c>
      <c r="AB226" s="24">
        <v>115000</v>
      </c>
      <c r="AC226" s="24">
        <v>112000</v>
      </c>
      <c r="AD226" s="24">
        <v>109000</v>
      </c>
      <c r="AE226" s="24">
        <v>112000</v>
      </c>
      <c r="AF226" s="24">
        <v>111500</v>
      </c>
      <c r="AG226" s="24">
        <v>109500</v>
      </c>
      <c r="AH226" s="24">
        <v>107500</v>
      </c>
      <c r="AI226" s="24">
        <v>108000</v>
      </c>
      <c r="AJ226" s="25">
        <v>5</v>
      </c>
      <c r="AK226" s="25">
        <v>9</v>
      </c>
    </row>
    <row r="227" spans="1:37" x14ac:dyDescent="0.25">
      <c r="A227" t="s">
        <v>410</v>
      </c>
      <c r="B227" t="s">
        <v>411</v>
      </c>
      <c r="C227">
        <v>115206032</v>
      </c>
      <c r="D227" t="str">
        <f t="shared" si="118"/>
        <v>Samancı, Selahattin Alp-115206032</v>
      </c>
      <c r="E227" s="22">
        <v>7</v>
      </c>
      <c r="F227" s="22">
        <v>2</v>
      </c>
      <c r="G227" s="22">
        <v>10</v>
      </c>
      <c r="H227" s="22">
        <v>7898401</v>
      </c>
      <c r="I227" s="22">
        <v>4117365</v>
      </c>
      <c r="J227" s="22">
        <v>645525</v>
      </c>
      <c r="K227" s="22">
        <v>2864174</v>
      </c>
      <c r="L227" s="22">
        <v>100000</v>
      </c>
      <c r="M227" s="22">
        <v>109100</v>
      </c>
      <c r="N227" s="22">
        <v>118000</v>
      </c>
      <c r="O227" s="22">
        <v>126700</v>
      </c>
      <c r="P227" s="22">
        <v>100000</v>
      </c>
      <c r="Q227" s="22">
        <v>109100</v>
      </c>
      <c r="R227" s="22">
        <v>126700</v>
      </c>
      <c r="S227" s="22">
        <v>118000</v>
      </c>
      <c r="T227" s="24">
        <v>23000</v>
      </c>
      <c r="U227" s="22">
        <v>26823</v>
      </c>
      <c r="V227" s="22">
        <v>24623</v>
      </c>
      <c r="W227" s="22">
        <v>22623</v>
      </c>
      <c r="X227" s="22">
        <v>29223</v>
      </c>
      <c r="Y227" s="22">
        <v>26823</v>
      </c>
      <c r="Z227" s="22">
        <v>22623</v>
      </c>
      <c r="AA227" s="22">
        <v>24623</v>
      </c>
      <c r="AB227" s="24">
        <v>109000</v>
      </c>
      <c r="AC227" s="24">
        <v>112000</v>
      </c>
      <c r="AD227" s="24">
        <v>109000</v>
      </c>
      <c r="AE227" s="24">
        <v>109000</v>
      </c>
      <c r="AF227" s="24">
        <v>105000</v>
      </c>
      <c r="AG227" s="24">
        <v>110000</v>
      </c>
      <c r="AH227" s="24">
        <v>106500</v>
      </c>
      <c r="AI227" s="24">
        <v>107500</v>
      </c>
      <c r="AJ227" s="25">
        <v>2.5</v>
      </c>
      <c r="AK227" s="25">
        <v>8.9</v>
      </c>
    </row>
    <row r="228" spans="1:37" x14ac:dyDescent="0.25">
      <c r="A228" t="s">
        <v>412</v>
      </c>
      <c r="B228" t="s">
        <v>413</v>
      </c>
      <c r="C228">
        <v>111201034</v>
      </c>
      <c r="D228" t="str">
        <f t="shared" si="118"/>
        <v>Sandıkçı, Oğulcan-111201034</v>
      </c>
      <c r="E228" s="22">
        <v>6</v>
      </c>
      <c r="F228" s="22">
        <v>1</v>
      </c>
      <c r="G228" s="22">
        <v>8</v>
      </c>
      <c r="H228" s="22">
        <v>9136480</v>
      </c>
      <c r="I228" s="22">
        <v>9393068</v>
      </c>
      <c r="J228" s="22">
        <v>7735890</v>
      </c>
      <c r="K228" s="22">
        <v>1991148</v>
      </c>
      <c r="L228" s="22">
        <v>100000</v>
      </c>
      <c r="M228" s="22">
        <v>109500</v>
      </c>
      <c r="N228" s="22">
        <v>117700</v>
      </c>
      <c r="O228" s="22">
        <v>126900</v>
      </c>
      <c r="P228" s="22">
        <v>109500</v>
      </c>
      <c r="Q228" s="22">
        <v>100000</v>
      </c>
      <c r="R228" s="22">
        <v>117700</v>
      </c>
      <c r="S228" s="22">
        <v>126900</v>
      </c>
      <c r="T228" s="24">
        <v>28000</v>
      </c>
      <c r="U228" s="22">
        <v>27024</v>
      </c>
      <c r="V228" s="22">
        <v>24924</v>
      </c>
      <c r="W228" s="22">
        <v>22424</v>
      </c>
      <c r="X228" s="22">
        <v>27024</v>
      </c>
      <c r="Y228" s="22">
        <v>29224</v>
      </c>
      <c r="Z228" s="22">
        <v>24924</v>
      </c>
      <c r="AA228" s="22">
        <v>22424</v>
      </c>
      <c r="AB228" s="24">
        <v>103000</v>
      </c>
      <c r="AC228" s="24">
        <v>104000</v>
      </c>
      <c r="AD228" s="24">
        <v>107000</v>
      </c>
      <c r="AE228" s="24">
        <v>109000</v>
      </c>
      <c r="AF228" s="24">
        <v>99500</v>
      </c>
      <c r="AG228" s="24">
        <v>102500</v>
      </c>
      <c r="AH228" s="24">
        <v>105500</v>
      </c>
      <c r="AI228" s="24">
        <v>106000</v>
      </c>
      <c r="AJ228" s="25">
        <v>4.3</v>
      </c>
      <c r="AK228" s="25">
        <v>6.7</v>
      </c>
    </row>
    <row r="229" spans="1:37" x14ac:dyDescent="0.25">
      <c r="A229" t="s">
        <v>414</v>
      </c>
      <c r="B229" t="s">
        <v>415</v>
      </c>
      <c r="C229">
        <v>11275008</v>
      </c>
      <c r="D229" t="str">
        <f t="shared" si="118"/>
        <v>Sanisoğlu, Ceren-11275008</v>
      </c>
      <c r="E229" s="22">
        <v>6</v>
      </c>
      <c r="F229" s="22">
        <v>1</v>
      </c>
      <c r="G229" s="22">
        <v>8</v>
      </c>
      <c r="H229" s="22">
        <v>3847957</v>
      </c>
      <c r="I229" s="22">
        <v>2289413</v>
      </c>
      <c r="J229" s="22">
        <v>8559561</v>
      </c>
      <c r="K229" s="22">
        <v>4955392</v>
      </c>
      <c r="L229" s="22">
        <v>100000</v>
      </c>
      <c r="M229" s="22">
        <v>109000</v>
      </c>
      <c r="N229" s="22">
        <v>117600</v>
      </c>
      <c r="O229" s="22">
        <v>126300</v>
      </c>
      <c r="P229" s="22">
        <v>117600</v>
      </c>
      <c r="Q229" s="22">
        <v>126300</v>
      </c>
      <c r="R229" s="22">
        <v>100000</v>
      </c>
      <c r="S229" s="22">
        <v>109000</v>
      </c>
      <c r="T229" s="24">
        <v>26000</v>
      </c>
      <c r="U229" s="22">
        <v>27125</v>
      </c>
      <c r="V229" s="22">
        <v>25125</v>
      </c>
      <c r="W229" s="22">
        <v>22825</v>
      </c>
      <c r="X229" s="22">
        <v>25125</v>
      </c>
      <c r="Y229" s="22">
        <v>22825</v>
      </c>
      <c r="Z229" s="22">
        <v>29225</v>
      </c>
      <c r="AA229" s="22">
        <v>27125</v>
      </c>
      <c r="AB229" s="24">
        <v>119000</v>
      </c>
      <c r="AC229" s="24">
        <v>116000</v>
      </c>
      <c r="AD229" s="24">
        <v>120000</v>
      </c>
      <c r="AE229" s="24">
        <v>119000</v>
      </c>
      <c r="AF229" s="24">
        <v>116500</v>
      </c>
      <c r="AG229" s="24">
        <v>113500</v>
      </c>
      <c r="AH229" s="24">
        <v>116000</v>
      </c>
      <c r="AI229" s="24">
        <v>115500</v>
      </c>
      <c r="AJ229" s="25">
        <v>4.2</v>
      </c>
      <c r="AK229" s="25">
        <v>8.6</v>
      </c>
    </row>
    <row r="230" spans="1:37" x14ac:dyDescent="0.25">
      <c r="A230" t="s">
        <v>416</v>
      </c>
      <c r="B230" t="s">
        <v>417</v>
      </c>
      <c r="C230">
        <v>114202049</v>
      </c>
      <c r="D230" t="str">
        <f t="shared" si="118"/>
        <v>Şaşıoğlu, Kaan-114202049</v>
      </c>
      <c r="E230" s="22">
        <v>7</v>
      </c>
      <c r="F230" s="22">
        <v>3</v>
      </c>
      <c r="G230" s="22">
        <v>15</v>
      </c>
      <c r="H230" s="22">
        <v>9609732</v>
      </c>
      <c r="I230" s="22">
        <v>3638520</v>
      </c>
      <c r="J230" s="22">
        <v>7063072</v>
      </c>
      <c r="K230" s="22">
        <v>8571256</v>
      </c>
      <c r="L230" s="22">
        <v>100000</v>
      </c>
      <c r="M230" s="22">
        <v>108400</v>
      </c>
      <c r="N230" s="22">
        <v>118200</v>
      </c>
      <c r="O230" s="22">
        <v>126200</v>
      </c>
      <c r="P230" s="22">
        <v>100000</v>
      </c>
      <c r="Q230" s="22">
        <v>126200</v>
      </c>
      <c r="R230" s="22">
        <v>118200</v>
      </c>
      <c r="S230" s="22">
        <v>108400</v>
      </c>
      <c r="T230" s="24">
        <v>23000</v>
      </c>
      <c r="U230" s="22">
        <v>26726</v>
      </c>
      <c r="V230" s="22">
        <v>24626</v>
      </c>
      <c r="W230" s="22">
        <v>22526</v>
      </c>
      <c r="X230" s="22">
        <v>29226</v>
      </c>
      <c r="Y230" s="22">
        <v>22526</v>
      </c>
      <c r="Z230" s="22">
        <v>24626</v>
      </c>
      <c r="AA230" s="22">
        <v>26726</v>
      </c>
      <c r="AB230" s="24">
        <v>98000</v>
      </c>
      <c r="AC230" s="24">
        <v>96000</v>
      </c>
      <c r="AD230" s="24">
        <v>94000</v>
      </c>
      <c r="AE230" s="24">
        <v>92000</v>
      </c>
      <c r="AF230" s="24">
        <v>94500</v>
      </c>
      <c r="AG230" s="24">
        <v>92000</v>
      </c>
      <c r="AH230" s="24">
        <v>91000</v>
      </c>
      <c r="AI230" s="24">
        <v>89500</v>
      </c>
      <c r="AJ230" s="25">
        <v>4.7</v>
      </c>
      <c r="AK230" s="25">
        <v>6.6</v>
      </c>
    </row>
    <row r="231" spans="1:37" x14ac:dyDescent="0.25">
      <c r="A231" t="s">
        <v>418</v>
      </c>
      <c r="B231" t="s">
        <v>61</v>
      </c>
      <c r="C231">
        <v>115202021</v>
      </c>
      <c r="D231" t="str">
        <f t="shared" si="118"/>
        <v>Satış, Furkan-115202021</v>
      </c>
      <c r="E231" s="22">
        <v>7</v>
      </c>
      <c r="F231" s="22">
        <v>2</v>
      </c>
      <c r="G231" s="22">
        <v>10</v>
      </c>
      <c r="H231" s="22">
        <v>8740478</v>
      </c>
      <c r="I231" s="22">
        <v>9829205</v>
      </c>
      <c r="J231" s="22">
        <v>9874184</v>
      </c>
      <c r="K231" s="22">
        <v>2569112</v>
      </c>
      <c r="L231" s="22">
        <v>100000</v>
      </c>
      <c r="M231" s="22">
        <v>108200</v>
      </c>
      <c r="N231" s="22">
        <v>116700</v>
      </c>
      <c r="O231" s="22">
        <v>125900</v>
      </c>
      <c r="P231" s="22">
        <v>116700</v>
      </c>
      <c r="Q231" s="22">
        <v>108200</v>
      </c>
      <c r="R231" s="22">
        <v>100000</v>
      </c>
      <c r="S231" s="22">
        <v>125900</v>
      </c>
      <c r="T231" s="24">
        <v>24000</v>
      </c>
      <c r="U231" s="22">
        <v>26927</v>
      </c>
      <c r="V231" s="22">
        <v>24827</v>
      </c>
      <c r="W231" s="22">
        <v>22827</v>
      </c>
      <c r="X231" s="22">
        <v>24827</v>
      </c>
      <c r="Y231" s="22">
        <v>26927</v>
      </c>
      <c r="Z231" s="22">
        <v>29227</v>
      </c>
      <c r="AA231" s="22">
        <v>22827</v>
      </c>
      <c r="AB231" s="24">
        <v>101000</v>
      </c>
      <c r="AC231" s="24">
        <v>102000</v>
      </c>
      <c r="AD231" s="24">
        <v>102000</v>
      </c>
      <c r="AE231" s="24">
        <v>99000</v>
      </c>
      <c r="AF231" s="24">
        <v>99000</v>
      </c>
      <c r="AG231" s="24">
        <v>99000</v>
      </c>
      <c r="AH231" s="24">
        <v>99000</v>
      </c>
      <c r="AI231" s="24">
        <v>96000</v>
      </c>
      <c r="AJ231" s="25">
        <v>4</v>
      </c>
      <c r="AK231" s="25">
        <v>7.8</v>
      </c>
    </row>
    <row r="232" spans="1:37" x14ac:dyDescent="0.25">
      <c r="A232" t="s">
        <v>419</v>
      </c>
      <c r="B232" t="s">
        <v>420</v>
      </c>
      <c r="C232">
        <v>113203007</v>
      </c>
      <c r="D232" t="str">
        <f t="shared" si="118"/>
        <v>Sayek, Alexander-113203007</v>
      </c>
      <c r="E232" s="22">
        <v>5</v>
      </c>
      <c r="F232" s="22">
        <v>2</v>
      </c>
      <c r="G232" s="22">
        <v>10</v>
      </c>
      <c r="H232" s="22">
        <v>8794256</v>
      </c>
      <c r="I232" s="22">
        <v>3987440</v>
      </c>
      <c r="J232" s="22">
        <v>7139677</v>
      </c>
      <c r="K232" s="22">
        <v>7454350</v>
      </c>
      <c r="L232" s="22">
        <v>100000</v>
      </c>
      <c r="M232" s="22">
        <v>108900</v>
      </c>
      <c r="N232" s="22">
        <v>118400</v>
      </c>
      <c r="O232" s="22">
        <v>128400</v>
      </c>
      <c r="P232" s="22">
        <v>100000</v>
      </c>
      <c r="Q232" s="22">
        <v>128400</v>
      </c>
      <c r="R232" s="22">
        <v>118400</v>
      </c>
      <c r="S232" s="22">
        <v>108900</v>
      </c>
      <c r="T232" s="24">
        <v>26000</v>
      </c>
      <c r="U232" s="22">
        <v>26828</v>
      </c>
      <c r="V232" s="22">
        <v>24728</v>
      </c>
      <c r="W232" s="22">
        <v>22728</v>
      </c>
      <c r="X232" s="22">
        <v>29228</v>
      </c>
      <c r="Y232" s="22">
        <v>22728</v>
      </c>
      <c r="Z232" s="22">
        <v>24728</v>
      </c>
      <c r="AA232" s="22">
        <v>26828</v>
      </c>
      <c r="AB232" s="24">
        <v>115000</v>
      </c>
      <c r="AC232" s="24">
        <v>116000</v>
      </c>
      <c r="AD232" s="24">
        <v>118000</v>
      </c>
      <c r="AE232" s="24">
        <v>115000</v>
      </c>
      <c r="AF232" s="24">
        <v>111500</v>
      </c>
      <c r="AG232" s="24">
        <v>112000</v>
      </c>
      <c r="AH232" s="24">
        <v>115500</v>
      </c>
      <c r="AI232" s="24">
        <v>112000</v>
      </c>
      <c r="AJ232" s="25">
        <v>3.8</v>
      </c>
      <c r="AK232" s="25">
        <v>9.5</v>
      </c>
    </row>
    <row r="233" spans="1:37" x14ac:dyDescent="0.25">
      <c r="A233" t="s">
        <v>421</v>
      </c>
      <c r="B233" t="s">
        <v>422</v>
      </c>
      <c r="C233">
        <v>114204046</v>
      </c>
      <c r="D233" t="str">
        <f t="shared" si="118"/>
        <v>Selçuk, Ahmet Mert-114204046</v>
      </c>
      <c r="E233" s="22">
        <v>5</v>
      </c>
      <c r="F233" s="22">
        <v>3</v>
      </c>
      <c r="G233" s="22">
        <v>15</v>
      </c>
      <c r="H233" s="22">
        <v>5350574</v>
      </c>
      <c r="I233" s="22">
        <v>2197032</v>
      </c>
      <c r="J233" s="22">
        <v>2936377</v>
      </c>
      <c r="K233" s="22">
        <v>3176250</v>
      </c>
      <c r="L233" s="22">
        <v>100000</v>
      </c>
      <c r="M233" s="22">
        <v>108800</v>
      </c>
      <c r="N233" s="22">
        <v>117600</v>
      </c>
      <c r="O233" s="22">
        <v>126900</v>
      </c>
      <c r="P233" s="22">
        <v>100000</v>
      </c>
      <c r="Q233" s="22">
        <v>126900</v>
      </c>
      <c r="R233" s="22">
        <v>117600</v>
      </c>
      <c r="S233" s="22">
        <v>108800</v>
      </c>
      <c r="T233" s="24">
        <v>25000</v>
      </c>
      <c r="U233" s="22">
        <v>26829</v>
      </c>
      <c r="V233" s="22">
        <v>24529</v>
      </c>
      <c r="W233" s="22">
        <v>22429</v>
      </c>
      <c r="X233" s="22">
        <v>29229</v>
      </c>
      <c r="Y233" s="22">
        <v>22429</v>
      </c>
      <c r="Z233" s="22">
        <v>24529</v>
      </c>
      <c r="AA233" s="22">
        <v>26829</v>
      </c>
      <c r="AB233" s="24">
        <v>115000</v>
      </c>
      <c r="AC233" s="24">
        <v>116000</v>
      </c>
      <c r="AD233" s="24">
        <v>119000</v>
      </c>
      <c r="AE233" s="24">
        <v>117000</v>
      </c>
      <c r="AF233" s="24">
        <v>113500</v>
      </c>
      <c r="AG233" s="24">
        <v>112500</v>
      </c>
      <c r="AH233" s="24">
        <v>117000</v>
      </c>
      <c r="AI233" s="24">
        <v>114000</v>
      </c>
      <c r="AJ233" s="25">
        <v>2.6</v>
      </c>
      <c r="AK233" s="25">
        <v>8.4</v>
      </c>
    </row>
    <row r="234" spans="1:37" x14ac:dyDescent="0.25">
      <c r="A234" t="s">
        <v>421</v>
      </c>
      <c r="B234" t="s">
        <v>423</v>
      </c>
      <c r="C234">
        <v>113205041</v>
      </c>
      <c r="D234" t="str">
        <f t="shared" si="118"/>
        <v>Selçuk, Yağız-113205041</v>
      </c>
      <c r="E234" s="22">
        <v>5</v>
      </c>
      <c r="F234" s="22">
        <v>3</v>
      </c>
      <c r="G234" s="22">
        <v>15</v>
      </c>
      <c r="H234" s="22">
        <v>933290</v>
      </c>
      <c r="I234" s="22">
        <v>7384887</v>
      </c>
      <c r="J234" s="22">
        <v>3422411</v>
      </c>
      <c r="K234" s="22">
        <v>378546</v>
      </c>
      <c r="L234" s="22">
        <v>100000</v>
      </c>
      <c r="M234" s="22">
        <v>109300</v>
      </c>
      <c r="N234" s="22">
        <v>117500</v>
      </c>
      <c r="O234" s="22">
        <v>127300</v>
      </c>
      <c r="P234" s="22">
        <v>109300</v>
      </c>
      <c r="Q234" s="22">
        <v>117500</v>
      </c>
      <c r="R234" s="22">
        <v>100000</v>
      </c>
      <c r="S234" s="22">
        <v>127300</v>
      </c>
      <c r="T234" s="24">
        <v>29000</v>
      </c>
      <c r="U234" s="22">
        <v>26830</v>
      </c>
      <c r="V234" s="22">
        <v>24630</v>
      </c>
      <c r="W234" s="22">
        <v>22630</v>
      </c>
      <c r="X234" s="22">
        <v>26830</v>
      </c>
      <c r="Y234" s="22">
        <v>24630</v>
      </c>
      <c r="Z234" s="22">
        <v>29230</v>
      </c>
      <c r="AA234" s="22">
        <v>22630</v>
      </c>
      <c r="AB234" s="24">
        <v>118000</v>
      </c>
      <c r="AC234" s="24">
        <v>120000</v>
      </c>
      <c r="AD234" s="24">
        <v>120000</v>
      </c>
      <c r="AE234" s="24">
        <v>123000</v>
      </c>
      <c r="AF234" s="24">
        <v>114000</v>
      </c>
      <c r="AG234" s="24">
        <v>116500</v>
      </c>
      <c r="AH234" s="24">
        <v>118500</v>
      </c>
      <c r="AI234" s="24">
        <v>121500</v>
      </c>
      <c r="AJ234" s="25">
        <v>4.8</v>
      </c>
      <c r="AK234" s="25">
        <v>9.1999999999999993</v>
      </c>
    </row>
    <row r="235" spans="1:37" x14ac:dyDescent="0.25">
      <c r="A235" t="s">
        <v>424</v>
      </c>
      <c r="B235" t="s">
        <v>227</v>
      </c>
      <c r="C235">
        <v>116203035</v>
      </c>
      <c r="D235" t="str">
        <f t="shared" si="118"/>
        <v>Şenel, Utku-116203035</v>
      </c>
      <c r="E235" s="22">
        <v>4</v>
      </c>
      <c r="F235" s="22">
        <v>2</v>
      </c>
      <c r="G235" s="22">
        <v>10</v>
      </c>
      <c r="H235" s="22">
        <v>543099</v>
      </c>
      <c r="I235" s="22">
        <v>474799</v>
      </c>
      <c r="J235" s="22">
        <v>5168955</v>
      </c>
      <c r="K235" s="22">
        <v>2695957</v>
      </c>
      <c r="L235" s="22">
        <v>100000</v>
      </c>
      <c r="M235" s="22">
        <v>108500</v>
      </c>
      <c r="N235" s="22">
        <v>117800</v>
      </c>
      <c r="O235" s="22">
        <v>127300</v>
      </c>
      <c r="P235" s="22">
        <v>117800</v>
      </c>
      <c r="Q235" s="22">
        <v>127300</v>
      </c>
      <c r="R235" s="22">
        <v>100000</v>
      </c>
      <c r="S235" s="22">
        <v>108500</v>
      </c>
      <c r="T235" s="24">
        <v>26000</v>
      </c>
      <c r="U235" s="22">
        <v>27031</v>
      </c>
      <c r="V235" s="22">
        <v>24631</v>
      </c>
      <c r="W235" s="22">
        <v>22331</v>
      </c>
      <c r="X235" s="22">
        <v>24631</v>
      </c>
      <c r="Y235" s="22">
        <v>22331</v>
      </c>
      <c r="Z235" s="22">
        <v>29231</v>
      </c>
      <c r="AA235" s="22">
        <v>27031</v>
      </c>
      <c r="AB235" s="24">
        <v>97000</v>
      </c>
      <c r="AC235" s="24">
        <v>99000</v>
      </c>
      <c r="AD235" s="24">
        <v>98000</v>
      </c>
      <c r="AE235" s="24">
        <v>97000</v>
      </c>
      <c r="AF235" s="24">
        <v>95500</v>
      </c>
      <c r="AG235" s="24">
        <v>96500</v>
      </c>
      <c r="AH235" s="24">
        <v>94000</v>
      </c>
      <c r="AI235" s="24">
        <v>95500</v>
      </c>
      <c r="AJ235" s="25">
        <v>5</v>
      </c>
      <c r="AK235" s="25">
        <v>8.1999999999999993</v>
      </c>
    </row>
    <row r="236" spans="1:37" x14ac:dyDescent="0.25">
      <c r="A236" t="s">
        <v>425</v>
      </c>
      <c r="B236" t="s">
        <v>231</v>
      </c>
      <c r="C236">
        <v>115203071</v>
      </c>
      <c r="D236" t="str">
        <f t="shared" si="118"/>
        <v>Şengül, Eda-115203071</v>
      </c>
      <c r="E236" s="22">
        <v>5</v>
      </c>
      <c r="F236" s="22">
        <v>2</v>
      </c>
      <c r="G236" s="22">
        <v>10</v>
      </c>
      <c r="H236" s="22">
        <v>5736408</v>
      </c>
      <c r="I236" s="22">
        <v>3086139</v>
      </c>
      <c r="J236" s="22">
        <v>7724440</v>
      </c>
      <c r="K236" s="22">
        <v>8281241</v>
      </c>
      <c r="L236" s="22">
        <v>100000</v>
      </c>
      <c r="M236" s="22">
        <v>108700</v>
      </c>
      <c r="N236" s="22">
        <v>118000</v>
      </c>
      <c r="O236" s="22">
        <v>126600</v>
      </c>
      <c r="P236" s="22">
        <v>126600</v>
      </c>
      <c r="Q236" s="22">
        <v>118000</v>
      </c>
      <c r="R236" s="22">
        <v>100000</v>
      </c>
      <c r="S236" s="22">
        <v>108700</v>
      </c>
      <c r="T236" s="24">
        <v>28000</v>
      </c>
      <c r="U236" s="22">
        <v>26932</v>
      </c>
      <c r="V236" s="22">
        <v>24932</v>
      </c>
      <c r="W236" s="22">
        <v>22532</v>
      </c>
      <c r="X236" s="22">
        <v>22532</v>
      </c>
      <c r="Y236" s="22">
        <v>24932</v>
      </c>
      <c r="Z236" s="22">
        <v>29232</v>
      </c>
      <c r="AA236" s="22">
        <v>26932</v>
      </c>
      <c r="AB236" s="24">
        <v>100000</v>
      </c>
      <c r="AC236" s="24">
        <v>99000</v>
      </c>
      <c r="AD236" s="24">
        <v>99000</v>
      </c>
      <c r="AE236" s="24">
        <v>97000</v>
      </c>
      <c r="AF236" s="24">
        <v>97000</v>
      </c>
      <c r="AG236" s="24">
        <v>95500</v>
      </c>
      <c r="AH236" s="24">
        <v>95000</v>
      </c>
      <c r="AI236" s="24">
        <v>95500</v>
      </c>
      <c r="AJ236" s="25">
        <v>4.3</v>
      </c>
      <c r="AK236" s="25">
        <v>9.6999999999999993</v>
      </c>
    </row>
    <row r="237" spans="1:37" x14ac:dyDescent="0.25">
      <c r="A237" t="s">
        <v>426</v>
      </c>
      <c r="B237" t="s">
        <v>427</v>
      </c>
      <c r="C237">
        <v>114207018</v>
      </c>
      <c r="D237" t="str">
        <f t="shared" si="118"/>
        <v>Şensoy, Emin Alper-114207018</v>
      </c>
      <c r="E237" s="22">
        <v>4</v>
      </c>
      <c r="F237" s="22">
        <v>2</v>
      </c>
      <c r="G237" s="22">
        <v>10</v>
      </c>
      <c r="H237" s="22">
        <v>9879787</v>
      </c>
      <c r="I237" s="22">
        <v>7694491</v>
      </c>
      <c r="J237" s="22">
        <v>3501731</v>
      </c>
      <c r="K237" s="22">
        <v>2556649</v>
      </c>
      <c r="L237" s="22">
        <v>100000</v>
      </c>
      <c r="M237" s="22">
        <v>110000</v>
      </c>
      <c r="N237" s="22">
        <v>119000</v>
      </c>
      <c r="O237" s="22">
        <v>128000</v>
      </c>
      <c r="P237" s="22">
        <v>100000</v>
      </c>
      <c r="Q237" s="22">
        <v>110000</v>
      </c>
      <c r="R237" s="22">
        <v>119000</v>
      </c>
      <c r="S237" s="22">
        <v>128000</v>
      </c>
      <c r="T237" s="24">
        <v>25000</v>
      </c>
      <c r="U237" s="22">
        <v>27233</v>
      </c>
      <c r="V237" s="22">
        <v>24833</v>
      </c>
      <c r="W237" s="22">
        <v>22833</v>
      </c>
      <c r="X237" s="22">
        <v>29233</v>
      </c>
      <c r="Y237" s="22">
        <v>27233</v>
      </c>
      <c r="Z237" s="22">
        <v>24833</v>
      </c>
      <c r="AA237" s="22">
        <v>22833</v>
      </c>
      <c r="AB237" s="24">
        <v>102000</v>
      </c>
      <c r="AC237" s="24">
        <v>106000</v>
      </c>
      <c r="AD237" s="24">
        <v>107000</v>
      </c>
      <c r="AE237" s="24">
        <v>105000</v>
      </c>
      <c r="AF237" s="24">
        <v>100500</v>
      </c>
      <c r="AG237" s="24">
        <v>102000</v>
      </c>
      <c r="AH237" s="24">
        <v>103000</v>
      </c>
      <c r="AI237" s="24">
        <v>102500</v>
      </c>
      <c r="AJ237" s="25">
        <v>2.7</v>
      </c>
      <c r="AK237" s="25">
        <v>6.5</v>
      </c>
    </row>
    <row r="238" spans="1:37" x14ac:dyDescent="0.25">
      <c r="A238" t="s">
        <v>428</v>
      </c>
      <c r="B238" t="s">
        <v>429</v>
      </c>
      <c r="C238">
        <v>116201154</v>
      </c>
      <c r="D238" t="str">
        <f t="shared" si="118"/>
        <v>Serdaroğlu, Hüdanur-116201154</v>
      </c>
      <c r="E238" s="22">
        <v>4</v>
      </c>
      <c r="F238" s="22">
        <v>1</v>
      </c>
      <c r="G238" s="22">
        <v>8</v>
      </c>
      <c r="H238" s="22">
        <v>1640828</v>
      </c>
      <c r="I238" s="22">
        <v>2694343</v>
      </c>
      <c r="J238" s="22">
        <v>1558818</v>
      </c>
      <c r="K238" s="22">
        <v>8790249</v>
      </c>
      <c r="L238" s="22">
        <v>100000</v>
      </c>
      <c r="M238" s="22">
        <v>108300</v>
      </c>
      <c r="N238" s="22">
        <v>116800</v>
      </c>
      <c r="O238" s="22">
        <v>126300</v>
      </c>
      <c r="P238" s="22">
        <v>126300</v>
      </c>
      <c r="Q238" s="22">
        <v>108300</v>
      </c>
      <c r="R238" s="22">
        <v>100000</v>
      </c>
      <c r="S238" s="22">
        <v>116800</v>
      </c>
      <c r="T238" s="24">
        <v>26000</v>
      </c>
      <c r="U238" s="22">
        <v>27234</v>
      </c>
      <c r="V238" s="22">
        <v>25034</v>
      </c>
      <c r="W238" s="22">
        <v>22634</v>
      </c>
      <c r="X238" s="22">
        <v>22634</v>
      </c>
      <c r="Y238" s="22">
        <v>27234</v>
      </c>
      <c r="Z238" s="22">
        <v>29234</v>
      </c>
      <c r="AA238" s="22">
        <v>25034</v>
      </c>
      <c r="AB238" s="24">
        <v>103000</v>
      </c>
      <c r="AC238" s="24">
        <v>100000</v>
      </c>
      <c r="AD238" s="24">
        <v>97000</v>
      </c>
      <c r="AE238" s="24">
        <v>96000</v>
      </c>
      <c r="AF238" s="24">
        <v>99000</v>
      </c>
      <c r="AG238" s="24">
        <v>98500</v>
      </c>
      <c r="AH238" s="24">
        <v>94000</v>
      </c>
      <c r="AI238" s="24">
        <v>94000</v>
      </c>
      <c r="AJ238" s="25">
        <v>3.2</v>
      </c>
      <c r="AK238" s="25">
        <v>9.6999999999999993</v>
      </c>
    </row>
    <row r="239" spans="1:37" x14ac:dyDescent="0.25">
      <c r="A239" t="s">
        <v>430</v>
      </c>
      <c r="B239" t="s">
        <v>431</v>
      </c>
      <c r="C239">
        <v>115204014</v>
      </c>
      <c r="D239" t="str">
        <f t="shared" si="118"/>
        <v>Serin, Ali Emre-115204014</v>
      </c>
      <c r="E239" s="22">
        <v>4</v>
      </c>
      <c r="F239" s="22">
        <v>3</v>
      </c>
      <c r="G239" s="22">
        <v>15</v>
      </c>
      <c r="H239" s="22">
        <v>1599184</v>
      </c>
      <c r="I239" s="22">
        <v>1252748</v>
      </c>
      <c r="J239" s="22">
        <v>2963089</v>
      </c>
      <c r="K239" s="22">
        <v>3358201</v>
      </c>
      <c r="L239" s="22">
        <v>100000</v>
      </c>
      <c r="M239" s="22">
        <v>109900</v>
      </c>
      <c r="N239" s="22">
        <v>119200</v>
      </c>
      <c r="O239" s="22">
        <v>128500</v>
      </c>
      <c r="P239" s="22">
        <v>128500</v>
      </c>
      <c r="Q239" s="22">
        <v>119200</v>
      </c>
      <c r="R239" s="22">
        <v>100000</v>
      </c>
      <c r="S239" s="22">
        <v>109900</v>
      </c>
      <c r="T239" s="24">
        <v>29000</v>
      </c>
      <c r="U239" s="22">
        <v>26835</v>
      </c>
      <c r="V239" s="22">
        <v>24735</v>
      </c>
      <c r="W239" s="22">
        <v>22335</v>
      </c>
      <c r="X239" s="22">
        <v>22335</v>
      </c>
      <c r="Y239" s="22">
        <v>24735</v>
      </c>
      <c r="Z239" s="22">
        <v>29235</v>
      </c>
      <c r="AA239" s="22">
        <v>26835</v>
      </c>
      <c r="AB239" s="24">
        <v>112000</v>
      </c>
      <c r="AC239" s="24">
        <v>114000</v>
      </c>
      <c r="AD239" s="24">
        <v>113000</v>
      </c>
      <c r="AE239" s="24">
        <v>114000</v>
      </c>
      <c r="AF239" s="24">
        <v>108000</v>
      </c>
      <c r="AG239" s="24">
        <v>110500</v>
      </c>
      <c r="AH239" s="24">
        <v>109500</v>
      </c>
      <c r="AI239" s="24">
        <v>110500</v>
      </c>
      <c r="AJ239" s="25">
        <v>4.3</v>
      </c>
      <c r="AK239" s="25">
        <v>7.9</v>
      </c>
    </row>
    <row r="240" spans="1:37" x14ac:dyDescent="0.25">
      <c r="A240" t="s">
        <v>432</v>
      </c>
      <c r="B240" t="s">
        <v>433</v>
      </c>
      <c r="C240">
        <v>116204054</v>
      </c>
      <c r="D240" t="str">
        <f t="shared" si="118"/>
        <v>Sev, Onat Çağıl-116204054</v>
      </c>
      <c r="E240" s="22">
        <v>6</v>
      </c>
      <c r="F240" s="22">
        <v>3</v>
      </c>
      <c r="G240" s="22">
        <v>15</v>
      </c>
      <c r="H240" s="22">
        <v>4930187</v>
      </c>
      <c r="I240" s="22">
        <v>98304</v>
      </c>
      <c r="J240" s="22">
        <v>5644506</v>
      </c>
      <c r="K240" s="22">
        <v>1963723</v>
      </c>
      <c r="L240" s="22">
        <v>100000</v>
      </c>
      <c r="M240" s="22">
        <v>109800</v>
      </c>
      <c r="N240" s="22">
        <v>118800</v>
      </c>
      <c r="O240" s="22">
        <v>127000</v>
      </c>
      <c r="P240" s="22">
        <v>118800</v>
      </c>
      <c r="Q240" s="22">
        <v>100000</v>
      </c>
      <c r="R240" s="22">
        <v>127000</v>
      </c>
      <c r="S240" s="22">
        <v>109800</v>
      </c>
      <c r="T240" s="24">
        <v>26000</v>
      </c>
      <c r="U240" s="22">
        <v>26736</v>
      </c>
      <c r="V240" s="22">
        <v>24436</v>
      </c>
      <c r="W240" s="22">
        <v>22336</v>
      </c>
      <c r="X240" s="22">
        <v>24436</v>
      </c>
      <c r="Y240" s="22">
        <v>29236</v>
      </c>
      <c r="Z240" s="22">
        <v>22336</v>
      </c>
      <c r="AA240" s="22">
        <v>26736</v>
      </c>
      <c r="AB240" s="24">
        <v>100000</v>
      </c>
      <c r="AC240" s="24">
        <v>104000</v>
      </c>
      <c r="AD240" s="24">
        <v>104000</v>
      </c>
      <c r="AE240" s="24">
        <v>102000</v>
      </c>
      <c r="AF240" s="24">
        <v>97500</v>
      </c>
      <c r="AG240" s="24">
        <v>101500</v>
      </c>
      <c r="AH240" s="24">
        <v>101500</v>
      </c>
      <c r="AI240" s="24">
        <v>99000</v>
      </c>
      <c r="AJ240" s="25">
        <v>2.7</v>
      </c>
      <c r="AK240" s="25">
        <v>8.8000000000000007</v>
      </c>
    </row>
    <row r="241" spans="1:100" x14ac:dyDescent="0.25">
      <c r="A241" t="s">
        <v>434</v>
      </c>
      <c r="B241" t="s">
        <v>435</v>
      </c>
      <c r="C241">
        <v>113202064</v>
      </c>
      <c r="D241" t="str">
        <f t="shared" si="118"/>
        <v>Sevim, Mehmet Emin-113202064</v>
      </c>
      <c r="E241" s="22">
        <v>6</v>
      </c>
      <c r="F241" s="22">
        <v>3</v>
      </c>
      <c r="G241" s="22">
        <v>15</v>
      </c>
      <c r="H241" s="22">
        <v>6556678</v>
      </c>
      <c r="I241" s="22">
        <v>6002163</v>
      </c>
      <c r="J241" s="22">
        <v>1169886</v>
      </c>
      <c r="K241" s="22">
        <v>7734084</v>
      </c>
      <c r="L241" s="22">
        <v>100000</v>
      </c>
      <c r="M241" s="22">
        <v>110000</v>
      </c>
      <c r="N241" s="22">
        <v>118400</v>
      </c>
      <c r="O241" s="22">
        <v>127300</v>
      </c>
      <c r="P241" s="22">
        <v>127300</v>
      </c>
      <c r="Q241" s="22">
        <v>100000</v>
      </c>
      <c r="R241" s="22">
        <v>110000</v>
      </c>
      <c r="S241" s="22">
        <v>118400</v>
      </c>
      <c r="T241" s="24">
        <v>28000</v>
      </c>
      <c r="U241" s="22">
        <v>26837</v>
      </c>
      <c r="V241" s="22">
        <v>24737</v>
      </c>
      <c r="W241" s="22">
        <v>22537</v>
      </c>
      <c r="X241" s="22">
        <v>22537</v>
      </c>
      <c r="Y241" s="22">
        <v>29237</v>
      </c>
      <c r="Z241" s="22">
        <v>26837</v>
      </c>
      <c r="AA241" s="22">
        <v>24737</v>
      </c>
      <c r="AB241" s="24">
        <v>97000</v>
      </c>
      <c r="AC241" s="24">
        <v>100000</v>
      </c>
      <c r="AD241" s="24">
        <v>104000</v>
      </c>
      <c r="AE241" s="24">
        <v>108000</v>
      </c>
      <c r="AF241" s="24">
        <v>93500</v>
      </c>
      <c r="AG241" s="24">
        <v>97000</v>
      </c>
      <c r="AH241" s="24">
        <v>101500</v>
      </c>
      <c r="AI241" s="24">
        <v>106000</v>
      </c>
      <c r="AJ241" s="25">
        <v>2.7</v>
      </c>
      <c r="AK241" s="25">
        <v>6.9</v>
      </c>
    </row>
    <row r="242" spans="1:100" x14ac:dyDescent="0.25">
      <c r="A242" t="s">
        <v>436</v>
      </c>
      <c r="B242" t="s">
        <v>437</v>
      </c>
      <c r="C242">
        <v>116201155</v>
      </c>
      <c r="D242" t="str">
        <f t="shared" si="118"/>
        <v>Sevimli, Gülşah-116201155</v>
      </c>
      <c r="E242" s="22">
        <v>7</v>
      </c>
      <c r="F242" s="22">
        <v>2</v>
      </c>
      <c r="G242" s="22">
        <v>10</v>
      </c>
      <c r="H242" s="22">
        <v>3710806</v>
      </c>
      <c r="I242" s="22">
        <v>9982892</v>
      </c>
      <c r="J242" s="22">
        <v>3528868</v>
      </c>
      <c r="K242" s="22">
        <v>1629215</v>
      </c>
      <c r="L242" s="22">
        <v>100000</v>
      </c>
      <c r="M242" s="22">
        <v>108700</v>
      </c>
      <c r="N242" s="22">
        <v>116700</v>
      </c>
      <c r="O242" s="22">
        <v>125600</v>
      </c>
      <c r="P242" s="22">
        <v>108700</v>
      </c>
      <c r="Q242" s="22">
        <v>100000</v>
      </c>
      <c r="R242" s="22">
        <v>116700</v>
      </c>
      <c r="S242" s="22">
        <v>125600</v>
      </c>
      <c r="T242" s="24">
        <v>29000</v>
      </c>
      <c r="U242" s="22">
        <v>26938</v>
      </c>
      <c r="V242" s="22">
        <v>24938</v>
      </c>
      <c r="W242" s="22">
        <v>22738</v>
      </c>
      <c r="X242" s="22">
        <v>26938</v>
      </c>
      <c r="Y242" s="22">
        <v>29238</v>
      </c>
      <c r="Z242" s="22">
        <v>24938</v>
      </c>
      <c r="AA242" s="22">
        <v>22738</v>
      </c>
      <c r="AB242" s="24">
        <v>119000</v>
      </c>
      <c r="AC242" s="24">
        <v>117000</v>
      </c>
      <c r="AD242" s="24">
        <v>114000</v>
      </c>
      <c r="AE242" s="24">
        <v>114000</v>
      </c>
      <c r="AF242" s="24">
        <v>117000</v>
      </c>
      <c r="AG242" s="24">
        <v>114500</v>
      </c>
      <c r="AH242" s="24">
        <v>112000</v>
      </c>
      <c r="AI242" s="24">
        <v>111500</v>
      </c>
      <c r="AJ242" s="25">
        <v>2.5</v>
      </c>
      <c r="AK242" s="25">
        <v>7.5</v>
      </c>
    </row>
    <row r="243" spans="1:100" x14ac:dyDescent="0.25">
      <c r="A243" t="s">
        <v>438</v>
      </c>
      <c r="B243" t="s">
        <v>439</v>
      </c>
      <c r="C243">
        <v>116206226</v>
      </c>
      <c r="D243" t="str">
        <f t="shared" si="118"/>
        <v>Sevinçhan, İbrahim Yuşah-116206226</v>
      </c>
      <c r="E243" s="22">
        <v>7</v>
      </c>
      <c r="F243" s="22">
        <v>2</v>
      </c>
      <c r="G243" s="22">
        <v>10</v>
      </c>
      <c r="H243" s="22">
        <v>6015023</v>
      </c>
      <c r="I243" s="22">
        <v>5549333</v>
      </c>
      <c r="J243" s="22">
        <v>405216</v>
      </c>
      <c r="K243" s="22">
        <v>9225041</v>
      </c>
      <c r="L243" s="22">
        <v>100000</v>
      </c>
      <c r="M243" s="22">
        <v>108200</v>
      </c>
      <c r="N243" s="22">
        <v>116600</v>
      </c>
      <c r="O243" s="22">
        <v>125200</v>
      </c>
      <c r="P243" s="22">
        <v>125200</v>
      </c>
      <c r="Q243" s="22">
        <v>100000</v>
      </c>
      <c r="R243" s="22">
        <v>108200</v>
      </c>
      <c r="S243" s="22">
        <v>116600</v>
      </c>
      <c r="T243" s="24">
        <v>25000</v>
      </c>
      <c r="U243" s="22">
        <v>26839</v>
      </c>
      <c r="V243" s="22">
        <v>24639</v>
      </c>
      <c r="W243" s="22">
        <v>22139</v>
      </c>
      <c r="X243" s="22">
        <v>22139</v>
      </c>
      <c r="Y243" s="22">
        <v>29239</v>
      </c>
      <c r="Z243" s="22">
        <v>26839</v>
      </c>
      <c r="AA243" s="22">
        <v>24639</v>
      </c>
      <c r="AB243" s="24">
        <v>103000</v>
      </c>
      <c r="AC243" s="24">
        <v>103000</v>
      </c>
      <c r="AD243" s="24">
        <v>103000</v>
      </c>
      <c r="AE243" s="24">
        <v>103000</v>
      </c>
      <c r="AF243" s="24">
        <v>99000</v>
      </c>
      <c r="AG243" s="24">
        <v>101500</v>
      </c>
      <c r="AH243" s="24">
        <v>99000</v>
      </c>
      <c r="AI243" s="24">
        <v>100500</v>
      </c>
      <c r="AJ243" s="25">
        <v>4.0999999999999996</v>
      </c>
      <c r="AK243" s="25">
        <v>7.4</v>
      </c>
    </row>
    <row r="244" spans="1:100" x14ac:dyDescent="0.25">
      <c r="A244" t="s">
        <v>440</v>
      </c>
      <c r="B244" t="s">
        <v>441</v>
      </c>
      <c r="C244">
        <v>117203094</v>
      </c>
      <c r="D244" t="str">
        <f t="shared" si="118"/>
        <v>Sezer, Erkmen-117203094</v>
      </c>
      <c r="E244" s="22">
        <v>6</v>
      </c>
      <c r="F244" s="22">
        <v>1</v>
      </c>
      <c r="G244" s="22">
        <v>8</v>
      </c>
      <c r="H244" s="22">
        <v>4605699</v>
      </c>
      <c r="I244" s="22">
        <v>2456612</v>
      </c>
      <c r="J244" s="22">
        <v>4121162</v>
      </c>
      <c r="K244" s="22">
        <v>4335894</v>
      </c>
      <c r="L244" s="22">
        <v>100000</v>
      </c>
      <c r="M244" s="22">
        <v>109900</v>
      </c>
      <c r="N244" s="22">
        <v>118200</v>
      </c>
      <c r="O244" s="22">
        <v>127400</v>
      </c>
      <c r="P244" s="22">
        <v>100000</v>
      </c>
      <c r="Q244" s="22">
        <v>127400</v>
      </c>
      <c r="R244" s="22">
        <v>118200</v>
      </c>
      <c r="S244" s="22">
        <v>109900</v>
      </c>
      <c r="T244" s="24">
        <v>25000</v>
      </c>
      <c r="U244" s="22">
        <v>27140</v>
      </c>
      <c r="V244" s="22">
        <v>24640</v>
      </c>
      <c r="W244" s="22">
        <v>22340</v>
      </c>
      <c r="X244" s="22">
        <v>29240</v>
      </c>
      <c r="Y244" s="22">
        <v>22340</v>
      </c>
      <c r="Z244" s="22">
        <v>24640</v>
      </c>
      <c r="AA244" s="22">
        <v>27140</v>
      </c>
      <c r="AB244" s="24">
        <v>97000</v>
      </c>
      <c r="AC244" s="24">
        <v>100000</v>
      </c>
      <c r="AD244" s="24">
        <v>101000</v>
      </c>
      <c r="AE244" s="24">
        <v>99000</v>
      </c>
      <c r="AF244" s="24">
        <v>95500</v>
      </c>
      <c r="AG244" s="24">
        <v>96500</v>
      </c>
      <c r="AH244" s="24">
        <v>99500</v>
      </c>
      <c r="AI244" s="24">
        <v>97000</v>
      </c>
      <c r="AJ244" s="25">
        <v>2.5</v>
      </c>
      <c r="AK244" s="25">
        <v>8.4</v>
      </c>
    </row>
    <row r="245" spans="1:100" x14ac:dyDescent="0.25">
      <c r="A245" t="s">
        <v>440</v>
      </c>
      <c r="B245" t="s">
        <v>55</v>
      </c>
      <c r="C245">
        <v>115203064</v>
      </c>
      <c r="D245" t="str">
        <f t="shared" si="118"/>
        <v>Sezer, Zeynep-115203064</v>
      </c>
      <c r="E245" s="22">
        <v>6</v>
      </c>
      <c r="F245" s="22">
        <v>2</v>
      </c>
      <c r="G245" s="22">
        <v>10</v>
      </c>
      <c r="H245" s="22">
        <v>6953372</v>
      </c>
      <c r="I245" s="22">
        <v>4775351</v>
      </c>
      <c r="J245" s="22">
        <v>4273401</v>
      </c>
      <c r="K245" s="22">
        <v>4592758</v>
      </c>
      <c r="L245" s="22">
        <v>100000</v>
      </c>
      <c r="M245" s="22">
        <v>109700</v>
      </c>
      <c r="N245" s="22">
        <v>119200</v>
      </c>
      <c r="O245" s="22">
        <v>128000</v>
      </c>
      <c r="P245" s="22">
        <v>100000</v>
      </c>
      <c r="Q245" s="22">
        <v>109700</v>
      </c>
      <c r="R245" s="22">
        <v>128000</v>
      </c>
      <c r="S245" s="22">
        <v>119200</v>
      </c>
      <c r="T245" s="24">
        <v>28000</v>
      </c>
      <c r="U245" s="22">
        <v>26741</v>
      </c>
      <c r="V245" s="22">
        <v>24441</v>
      </c>
      <c r="W245" s="22">
        <v>22441</v>
      </c>
      <c r="X245" s="22">
        <v>29241</v>
      </c>
      <c r="Y245" s="22">
        <v>26741</v>
      </c>
      <c r="Z245" s="22">
        <v>22441</v>
      </c>
      <c r="AA245" s="22">
        <v>24441</v>
      </c>
      <c r="AB245" s="24">
        <v>115000</v>
      </c>
      <c r="AC245" s="24">
        <v>114000</v>
      </c>
      <c r="AD245" s="24">
        <v>117000</v>
      </c>
      <c r="AE245" s="24">
        <v>115000</v>
      </c>
      <c r="AF245" s="24">
        <v>113000</v>
      </c>
      <c r="AG245" s="24">
        <v>112000</v>
      </c>
      <c r="AH245" s="24">
        <v>113000</v>
      </c>
      <c r="AI245" s="24">
        <v>113500</v>
      </c>
      <c r="AJ245" s="25">
        <v>3.2</v>
      </c>
      <c r="AK245" s="25">
        <v>9.6</v>
      </c>
    </row>
    <row r="246" spans="1:100" x14ac:dyDescent="0.25">
      <c r="A246" t="s">
        <v>579</v>
      </c>
      <c r="B246" t="s">
        <v>580</v>
      </c>
      <c r="C246">
        <v>116203203</v>
      </c>
      <c r="D246" t="str">
        <f t="shared" si="118"/>
        <v>Sow, Modıbo-116203203</v>
      </c>
      <c r="E246" s="24">
        <v>6</v>
      </c>
      <c r="F246" s="24">
        <v>3</v>
      </c>
      <c r="G246" s="24">
        <v>15</v>
      </c>
      <c r="H246" s="24">
        <v>8890129</v>
      </c>
      <c r="I246" s="24">
        <v>6972705</v>
      </c>
      <c r="J246" s="24">
        <v>4294152</v>
      </c>
      <c r="K246" s="24">
        <v>3800562</v>
      </c>
      <c r="L246" s="24">
        <v>100000</v>
      </c>
      <c r="M246" s="24">
        <v>109500</v>
      </c>
      <c r="N246" s="24">
        <v>118700</v>
      </c>
      <c r="O246" s="24">
        <v>128300</v>
      </c>
      <c r="P246" s="24">
        <v>100000</v>
      </c>
      <c r="Q246" s="24">
        <v>109500</v>
      </c>
      <c r="R246" s="24">
        <v>118700</v>
      </c>
      <c r="S246" s="24">
        <v>128300</v>
      </c>
      <c r="T246" s="24">
        <v>28000</v>
      </c>
      <c r="U246" s="24">
        <v>25700</v>
      </c>
      <c r="V246" s="24">
        <v>23200</v>
      </c>
      <c r="W246" s="24">
        <v>20900</v>
      </c>
      <c r="X246" s="24">
        <v>28000</v>
      </c>
      <c r="Y246" s="24">
        <v>25700</v>
      </c>
      <c r="Z246" s="24">
        <v>23200</v>
      </c>
      <c r="AA246" s="24">
        <v>20900</v>
      </c>
      <c r="AB246" s="24">
        <v>118000</v>
      </c>
      <c r="AC246" s="24">
        <v>121000</v>
      </c>
      <c r="AD246" s="24">
        <v>120000</v>
      </c>
      <c r="AE246" s="24">
        <v>119000</v>
      </c>
      <c r="AF246" s="24">
        <v>114500</v>
      </c>
      <c r="AG246" s="24">
        <v>119500</v>
      </c>
      <c r="AH246" s="24">
        <v>117500</v>
      </c>
      <c r="AI246" s="24">
        <v>117000</v>
      </c>
      <c r="AJ246" s="25">
        <v>4.0999999999999996</v>
      </c>
      <c r="AK246" s="25">
        <v>8.3000000000000007</v>
      </c>
      <c r="AZ246" s="23"/>
      <c r="BA246" s="23"/>
      <c r="BB246" s="23"/>
      <c r="BC246" s="23"/>
      <c r="BD246" s="23"/>
      <c r="BE246" s="23"/>
      <c r="BF246" s="23"/>
      <c r="BG246" s="23"/>
      <c r="BH246" s="23"/>
      <c r="BI246" s="23"/>
      <c r="BJ246" s="23"/>
      <c r="BK246" s="23"/>
      <c r="BL246" s="23"/>
      <c r="BM246" s="23"/>
      <c r="BN246" s="23"/>
      <c r="BO246" s="23"/>
      <c r="BP246" s="23"/>
      <c r="BQ246" s="23"/>
      <c r="BR246" s="23"/>
      <c r="BS246" s="23"/>
      <c r="BT246" s="23"/>
      <c r="BU246" s="23"/>
      <c r="BV246" s="23"/>
      <c r="BW246" s="23"/>
      <c r="BX246" s="23"/>
      <c r="BY246" s="23"/>
      <c r="BZ246" s="23"/>
      <c r="CA246" s="23"/>
      <c r="CB246" s="23"/>
      <c r="CC246" s="23"/>
      <c r="CD246" s="23"/>
      <c r="CE246" s="23"/>
      <c r="CF246" s="23"/>
      <c r="CG246" s="23"/>
      <c r="CH246" s="23"/>
      <c r="CI246" s="23"/>
      <c r="CJ246" s="23"/>
      <c r="CK246" s="23"/>
      <c r="CL246" s="23"/>
      <c r="CM246" s="23"/>
      <c r="CN246" s="23"/>
      <c r="CO246" s="23"/>
      <c r="CP246" s="23"/>
      <c r="CQ246" s="23"/>
      <c r="CR246" s="23"/>
      <c r="CS246" s="23"/>
      <c r="CT246" s="23"/>
      <c r="CU246" s="23"/>
      <c r="CV246" s="23"/>
    </row>
    <row r="247" spans="1:100" x14ac:dyDescent="0.25">
      <c r="A247" t="s">
        <v>442</v>
      </c>
      <c r="B247" t="s">
        <v>443</v>
      </c>
      <c r="C247">
        <v>114200047</v>
      </c>
      <c r="D247" t="str">
        <f t="shared" si="118"/>
        <v>Şimşek, Onurcan-114200047</v>
      </c>
      <c r="E247" s="22">
        <v>6</v>
      </c>
      <c r="F247" s="22">
        <v>3</v>
      </c>
      <c r="G247" s="22">
        <v>15</v>
      </c>
      <c r="H247" s="22">
        <v>1012947</v>
      </c>
      <c r="I247" s="22">
        <v>8714876</v>
      </c>
      <c r="J247" s="22">
        <v>3752260</v>
      </c>
      <c r="K247" s="22">
        <v>3887734</v>
      </c>
      <c r="L247" s="22">
        <v>100000</v>
      </c>
      <c r="M247" s="22">
        <v>108400</v>
      </c>
      <c r="N247" s="22">
        <v>118100</v>
      </c>
      <c r="O247" s="22">
        <v>127800</v>
      </c>
      <c r="P247" s="22">
        <v>108400</v>
      </c>
      <c r="Q247" s="22">
        <v>127800</v>
      </c>
      <c r="R247" s="22">
        <v>118100</v>
      </c>
      <c r="S247" s="22">
        <v>100000</v>
      </c>
      <c r="T247" s="24">
        <v>25000</v>
      </c>
      <c r="U247" s="22">
        <v>26842</v>
      </c>
      <c r="V247" s="22">
        <v>24842</v>
      </c>
      <c r="W247" s="22">
        <v>22442</v>
      </c>
      <c r="X247" s="22">
        <v>26842</v>
      </c>
      <c r="Y247" s="22">
        <v>22442</v>
      </c>
      <c r="Z247" s="22">
        <v>24842</v>
      </c>
      <c r="AA247" s="22">
        <v>29242</v>
      </c>
      <c r="AB247" s="24">
        <v>112000</v>
      </c>
      <c r="AC247" s="24">
        <v>110000</v>
      </c>
      <c r="AD247" s="24">
        <v>112000</v>
      </c>
      <c r="AE247" s="24">
        <v>116000</v>
      </c>
      <c r="AF247" s="24">
        <v>110000</v>
      </c>
      <c r="AG247" s="24">
        <v>107000</v>
      </c>
      <c r="AH247" s="24">
        <v>108000</v>
      </c>
      <c r="AI247" s="24">
        <v>112000</v>
      </c>
      <c r="AJ247" s="25">
        <v>3.9</v>
      </c>
      <c r="AK247" s="25">
        <v>9</v>
      </c>
    </row>
    <row r="248" spans="1:100" x14ac:dyDescent="0.25">
      <c r="A248" t="s">
        <v>442</v>
      </c>
      <c r="B248" t="s">
        <v>444</v>
      </c>
      <c r="C248">
        <v>115206142</v>
      </c>
      <c r="D248" t="str">
        <f t="shared" si="118"/>
        <v>Şimşek, Sedat-115206142</v>
      </c>
      <c r="E248" s="22">
        <v>5</v>
      </c>
      <c r="F248" s="22">
        <v>2</v>
      </c>
      <c r="G248" s="22">
        <v>10</v>
      </c>
      <c r="H248" s="22">
        <v>8096443</v>
      </c>
      <c r="I248" s="22">
        <v>514626</v>
      </c>
      <c r="J248" s="22">
        <v>1199888</v>
      </c>
      <c r="K248" s="22">
        <v>8806683</v>
      </c>
      <c r="L248" s="22">
        <v>100000</v>
      </c>
      <c r="M248" s="22">
        <v>108900</v>
      </c>
      <c r="N248" s="22">
        <v>118100</v>
      </c>
      <c r="O248" s="22">
        <v>126300</v>
      </c>
      <c r="P248" s="22">
        <v>126300</v>
      </c>
      <c r="Q248" s="22">
        <v>100000</v>
      </c>
      <c r="R248" s="22">
        <v>118100</v>
      </c>
      <c r="S248" s="22">
        <v>108900</v>
      </c>
      <c r="T248" s="24">
        <v>24000</v>
      </c>
      <c r="U248" s="22">
        <v>27043</v>
      </c>
      <c r="V248" s="22">
        <v>25043</v>
      </c>
      <c r="W248" s="22">
        <v>22643</v>
      </c>
      <c r="X248" s="22">
        <v>22643</v>
      </c>
      <c r="Y248" s="22">
        <v>29243</v>
      </c>
      <c r="Z248" s="22">
        <v>25043</v>
      </c>
      <c r="AA248" s="22">
        <v>27043</v>
      </c>
      <c r="AB248" s="24">
        <v>91000</v>
      </c>
      <c r="AC248" s="24">
        <v>90000</v>
      </c>
      <c r="AD248" s="24">
        <v>90000</v>
      </c>
      <c r="AE248" s="24">
        <v>91000</v>
      </c>
      <c r="AF248" s="24">
        <v>89500</v>
      </c>
      <c r="AG248" s="24">
        <v>86000</v>
      </c>
      <c r="AH248" s="24">
        <v>87500</v>
      </c>
      <c r="AI248" s="24">
        <v>88500</v>
      </c>
      <c r="AJ248" s="25">
        <v>3.3</v>
      </c>
      <c r="AK248" s="25">
        <v>9.1</v>
      </c>
    </row>
    <row r="249" spans="1:100" x14ac:dyDescent="0.25">
      <c r="A249" t="s">
        <v>445</v>
      </c>
      <c r="B249" t="s">
        <v>446</v>
      </c>
      <c r="C249">
        <v>115203037</v>
      </c>
      <c r="D249" t="str">
        <f t="shared" si="118"/>
        <v>Şimşir, Mısra-115203037</v>
      </c>
      <c r="E249" s="22">
        <v>4</v>
      </c>
      <c r="F249" s="22">
        <v>2</v>
      </c>
      <c r="G249" s="22">
        <v>10</v>
      </c>
      <c r="H249" s="22">
        <v>4653161</v>
      </c>
      <c r="I249" s="22">
        <v>6619310</v>
      </c>
      <c r="J249" s="22">
        <v>7121430</v>
      </c>
      <c r="K249" s="22">
        <v>1829545</v>
      </c>
      <c r="L249" s="22">
        <v>100000</v>
      </c>
      <c r="M249" s="22">
        <v>109500</v>
      </c>
      <c r="N249" s="22">
        <v>118900</v>
      </c>
      <c r="O249" s="22">
        <v>127500</v>
      </c>
      <c r="P249" s="22">
        <v>118900</v>
      </c>
      <c r="Q249" s="22">
        <v>109500</v>
      </c>
      <c r="R249" s="22">
        <v>100000</v>
      </c>
      <c r="S249" s="22">
        <v>127500</v>
      </c>
      <c r="T249" s="24">
        <v>27000</v>
      </c>
      <c r="U249" s="22">
        <v>26844</v>
      </c>
      <c r="V249" s="22">
        <v>24744</v>
      </c>
      <c r="W249" s="22">
        <v>22344</v>
      </c>
      <c r="X249" s="22">
        <v>24744</v>
      </c>
      <c r="Y249" s="22">
        <v>26844</v>
      </c>
      <c r="Z249" s="22">
        <v>29244</v>
      </c>
      <c r="AA249" s="22">
        <v>22344</v>
      </c>
      <c r="AB249" s="24">
        <v>117000</v>
      </c>
      <c r="AC249" s="24">
        <v>119000</v>
      </c>
      <c r="AD249" s="24">
        <v>123000</v>
      </c>
      <c r="AE249" s="24">
        <v>122000</v>
      </c>
      <c r="AF249" s="24">
        <v>114500</v>
      </c>
      <c r="AG249" s="24">
        <v>117000</v>
      </c>
      <c r="AH249" s="24">
        <v>120500</v>
      </c>
      <c r="AI249" s="24">
        <v>120000</v>
      </c>
      <c r="AJ249" s="25">
        <v>3</v>
      </c>
      <c r="AK249" s="25">
        <v>8.8000000000000007</v>
      </c>
    </row>
    <row r="250" spans="1:100" x14ac:dyDescent="0.25">
      <c r="A250" t="s">
        <v>445</v>
      </c>
      <c r="B250" t="s">
        <v>447</v>
      </c>
      <c r="C250">
        <v>116203155</v>
      </c>
      <c r="D250" t="str">
        <f t="shared" si="118"/>
        <v>Şimşir, Serra-116203155</v>
      </c>
      <c r="E250" s="22">
        <v>5</v>
      </c>
      <c r="F250" s="22">
        <v>1</v>
      </c>
      <c r="G250" s="22">
        <v>8</v>
      </c>
      <c r="H250" s="22">
        <v>4918472</v>
      </c>
      <c r="I250" s="22">
        <v>7091160</v>
      </c>
      <c r="J250" s="22">
        <v>7556920</v>
      </c>
      <c r="K250" s="22">
        <v>4305776</v>
      </c>
      <c r="L250" s="22">
        <v>100000</v>
      </c>
      <c r="M250" s="22">
        <v>109400</v>
      </c>
      <c r="N250" s="22">
        <v>117500</v>
      </c>
      <c r="O250" s="22">
        <v>127500</v>
      </c>
      <c r="P250" s="22">
        <v>117500</v>
      </c>
      <c r="Q250" s="22">
        <v>109400</v>
      </c>
      <c r="R250" s="22">
        <v>100000</v>
      </c>
      <c r="S250" s="22">
        <v>127500</v>
      </c>
      <c r="T250" s="24">
        <v>29000</v>
      </c>
      <c r="U250" s="22">
        <v>26745</v>
      </c>
      <c r="V250" s="22">
        <v>24545</v>
      </c>
      <c r="W250" s="22">
        <v>22545</v>
      </c>
      <c r="X250" s="22">
        <v>24545</v>
      </c>
      <c r="Y250" s="22">
        <v>26745</v>
      </c>
      <c r="Z250" s="22">
        <v>29245</v>
      </c>
      <c r="AA250" s="22">
        <v>22545</v>
      </c>
      <c r="AB250" s="24">
        <v>114000</v>
      </c>
      <c r="AC250" s="24">
        <v>118000</v>
      </c>
      <c r="AD250" s="24">
        <v>121000</v>
      </c>
      <c r="AE250" s="24">
        <v>125000</v>
      </c>
      <c r="AF250" s="24">
        <v>110000</v>
      </c>
      <c r="AG250" s="24">
        <v>115000</v>
      </c>
      <c r="AH250" s="24">
        <v>119000</v>
      </c>
      <c r="AI250" s="24">
        <v>123500</v>
      </c>
      <c r="AJ250" s="25">
        <v>2.6</v>
      </c>
      <c r="AK250" s="25">
        <v>7.5</v>
      </c>
    </row>
    <row r="251" spans="1:100" x14ac:dyDescent="0.25">
      <c r="A251" t="s">
        <v>448</v>
      </c>
      <c r="B251" t="s">
        <v>449</v>
      </c>
      <c r="C251">
        <v>114205025</v>
      </c>
      <c r="D251" t="str">
        <f t="shared" si="118"/>
        <v>Şişli, Bahar-114205025</v>
      </c>
      <c r="E251" s="22">
        <v>5</v>
      </c>
      <c r="F251" s="22">
        <v>2</v>
      </c>
      <c r="G251" s="22">
        <v>10</v>
      </c>
      <c r="H251" s="22">
        <v>3958194</v>
      </c>
      <c r="I251" s="22">
        <v>1016703</v>
      </c>
      <c r="J251" s="22">
        <v>8173026</v>
      </c>
      <c r="K251" s="22">
        <v>8067913</v>
      </c>
      <c r="L251" s="22">
        <v>100000</v>
      </c>
      <c r="M251" s="22">
        <v>110000</v>
      </c>
      <c r="N251" s="22">
        <v>118900</v>
      </c>
      <c r="O251" s="22">
        <v>127500</v>
      </c>
      <c r="P251" s="22">
        <v>118900</v>
      </c>
      <c r="Q251" s="22">
        <v>127500</v>
      </c>
      <c r="R251" s="22">
        <v>100000</v>
      </c>
      <c r="S251" s="22">
        <v>110000</v>
      </c>
      <c r="T251" s="24">
        <v>23000</v>
      </c>
      <c r="U251" s="22">
        <v>27146</v>
      </c>
      <c r="V251" s="22">
        <v>24746</v>
      </c>
      <c r="W251" s="22">
        <v>22646</v>
      </c>
      <c r="X251" s="22">
        <v>24746</v>
      </c>
      <c r="Y251" s="22">
        <v>22646</v>
      </c>
      <c r="Z251" s="22">
        <v>29246</v>
      </c>
      <c r="AA251" s="22">
        <v>27146</v>
      </c>
      <c r="AB251" s="24">
        <v>106000</v>
      </c>
      <c r="AC251" s="24">
        <v>105000</v>
      </c>
      <c r="AD251" s="24">
        <v>104000</v>
      </c>
      <c r="AE251" s="24">
        <v>101000</v>
      </c>
      <c r="AF251" s="24">
        <v>102000</v>
      </c>
      <c r="AG251" s="24">
        <v>103500</v>
      </c>
      <c r="AH251" s="24">
        <v>101000</v>
      </c>
      <c r="AI251" s="24">
        <v>98000</v>
      </c>
      <c r="AJ251" s="25">
        <v>2.5</v>
      </c>
      <c r="AK251" s="25">
        <v>7.1</v>
      </c>
    </row>
    <row r="252" spans="1:100" x14ac:dyDescent="0.25">
      <c r="A252" t="s">
        <v>450</v>
      </c>
      <c r="B252" t="s">
        <v>451</v>
      </c>
      <c r="C252">
        <v>116203188</v>
      </c>
      <c r="D252" t="str">
        <f t="shared" si="118"/>
        <v>Su, Ertuğrul-116203188</v>
      </c>
      <c r="E252" s="22">
        <v>5</v>
      </c>
      <c r="F252" s="22">
        <v>3</v>
      </c>
      <c r="G252" s="22">
        <v>15</v>
      </c>
      <c r="H252" s="22">
        <v>4002320</v>
      </c>
      <c r="I252" s="22">
        <v>5804339</v>
      </c>
      <c r="J252" s="22">
        <v>1974554</v>
      </c>
      <c r="K252" s="22">
        <v>6879203</v>
      </c>
      <c r="L252" s="22">
        <v>100000</v>
      </c>
      <c r="M252" s="22">
        <v>108000</v>
      </c>
      <c r="N252" s="22">
        <v>117800</v>
      </c>
      <c r="O252" s="22">
        <v>126000</v>
      </c>
      <c r="P252" s="22">
        <v>126000</v>
      </c>
      <c r="Q252" s="22">
        <v>108000</v>
      </c>
      <c r="R252" s="22">
        <v>100000</v>
      </c>
      <c r="S252" s="22">
        <v>117800</v>
      </c>
      <c r="T252" s="24">
        <v>28000</v>
      </c>
      <c r="U252" s="22">
        <v>27247</v>
      </c>
      <c r="V252" s="22">
        <v>24847</v>
      </c>
      <c r="W252" s="22">
        <v>22647</v>
      </c>
      <c r="X252" s="22">
        <v>22647</v>
      </c>
      <c r="Y252" s="22">
        <v>27247</v>
      </c>
      <c r="Z252" s="22">
        <v>29247</v>
      </c>
      <c r="AA252" s="22">
        <v>24847</v>
      </c>
      <c r="AB252" s="24">
        <v>117000</v>
      </c>
      <c r="AC252" s="24">
        <v>120000</v>
      </c>
      <c r="AD252" s="24">
        <v>121000</v>
      </c>
      <c r="AE252" s="24">
        <v>122000</v>
      </c>
      <c r="AF252" s="24">
        <v>114500</v>
      </c>
      <c r="AG252" s="24">
        <v>118500</v>
      </c>
      <c r="AH252" s="24">
        <v>118500</v>
      </c>
      <c r="AI252" s="24">
        <v>118500</v>
      </c>
      <c r="AJ252" s="25">
        <v>3.8</v>
      </c>
      <c r="AK252" s="25">
        <v>7.8</v>
      </c>
    </row>
    <row r="253" spans="1:100" x14ac:dyDescent="0.25">
      <c r="A253" t="s">
        <v>452</v>
      </c>
      <c r="B253" t="s">
        <v>453</v>
      </c>
      <c r="C253">
        <v>114205055</v>
      </c>
      <c r="D253" t="str">
        <f t="shared" si="118"/>
        <v>Sunay, Volkan-114205055</v>
      </c>
      <c r="E253" s="22">
        <v>4</v>
      </c>
      <c r="F253" s="22">
        <v>3</v>
      </c>
      <c r="G253" s="22">
        <v>15</v>
      </c>
      <c r="H253" s="22">
        <v>2521339</v>
      </c>
      <c r="I253" s="22">
        <v>580144</v>
      </c>
      <c r="J253" s="22">
        <v>5708702</v>
      </c>
      <c r="K253" s="22">
        <v>7704107</v>
      </c>
      <c r="L253" s="22">
        <v>100000</v>
      </c>
      <c r="M253" s="22">
        <v>109200</v>
      </c>
      <c r="N253" s="22">
        <v>118900</v>
      </c>
      <c r="O253" s="22">
        <v>127900</v>
      </c>
      <c r="P253" s="22">
        <v>127900</v>
      </c>
      <c r="Q253" s="22">
        <v>118900</v>
      </c>
      <c r="R253" s="22">
        <v>100000</v>
      </c>
      <c r="S253" s="22">
        <v>109200</v>
      </c>
      <c r="T253" s="24">
        <v>27000</v>
      </c>
      <c r="U253" s="22">
        <v>26748</v>
      </c>
      <c r="V253" s="22">
        <v>24748</v>
      </c>
      <c r="W253" s="22">
        <v>22248</v>
      </c>
      <c r="X253" s="22">
        <v>22248</v>
      </c>
      <c r="Y253" s="22">
        <v>24748</v>
      </c>
      <c r="Z253" s="22">
        <v>29248</v>
      </c>
      <c r="AA253" s="22">
        <v>26748</v>
      </c>
      <c r="AB253" s="24">
        <v>110000</v>
      </c>
      <c r="AC253" s="24">
        <v>108000</v>
      </c>
      <c r="AD253" s="24">
        <v>105000</v>
      </c>
      <c r="AE253" s="24">
        <v>107000</v>
      </c>
      <c r="AF253" s="24">
        <v>108500</v>
      </c>
      <c r="AG253" s="24">
        <v>106000</v>
      </c>
      <c r="AH253" s="24">
        <v>103000</v>
      </c>
      <c r="AI253" s="24">
        <v>104000</v>
      </c>
      <c r="AJ253" s="25">
        <v>4.4000000000000004</v>
      </c>
      <c r="AK253" s="25">
        <v>9.6</v>
      </c>
    </row>
    <row r="254" spans="1:100" x14ac:dyDescent="0.25">
      <c r="A254" t="s">
        <v>454</v>
      </c>
      <c r="B254" t="s">
        <v>455</v>
      </c>
      <c r="C254">
        <v>115205043</v>
      </c>
      <c r="D254" t="str">
        <f t="shared" si="118"/>
        <v>Sürmeli, Mehmet Cahit-115205043</v>
      </c>
      <c r="E254" s="22">
        <v>5</v>
      </c>
      <c r="F254" s="22">
        <v>1</v>
      </c>
      <c r="G254" s="22">
        <v>8</v>
      </c>
      <c r="H254" s="22">
        <v>3300596</v>
      </c>
      <c r="I254" s="22">
        <v>4924804</v>
      </c>
      <c r="J254" s="22">
        <v>1295801</v>
      </c>
      <c r="K254" s="22">
        <v>1853583</v>
      </c>
      <c r="L254" s="22">
        <v>100000</v>
      </c>
      <c r="M254" s="22">
        <v>109400</v>
      </c>
      <c r="N254" s="22">
        <v>118400</v>
      </c>
      <c r="O254" s="22">
        <v>126700</v>
      </c>
      <c r="P254" s="22">
        <v>109400</v>
      </c>
      <c r="Q254" s="22">
        <v>100000</v>
      </c>
      <c r="R254" s="22">
        <v>126700</v>
      </c>
      <c r="S254" s="22">
        <v>118400</v>
      </c>
      <c r="T254" s="24">
        <v>26000</v>
      </c>
      <c r="U254" s="22">
        <v>26949</v>
      </c>
      <c r="V254" s="22">
        <v>24949</v>
      </c>
      <c r="W254" s="22">
        <v>22749</v>
      </c>
      <c r="X254" s="22">
        <v>26949</v>
      </c>
      <c r="Y254" s="22">
        <v>29249</v>
      </c>
      <c r="Z254" s="22">
        <v>22749</v>
      </c>
      <c r="AA254" s="22">
        <v>24949</v>
      </c>
      <c r="AB254" s="24">
        <v>95000</v>
      </c>
      <c r="AC254" s="24">
        <v>92000</v>
      </c>
      <c r="AD254" s="24">
        <v>93000</v>
      </c>
      <c r="AE254" s="24">
        <v>92000</v>
      </c>
      <c r="AF254" s="24">
        <v>91000</v>
      </c>
      <c r="AG254" s="24">
        <v>90000</v>
      </c>
      <c r="AH254" s="24">
        <v>89500</v>
      </c>
      <c r="AI254" s="24">
        <v>90000</v>
      </c>
      <c r="AJ254" s="25">
        <v>4</v>
      </c>
      <c r="AK254" s="25">
        <v>7.2</v>
      </c>
    </row>
    <row r="255" spans="1:100" x14ac:dyDescent="0.25">
      <c r="A255" t="s">
        <v>456</v>
      </c>
      <c r="B255" t="s">
        <v>457</v>
      </c>
      <c r="C255">
        <v>117203010</v>
      </c>
      <c r="D255" t="str">
        <f t="shared" si="118"/>
        <v>Sweid, Mohamad Rushdi-117203010</v>
      </c>
      <c r="E255" s="22">
        <v>4</v>
      </c>
      <c r="F255" s="22">
        <v>1</v>
      </c>
      <c r="G255" s="22">
        <v>8</v>
      </c>
      <c r="H255" s="22">
        <v>6886055</v>
      </c>
      <c r="I255" s="22">
        <v>1825114</v>
      </c>
      <c r="J255" s="22">
        <v>3029847</v>
      </c>
      <c r="K255" s="22">
        <v>3465894</v>
      </c>
      <c r="L255" s="22">
        <v>100000</v>
      </c>
      <c r="M255" s="22">
        <v>109300</v>
      </c>
      <c r="N255" s="22">
        <v>118600</v>
      </c>
      <c r="O255" s="22">
        <v>128400</v>
      </c>
      <c r="P255" s="22">
        <v>100000</v>
      </c>
      <c r="Q255" s="22">
        <v>128400</v>
      </c>
      <c r="R255" s="22">
        <v>118600</v>
      </c>
      <c r="S255" s="22">
        <v>109300</v>
      </c>
      <c r="T255" s="24">
        <v>29000</v>
      </c>
      <c r="U255" s="22">
        <v>27150</v>
      </c>
      <c r="V255" s="22">
        <v>24750</v>
      </c>
      <c r="W255" s="22">
        <v>22650</v>
      </c>
      <c r="X255" s="22">
        <v>29250</v>
      </c>
      <c r="Y255" s="22">
        <v>22650</v>
      </c>
      <c r="Z255" s="22">
        <v>24750</v>
      </c>
      <c r="AA255" s="22">
        <v>27150</v>
      </c>
      <c r="AB255" s="24">
        <v>106000</v>
      </c>
      <c r="AC255" s="24">
        <v>108000</v>
      </c>
      <c r="AD255" s="24">
        <v>111000</v>
      </c>
      <c r="AE255" s="24">
        <v>113000</v>
      </c>
      <c r="AF255" s="24">
        <v>103000</v>
      </c>
      <c r="AG255" s="24">
        <v>106000</v>
      </c>
      <c r="AH255" s="24">
        <v>109000</v>
      </c>
      <c r="AI255" s="24">
        <v>109500</v>
      </c>
      <c r="AJ255" s="25">
        <v>2.5</v>
      </c>
      <c r="AK255" s="25">
        <v>9.6</v>
      </c>
    </row>
    <row r="256" spans="1:100" x14ac:dyDescent="0.25">
      <c r="A256" t="s">
        <v>458</v>
      </c>
      <c r="B256" t="s">
        <v>459</v>
      </c>
      <c r="C256">
        <v>115206058</v>
      </c>
      <c r="D256" t="str">
        <f t="shared" si="118"/>
        <v>Tahmaz, Ecem Naz-115206058</v>
      </c>
      <c r="E256" s="22">
        <v>4</v>
      </c>
      <c r="F256" s="22">
        <v>1</v>
      </c>
      <c r="G256" s="22">
        <v>8</v>
      </c>
      <c r="H256" s="22">
        <v>7636456</v>
      </c>
      <c r="I256" s="22">
        <v>2301355</v>
      </c>
      <c r="J256" s="22">
        <v>9367699</v>
      </c>
      <c r="K256" s="22">
        <v>5943737</v>
      </c>
      <c r="L256" s="22">
        <v>100000</v>
      </c>
      <c r="M256" s="22">
        <v>109000</v>
      </c>
      <c r="N256" s="22">
        <v>118200</v>
      </c>
      <c r="O256" s="22">
        <v>127500</v>
      </c>
      <c r="P256" s="22">
        <v>118200</v>
      </c>
      <c r="Q256" s="22">
        <v>100000</v>
      </c>
      <c r="R256" s="22">
        <v>127500</v>
      </c>
      <c r="S256" s="22">
        <v>109000</v>
      </c>
      <c r="T256" s="24">
        <v>28000</v>
      </c>
      <c r="U256" s="22">
        <v>27251</v>
      </c>
      <c r="V256" s="22">
        <v>24851</v>
      </c>
      <c r="W256" s="22">
        <v>22551</v>
      </c>
      <c r="X256" s="22">
        <v>24851</v>
      </c>
      <c r="Y256" s="22">
        <v>29251</v>
      </c>
      <c r="Z256" s="22">
        <v>22551</v>
      </c>
      <c r="AA256" s="22">
        <v>27251</v>
      </c>
      <c r="AB256" s="24">
        <v>95000</v>
      </c>
      <c r="AC256" s="24">
        <v>93000</v>
      </c>
      <c r="AD256" s="24">
        <v>96000</v>
      </c>
      <c r="AE256" s="24">
        <v>93000</v>
      </c>
      <c r="AF256" s="24">
        <v>93500</v>
      </c>
      <c r="AG256" s="24">
        <v>90000</v>
      </c>
      <c r="AH256" s="24">
        <v>94000</v>
      </c>
      <c r="AI256" s="24">
        <v>91500</v>
      </c>
      <c r="AJ256" s="25">
        <v>4.9000000000000004</v>
      </c>
      <c r="AK256" s="25">
        <v>8.1</v>
      </c>
    </row>
    <row r="257" spans="1:37" x14ac:dyDescent="0.25">
      <c r="A257" t="s">
        <v>460</v>
      </c>
      <c r="B257" t="s">
        <v>461</v>
      </c>
      <c r="C257">
        <v>113202030</v>
      </c>
      <c r="D257" t="str">
        <f t="shared" si="118"/>
        <v>Takıl, Buse-113202030</v>
      </c>
      <c r="E257" s="22">
        <v>7</v>
      </c>
      <c r="F257" s="22">
        <v>3</v>
      </c>
      <c r="G257" s="22">
        <v>15</v>
      </c>
      <c r="H257" s="22">
        <v>9469631</v>
      </c>
      <c r="I257" s="22">
        <v>4875825</v>
      </c>
      <c r="J257" s="22">
        <v>7799573</v>
      </c>
      <c r="K257" s="22">
        <v>6565381</v>
      </c>
      <c r="L257" s="22">
        <v>100000</v>
      </c>
      <c r="M257" s="22">
        <v>108600</v>
      </c>
      <c r="N257" s="22">
        <v>118300</v>
      </c>
      <c r="O257" s="22">
        <v>128100</v>
      </c>
      <c r="P257" s="22">
        <v>100000</v>
      </c>
      <c r="Q257" s="22">
        <v>118300</v>
      </c>
      <c r="R257" s="22">
        <v>128100</v>
      </c>
      <c r="S257" s="22">
        <v>108600</v>
      </c>
      <c r="T257" s="24">
        <v>24000</v>
      </c>
      <c r="U257" s="22">
        <v>27052</v>
      </c>
      <c r="V257" s="22">
        <v>24952</v>
      </c>
      <c r="W257" s="22">
        <v>22552</v>
      </c>
      <c r="X257" s="22">
        <v>29252</v>
      </c>
      <c r="Y257" s="22">
        <v>24952</v>
      </c>
      <c r="Z257" s="22">
        <v>22552</v>
      </c>
      <c r="AA257" s="22">
        <v>27052</v>
      </c>
      <c r="AB257" s="24">
        <v>107000</v>
      </c>
      <c r="AC257" s="24">
        <v>107000</v>
      </c>
      <c r="AD257" s="24">
        <v>107000</v>
      </c>
      <c r="AE257" s="24">
        <v>110000</v>
      </c>
      <c r="AF257" s="24">
        <v>104000</v>
      </c>
      <c r="AG257" s="24">
        <v>104500</v>
      </c>
      <c r="AH257" s="24">
        <v>104000</v>
      </c>
      <c r="AI257" s="24">
        <v>106500</v>
      </c>
      <c r="AJ257" s="25">
        <v>3.2</v>
      </c>
      <c r="AK257" s="25">
        <v>9.1</v>
      </c>
    </row>
    <row r="258" spans="1:37" x14ac:dyDescent="0.25">
      <c r="A258" t="s">
        <v>462</v>
      </c>
      <c r="B258" t="s">
        <v>463</v>
      </c>
      <c r="C258">
        <v>115204025</v>
      </c>
      <c r="D258" t="str">
        <f t="shared" si="118"/>
        <v>Tarakçı, Ömer-115204025</v>
      </c>
      <c r="E258" s="22">
        <v>5</v>
      </c>
      <c r="F258" s="22">
        <v>2</v>
      </c>
      <c r="G258" s="22">
        <v>10</v>
      </c>
      <c r="H258" s="22">
        <v>1113439</v>
      </c>
      <c r="I258" s="22">
        <v>852122</v>
      </c>
      <c r="J258" s="22">
        <v>7607176</v>
      </c>
      <c r="K258" s="22">
        <v>8258652</v>
      </c>
      <c r="L258" s="22">
        <v>100000</v>
      </c>
      <c r="M258" s="22">
        <v>109200</v>
      </c>
      <c r="N258" s="22">
        <v>119200</v>
      </c>
      <c r="O258" s="22">
        <v>128900</v>
      </c>
      <c r="P258" s="22">
        <v>128900</v>
      </c>
      <c r="Q258" s="22">
        <v>119200</v>
      </c>
      <c r="R258" s="22">
        <v>100000</v>
      </c>
      <c r="S258" s="22">
        <v>109200</v>
      </c>
      <c r="T258" s="24">
        <v>24000</v>
      </c>
      <c r="U258" s="22">
        <v>27053</v>
      </c>
      <c r="V258" s="22">
        <v>24553</v>
      </c>
      <c r="W258" s="22">
        <v>22453</v>
      </c>
      <c r="X258" s="22">
        <v>22453</v>
      </c>
      <c r="Y258" s="22">
        <v>24553</v>
      </c>
      <c r="Z258" s="22">
        <v>29253</v>
      </c>
      <c r="AA258" s="22">
        <v>27053</v>
      </c>
      <c r="AB258" s="24">
        <v>105000</v>
      </c>
      <c r="AC258" s="24">
        <v>103000</v>
      </c>
      <c r="AD258" s="24">
        <v>101000</v>
      </c>
      <c r="AE258" s="24">
        <v>100000</v>
      </c>
      <c r="AF258" s="24">
        <v>103500</v>
      </c>
      <c r="AG258" s="24">
        <v>99000</v>
      </c>
      <c r="AH258" s="24">
        <v>97500</v>
      </c>
      <c r="AI258" s="24">
        <v>98000</v>
      </c>
      <c r="AJ258" s="25">
        <v>4.0999999999999996</v>
      </c>
      <c r="AK258" s="25">
        <v>6.5</v>
      </c>
    </row>
    <row r="259" spans="1:37" x14ac:dyDescent="0.25">
      <c r="A259" t="s">
        <v>464</v>
      </c>
      <c r="B259" t="s">
        <v>465</v>
      </c>
      <c r="C259">
        <v>116201148</v>
      </c>
      <c r="D259" t="str">
        <f t="shared" si="118"/>
        <v>Taşçı, Tamay Seda-116201148</v>
      </c>
      <c r="E259" s="22">
        <v>7</v>
      </c>
      <c r="F259" s="22">
        <v>1</v>
      </c>
      <c r="G259" s="22">
        <v>8</v>
      </c>
      <c r="H259" s="22">
        <v>314118</v>
      </c>
      <c r="I259" s="22">
        <v>4983116</v>
      </c>
      <c r="J259" s="22">
        <v>7644407</v>
      </c>
      <c r="K259" s="22">
        <v>341111</v>
      </c>
      <c r="L259" s="22">
        <v>100000</v>
      </c>
      <c r="M259" s="22">
        <v>108900</v>
      </c>
      <c r="N259" s="22">
        <v>117700</v>
      </c>
      <c r="O259" s="22">
        <v>125700</v>
      </c>
      <c r="P259" s="22">
        <v>117700</v>
      </c>
      <c r="Q259" s="22">
        <v>108900</v>
      </c>
      <c r="R259" s="22">
        <v>125700</v>
      </c>
      <c r="S259" s="22">
        <v>100000</v>
      </c>
      <c r="T259" s="24">
        <v>24000</v>
      </c>
      <c r="U259" s="22">
        <v>27154</v>
      </c>
      <c r="V259" s="22">
        <v>25154</v>
      </c>
      <c r="W259" s="22">
        <v>22754</v>
      </c>
      <c r="X259" s="22">
        <v>25154</v>
      </c>
      <c r="Y259" s="22">
        <v>27154</v>
      </c>
      <c r="Z259" s="22">
        <v>22754</v>
      </c>
      <c r="AA259" s="22">
        <v>29254</v>
      </c>
      <c r="AB259" s="24">
        <v>100000</v>
      </c>
      <c r="AC259" s="24">
        <v>102000</v>
      </c>
      <c r="AD259" s="24">
        <v>102000</v>
      </c>
      <c r="AE259" s="24">
        <v>103000</v>
      </c>
      <c r="AF259" s="24">
        <v>96000</v>
      </c>
      <c r="AG259" s="24">
        <v>99500</v>
      </c>
      <c r="AH259" s="24">
        <v>100000</v>
      </c>
      <c r="AI259" s="24">
        <v>99500</v>
      </c>
      <c r="AJ259" s="25">
        <v>3.9</v>
      </c>
      <c r="AK259" s="25">
        <v>8</v>
      </c>
    </row>
    <row r="260" spans="1:37" x14ac:dyDescent="0.25">
      <c r="A260" t="s">
        <v>466</v>
      </c>
      <c r="B260" t="s">
        <v>231</v>
      </c>
      <c r="C260">
        <v>116203027</v>
      </c>
      <c r="D260" t="str">
        <f t="shared" si="118"/>
        <v>Taşkıran, Eda-116203027</v>
      </c>
      <c r="E260" s="22">
        <v>7</v>
      </c>
      <c r="F260" s="22">
        <v>3</v>
      </c>
      <c r="G260" s="22">
        <v>15</v>
      </c>
      <c r="H260" s="22">
        <v>9812574</v>
      </c>
      <c r="I260" s="22">
        <v>993747</v>
      </c>
      <c r="J260" s="22">
        <v>3871221</v>
      </c>
      <c r="K260" s="22">
        <v>4575959</v>
      </c>
      <c r="L260" s="22">
        <v>100000</v>
      </c>
      <c r="M260" s="22">
        <v>108300</v>
      </c>
      <c r="N260" s="22">
        <v>117200</v>
      </c>
      <c r="O260" s="22">
        <v>126900</v>
      </c>
      <c r="P260" s="22">
        <v>100000</v>
      </c>
      <c r="Q260" s="22">
        <v>126900</v>
      </c>
      <c r="R260" s="22">
        <v>117200</v>
      </c>
      <c r="S260" s="22">
        <v>108300</v>
      </c>
      <c r="T260" s="24">
        <v>29000</v>
      </c>
      <c r="U260" s="22">
        <v>27155</v>
      </c>
      <c r="V260" s="22">
        <v>24955</v>
      </c>
      <c r="W260" s="22">
        <v>22655</v>
      </c>
      <c r="X260" s="22">
        <v>29255</v>
      </c>
      <c r="Y260" s="22">
        <v>22655</v>
      </c>
      <c r="Z260" s="22">
        <v>24955</v>
      </c>
      <c r="AA260" s="22">
        <v>27155</v>
      </c>
      <c r="AB260" s="24">
        <v>109000</v>
      </c>
      <c r="AC260" s="24">
        <v>107000</v>
      </c>
      <c r="AD260" s="24">
        <v>109000</v>
      </c>
      <c r="AE260" s="24">
        <v>107000</v>
      </c>
      <c r="AF260" s="24">
        <v>107000</v>
      </c>
      <c r="AG260" s="24">
        <v>105000</v>
      </c>
      <c r="AH260" s="24">
        <v>107000</v>
      </c>
      <c r="AI260" s="24">
        <v>105000</v>
      </c>
      <c r="AJ260" s="25">
        <v>4.8</v>
      </c>
      <c r="AK260" s="25">
        <v>6.5</v>
      </c>
    </row>
    <row r="261" spans="1:37" x14ac:dyDescent="0.25">
      <c r="A261" t="s">
        <v>467</v>
      </c>
      <c r="B261" t="s">
        <v>468</v>
      </c>
      <c r="C261">
        <v>114200032</v>
      </c>
      <c r="D261" t="str">
        <f t="shared" ref="D261:D322" si="119">A261&amp;", "&amp;B261&amp;"-"&amp;C261</f>
        <v>Tekgül, Hüma-114200032</v>
      </c>
      <c r="E261" s="22">
        <v>7</v>
      </c>
      <c r="F261" s="22">
        <v>1</v>
      </c>
      <c r="G261" s="22">
        <v>8</v>
      </c>
      <c r="H261" s="22">
        <v>6235872</v>
      </c>
      <c r="I261" s="22">
        <v>5684221</v>
      </c>
      <c r="J261" s="22">
        <v>3342292</v>
      </c>
      <c r="K261" s="22">
        <v>7815222</v>
      </c>
      <c r="L261" s="22">
        <v>100000</v>
      </c>
      <c r="M261" s="22">
        <v>109300</v>
      </c>
      <c r="N261" s="22">
        <v>118300</v>
      </c>
      <c r="O261" s="22">
        <v>126600</v>
      </c>
      <c r="P261" s="22">
        <v>126600</v>
      </c>
      <c r="Q261" s="22">
        <v>100000</v>
      </c>
      <c r="R261" s="22">
        <v>109300</v>
      </c>
      <c r="S261" s="22">
        <v>118300</v>
      </c>
      <c r="T261" s="24">
        <v>27000</v>
      </c>
      <c r="U261" s="22">
        <v>27156</v>
      </c>
      <c r="V261" s="22">
        <v>25156</v>
      </c>
      <c r="W261" s="22">
        <v>23056</v>
      </c>
      <c r="X261" s="22">
        <v>23056</v>
      </c>
      <c r="Y261" s="22">
        <v>29256</v>
      </c>
      <c r="Z261" s="22">
        <v>27156</v>
      </c>
      <c r="AA261" s="22">
        <v>25156</v>
      </c>
      <c r="AB261" s="24">
        <v>106000</v>
      </c>
      <c r="AC261" s="24">
        <v>109000</v>
      </c>
      <c r="AD261" s="24">
        <v>107000</v>
      </c>
      <c r="AE261" s="24">
        <v>106000</v>
      </c>
      <c r="AF261" s="24">
        <v>104500</v>
      </c>
      <c r="AG261" s="24">
        <v>106000</v>
      </c>
      <c r="AH261" s="24">
        <v>105500</v>
      </c>
      <c r="AI261" s="24">
        <v>102500</v>
      </c>
      <c r="AJ261" s="25">
        <v>2.8</v>
      </c>
      <c r="AK261" s="25">
        <v>8.4</v>
      </c>
    </row>
    <row r="262" spans="1:37" x14ac:dyDescent="0.25">
      <c r="A262" t="s">
        <v>469</v>
      </c>
      <c r="B262" t="s">
        <v>470</v>
      </c>
      <c r="C262">
        <v>115202080</v>
      </c>
      <c r="D262" t="str">
        <f t="shared" si="119"/>
        <v>Tekin, Engincan-115202080</v>
      </c>
      <c r="E262" s="22">
        <v>5</v>
      </c>
      <c r="F262" s="22">
        <v>2</v>
      </c>
      <c r="G262" s="22">
        <v>10</v>
      </c>
      <c r="H262" s="22">
        <v>3735233</v>
      </c>
      <c r="I262" s="22">
        <v>8026992</v>
      </c>
      <c r="J262" s="22">
        <v>3027315</v>
      </c>
      <c r="K262" s="22">
        <v>5431928</v>
      </c>
      <c r="L262" s="22">
        <v>100000</v>
      </c>
      <c r="M262" s="22">
        <v>108800</v>
      </c>
      <c r="N262" s="22">
        <v>118500</v>
      </c>
      <c r="O262" s="22">
        <v>128500</v>
      </c>
      <c r="P262" s="22">
        <v>108800</v>
      </c>
      <c r="Q262" s="22">
        <v>128500</v>
      </c>
      <c r="R262" s="22">
        <v>100000</v>
      </c>
      <c r="S262" s="22">
        <v>118500</v>
      </c>
      <c r="T262" s="24">
        <v>23000</v>
      </c>
      <c r="U262" s="22">
        <v>27157</v>
      </c>
      <c r="V262" s="22">
        <v>24657</v>
      </c>
      <c r="W262" s="22">
        <v>22357</v>
      </c>
      <c r="X262" s="22">
        <v>27157</v>
      </c>
      <c r="Y262" s="22">
        <v>22357</v>
      </c>
      <c r="Z262" s="22">
        <v>29257</v>
      </c>
      <c r="AA262" s="22">
        <v>24657</v>
      </c>
      <c r="AB262" s="24">
        <v>94000</v>
      </c>
      <c r="AC262" s="24">
        <v>98000</v>
      </c>
      <c r="AD262" s="24">
        <v>97000</v>
      </c>
      <c r="AE262" s="24">
        <v>97000</v>
      </c>
      <c r="AF262" s="24">
        <v>92500</v>
      </c>
      <c r="AG262" s="24">
        <v>95000</v>
      </c>
      <c r="AH262" s="24">
        <v>93000</v>
      </c>
      <c r="AI262" s="24">
        <v>93500</v>
      </c>
      <c r="AJ262" s="25">
        <v>4.5</v>
      </c>
      <c r="AK262" s="25">
        <v>7.8</v>
      </c>
    </row>
    <row r="263" spans="1:37" x14ac:dyDescent="0.25">
      <c r="A263" t="s">
        <v>471</v>
      </c>
      <c r="B263" t="s">
        <v>472</v>
      </c>
      <c r="C263">
        <v>114205011</v>
      </c>
      <c r="D263" t="str">
        <f t="shared" si="119"/>
        <v>Temel, Münür Uğur-114205011</v>
      </c>
      <c r="E263" s="22">
        <v>5</v>
      </c>
      <c r="F263" s="22">
        <v>1</v>
      </c>
      <c r="G263" s="22">
        <v>8</v>
      </c>
      <c r="H263" s="22">
        <v>3077400</v>
      </c>
      <c r="I263" s="22">
        <v>8412712</v>
      </c>
      <c r="J263" s="22">
        <v>4731439</v>
      </c>
      <c r="K263" s="22">
        <v>8588288</v>
      </c>
      <c r="L263" s="22">
        <v>100000</v>
      </c>
      <c r="M263" s="22">
        <v>109700</v>
      </c>
      <c r="N263" s="22">
        <v>118000</v>
      </c>
      <c r="O263" s="22">
        <v>126600</v>
      </c>
      <c r="P263" s="22">
        <v>126600</v>
      </c>
      <c r="Q263" s="22">
        <v>109700</v>
      </c>
      <c r="R263" s="22">
        <v>118000</v>
      </c>
      <c r="S263" s="22">
        <v>100000</v>
      </c>
      <c r="T263" s="24">
        <v>23000</v>
      </c>
      <c r="U263" s="22">
        <v>27058</v>
      </c>
      <c r="V263" s="22">
        <v>24558</v>
      </c>
      <c r="W263" s="22">
        <v>22558</v>
      </c>
      <c r="X263" s="22">
        <v>22558</v>
      </c>
      <c r="Y263" s="22">
        <v>27058</v>
      </c>
      <c r="Z263" s="22">
        <v>24558</v>
      </c>
      <c r="AA263" s="22">
        <v>29258</v>
      </c>
      <c r="AB263" s="24">
        <v>112000</v>
      </c>
      <c r="AC263" s="24">
        <v>116000</v>
      </c>
      <c r="AD263" s="24">
        <v>120000</v>
      </c>
      <c r="AE263" s="24">
        <v>120000</v>
      </c>
      <c r="AF263" s="24">
        <v>110000</v>
      </c>
      <c r="AG263" s="24">
        <v>114500</v>
      </c>
      <c r="AH263" s="24">
        <v>117000</v>
      </c>
      <c r="AI263" s="24">
        <v>118000</v>
      </c>
      <c r="AJ263" s="25">
        <v>3</v>
      </c>
      <c r="AK263" s="25">
        <v>8.8000000000000007</v>
      </c>
    </row>
    <row r="264" spans="1:37" x14ac:dyDescent="0.25">
      <c r="A264" t="s">
        <v>473</v>
      </c>
      <c r="B264" t="s">
        <v>290</v>
      </c>
      <c r="C264">
        <v>115205046</v>
      </c>
      <c r="D264" t="str">
        <f t="shared" si="119"/>
        <v>Temizer, Selim-115205046</v>
      </c>
      <c r="E264" s="22">
        <v>6</v>
      </c>
      <c r="F264" s="22">
        <v>1</v>
      </c>
      <c r="G264" s="22">
        <v>8</v>
      </c>
      <c r="H264" s="22">
        <v>7124772</v>
      </c>
      <c r="I264" s="22">
        <v>5223965</v>
      </c>
      <c r="J264" s="22">
        <v>8974118</v>
      </c>
      <c r="K264" s="22">
        <v>4132680</v>
      </c>
      <c r="L264" s="22">
        <v>100000</v>
      </c>
      <c r="M264" s="22">
        <v>109800</v>
      </c>
      <c r="N264" s="22">
        <v>119100</v>
      </c>
      <c r="O264" s="22">
        <v>127400</v>
      </c>
      <c r="P264" s="22">
        <v>119100</v>
      </c>
      <c r="Q264" s="22">
        <v>100000</v>
      </c>
      <c r="R264" s="22">
        <v>109800</v>
      </c>
      <c r="S264" s="22">
        <v>127400</v>
      </c>
      <c r="T264" s="24">
        <v>23000</v>
      </c>
      <c r="U264" s="22">
        <v>27059</v>
      </c>
      <c r="V264" s="22">
        <v>25059</v>
      </c>
      <c r="W264" s="22">
        <v>22759</v>
      </c>
      <c r="X264" s="22">
        <v>25059</v>
      </c>
      <c r="Y264" s="22">
        <v>29259</v>
      </c>
      <c r="Z264" s="22">
        <v>27059</v>
      </c>
      <c r="AA264" s="22">
        <v>22759</v>
      </c>
      <c r="AB264" s="24">
        <v>111000</v>
      </c>
      <c r="AC264" s="24">
        <v>112000</v>
      </c>
      <c r="AD264" s="24">
        <v>114000</v>
      </c>
      <c r="AE264" s="24">
        <v>114000</v>
      </c>
      <c r="AF264" s="24">
        <v>109000</v>
      </c>
      <c r="AG264" s="24">
        <v>108500</v>
      </c>
      <c r="AH264" s="24">
        <v>112500</v>
      </c>
      <c r="AI264" s="24">
        <v>110500</v>
      </c>
      <c r="AJ264" s="25">
        <v>4.3</v>
      </c>
      <c r="AK264" s="25">
        <v>9</v>
      </c>
    </row>
    <row r="265" spans="1:37" x14ac:dyDescent="0.25">
      <c r="A265" t="s">
        <v>474</v>
      </c>
      <c r="B265" t="s">
        <v>329</v>
      </c>
      <c r="C265">
        <v>112205028</v>
      </c>
      <c r="D265" t="str">
        <f t="shared" si="119"/>
        <v>Tesbihci, Büşra-112205028</v>
      </c>
      <c r="E265" s="22">
        <v>5</v>
      </c>
      <c r="F265" s="22">
        <v>2</v>
      </c>
      <c r="G265" s="22">
        <v>10</v>
      </c>
      <c r="H265" s="22">
        <v>135383</v>
      </c>
      <c r="I265" s="22">
        <v>5165531</v>
      </c>
      <c r="J265" s="22">
        <v>1387037</v>
      </c>
      <c r="K265" s="22">
        <v>176716</v>
      </c>
      <c r="L265" s="22">
        <v>100000</v>
      </c>
      <c r="M265" s="22">
        <v>108200</v>
      </c>
      <c r="N265" s="22">
        <v>116700</v>
      </c>
      <c r="O265" s="22">
        <v>125400</v>
      </c>
      <c r="P265" s="22">
        <v>108200</v>
      </c>
      <c r="Q265" s="22">
        <v>116700</v>
      </c>
      <c r="R265" s="22">
        <v>125400</v>
      </c>
      <c r="S265" s="22">
        <v>100000</v>
      </c>
      <c r="T265" s="24">
        <v>23000</v>
      </c>
      <c r="U265" s="22">
        <v>26860</v>
      </c>
      <c r="V265" s="22">
        <v>24860</v>
      </c>
      <c r="W265" s="22">
        <v>22560</v>
      </c>
      <c r="X265" s="22">
        <v>26860</v>
      </c>
      <c r="Y265" s="22">
        <v>24860</v>
      </c>
      <c r="Z265" s="22">
        <v>22560</v>
      </c>
      <c r="AA265" s="22">
        <v>29260</v>
      </c>
      <c r="AB265" s="24">
        <v>104000</v>
      </c>
      <c r="AC265" s="24">
        <v>105000</v>
      </c>
      <c r="AD265" s="24">
        <v>109000</v>
      </c>
      <c r="AE265" s="24">
        <v>107000</v>
      </c>
      <c r="AF265" s="24">
        <v>100500</v>
      </c>
      <c r="AG265" s="24">
        <v>101500</v>
      </c>
      <c r="AH265" s="24">
        <v>106500</v>
      </c>
      <c r="AI265" s="24">
        <v>103500</v>
      </c>
      <c r="AJ265" s="25">
        <v>2.8</v>
      </c>
      <c r="AK265" s="25">
        <v>7.5</v>
      </c>
    </row>
    <row r="266" spans="1:37" x14ac:dyDescent="0.25">
      <c r="A266" t="s">
        <v>475</v>
      </c>
      <c r="B266" t="s">
        <v>55</v>
      </c>
      <c r="C266">
        <v>115203073</v>
      </c>
      <c r="D266" t="str">
        <f t="shared" si="119"/>
        <v>Tevrüz, Zeynep-115203073</v>
      </c>
      <c r="E266" s="22">
        <v>6</v>
      </c>
      <c r="F266" s="22">
        <v>3</v>
      </c>
      <c r="G266" s="22">
        <v>15</v>
      </c>
      <c r="H266" s="22">
        <v>423766</v>
      </c>
      <c r="I266" s="22">
        <v>7045408</v>
      </c>
      <c r="J266" s="22">
        <v>1503042</v>
      </c>
      <c r="K266" s="22">
        <v>8671979</v>
      </c>
      <c r="L266" s="22">
        <v>100000</v>
      </c>
      <c r="M266" s="22">
        <v>109900</v>
      </c>
      <c r="N266" s="22">
        <v>119300</v>
      </c>
      <c r="O266" s="22">
        <v>127500</v>
      </c>
      <c r="P266" s="22">
        <v>127500</v>
      </c>
      <c r="Q266" s="22">
        <v>109900</v>
      </c>
      <c r="R266" s="22">
        <v>119300</v>
      </c>
      <c r="S266" s="22">
        <v>100000</v>
      </c>
      <c r="T266" s="24">
        <v>23000</v>
      </c>
      <c r="U266" s="22">
        <v>26961</v>
      </c>
      <c r="V266" s="22">
        <v>24661</v>
      </c>
      <c r="W266" s="22">
        <v>22561</v>
      </c>
      <c r="X266" s="22">
        <v>22561</v>
      </c>
      <c r="Y266" s="22">
        <v>26961</v>
      </c>
      <c r="Z266" s="22">
        <v>24661</v>
      </c>
      <c r="AA266" s="22">
        <v>29261</v>
      </c>
      <c r="AB266" s="24">
        <v>118000</v>
      </c>
      <c r="AC266" s="24">
        <v>117000</v>
      </c>
      <c r="AD266" s="24">
        <v>117000</v>
      </c>
      <c r="AE266" s="24">
        <v>115000</v>
      </c>
      <c r="AF266" s="24">
        <v>116000</v>
      </c>
      <c r="AG266" s="24">
        <v>115500</v>
      </c>
      <c r="AH266" s="24">
        <v>114000</v>
      </c>
      <c r="AI266" s="24">
        <v>112500</v>
      </c>
      <c r="AJ266" s="25">
        <v>4.8</v>
      </c>
      <c r="AK266" s="25">
        <v>7.7</v>
      </c>
    </row>
    <row r="267" spans="1:37" x14ac:dyDescent="0.25">
      <c r="A267" t="s">
        <v>476</v>
      </c>
      <c r="B267" t="s">
        <v>477</v>
      </c>
      <c r="C267">
        <v>115203110</v>
      </c>
      <c r="D267" t="str">
        <f t="shared" si="119"/>
        <v>Toker, Furkan Salih-115203110</v>
      </c>
      <c r="E267" s="22">
        <v>7</v>
      </c>
      <c r="F267" s="22">
        <v>1</v>
      </c>
      <c r="G267" s="22">
        <v>8</v>
      </c>
      <c r="H267" s="22">
        <v>1965525</v>
      </c>
      <c r="I267" s="22">
        <v>1074287</v>
      </c>
      <c r="J267" s="22">
        <v>2322290</v>
      </c>
      <c r="K267" s="22">
        <v>5403511</v>
      </c>
      <c r="L267" s="22">
        <v>100000</v>
      </c>
      <c r="M267" s="22">
        <v>109600</v>
      </c>
      <c r="N267" s="22">
        <v>117600</v>
      </c>
      <c r="O267" s="22">
        <v>126200</v>
      </c>
      <c r="P267" s="22">
        <v>126200</v>
      </c>
      <c r="Q267" s="22">
        <v>117600</v>
      </c>
      <c r="R267" s="22">
        <v>100000</v>
      </c>
      <c r="S267" s="22">
        <v>109600</v>
      </c>
      <c r="T267" s="24">
        <v>23000</v>
      </c>
      <c r="U267" s="22">
        <v>27062</v>
      </c>
      <c r="V267" s="22">
        <v>24862</v>
      </c>
      <c r="W267" s="22">
        <v>22462</v>
      </c>
      <c r="X267" s="22">
        <v>22462</v>
      </c>
      <c r="Y267" s="22">
        <v>24862</v>
      </c>
      <c r="Z267" s="22">
        <v>29262</v>
      </c>
      <c r="AA267" s="22">
        <v>27062</v>
      </c>
      <c r="AB267" s="24">
        <v>90000</v>
      </c>
      <c r="AC267" s="24">
        <v>90000</v>
      </c>
      <c r="AD267" s="24">
        <v>93000</v>
      </c>
      <c r="AE267" s="24">
        <v>93000</v>
      </c>
      <c r="AF267" s="24">
        <v>87000</v>
      </c>
      <c r="AG267" s="24">
        <v>86500</v>
      </c>
      <c r="AH267" s="24">
        <v>90000</v>
      </c>
      <c r="AI267" s="24">
        <v>90000</v>
      </c>
      <c r="AJ267" s="25">
        <v>4.2</v>
      </c>
      <c r="AK267" s="25">
        <v>6.9</v>
      </c>
    </row>
    <row r="268" spans="1:37" x14ac:dyDescent="0.25">
      <c r="A268" t="s">
        <v>478</v>
      </c>
      <c r="B268" t="s">
        <v>479</v>
      </c>
      <c r="C268">
        <v>115203057</v>
      </c>
      <c r="D268" t="str">
        <f t="shared" si="119"/>
        <v>Toledo, Rıfat-115203057</v>
      </c>
      <c r="E268" s="22">
        <v>4</v>
      </c>
      <c r="F268" s="22">
        <v>1</v>
      </c>
      <c r="G268" s="22">
        <v>8</v>
      </c>
      <c r="H268" s="22">
        <v>4191321</v>
      </c>
      <c r="I268" s="22">
        <v>5405065</v>
      </c>
      <c r="J268" s="22">
        <v>9737014</v>
      </c>
      <c r="K268" s="22">
        <v>9157582</v>
      </c>
      <c r="L268" s="22">
        <v>100000</v>
      </c>
      <c r="M268" s="22">
        <v>108000</v>
      </c>
      <c r="N268" s="22">
        <v>116800</v>
      </c>
      <c r="O268" s="22">
        <v>124900</v>
      </c>
      <c r="P268" s="22">
        <v>116800</v>
      </c>
      <c r="Q268" s="22">
        <v>124900</v>
      </c>
      <c r="R268" s="22">
        <v>108000</v>
      </c>
      <c r="S268" s="22">
        <v>100000</v>
      </c>
      <c r="T268" s="24">
        <v>23000</v>
      </c>
      <c r="U268" s="22">
        <v>27263</v>
      </c>
      <c r="V268" s="22">
        <v>24963</v>
      </c>
      <c r="W268" s="22">
        <v>22563</v>
      </c>
      <c r="X268" s="22">
        <v>24963</v>
      </c>
      <c r="Y268" s="22">
        <v>22563</v>
      </c>
      <c r="Z268" s="22">
        <v>27263</v>
      </c>
      <c r="AA268" s="22">
        <v>29263</v>
      </c>
      <c r="AB268" s="24">
        <v>105000</v>
      </c>
      <c r="AC268" s="24">
        <v>109000</v>
      </c>
      <c r="AD268" s="24">
        <v>110000</v>
      </c>
      <c r="AE268" s="24">
        <v>113000</v>
      </c>
      <c r="AF268" s="24">
        <v>101500</v>
      </c>
      <c r="AG268" s="24">
        <v>105000</v>
      </c>
      <c r="AH268" s="24">
        <v>108500</v>
      </c>
      <c r="AI268" s="24">
        <v>109000</v>
      </c>
      <c r="AJ268" s="25">
        <v>3.1</v>
      </c>
      <c r="AK268" s="25">
        <v>7.1</v>
      </c>
    </row>
    <row r="269" spans="1:37" x14ac:dyDescent="0.25">
      <c r="A269" t="s">
        <v>480</v>
      </c>
      <c r="B269" t="s">
        <v>61</v>
      </c>
      <c r="C269">
        <v>115204023</v>
      </c>
      <c r="D269" t="str">
        <f t="shared" si="119"/>
        <v>Topal, Furkan-115204023</v>
      </c>
      <c r="E269" s="22">
        <v>7</v>
      </c>
      <c r="F269" s="22">
        <v>2</v>
      </c>
      <c r="G269" s="22">
        <v>10</v>
      </c>
      <c r="H269" s="22">
        <v>2415170</v>
      </c>
      <c r="I269" s="22">
        <v>9857345</v>
      </c>
      <c r="J269" s="22">
        <v>7148191</v>
      </c>
      <c r="K269" s="22">
        <v>1178013</v>
      </c>
      <c r="L269" s="22">
        <v>100000</v>
      </c>
      <c r="M269" s="22">
        <v>109600</v>
      </c>
      <c r="N269" s="22">
        <v>118300</v>
      </c>
      <c r="O269" s="22">
        <v>126400</v>
      </c>
      <c r="P269" s="22">
        <v>109600</v>
      </c>
      <c r="Q269" s="22">
        <v>118300</v>
      </c>
      <c r="R269" s="22">
        <v>100000</v>
      </c>
      <c r="S269" s="22">
        <v>126400</v>
      </c>
      <c r="T269" s="24">
        <v>26000</v>
      </c>
      <c r="U269" s="22">
        <v>27064</v>
      </c>
      <c r="V269" s="22">
        <v>24564</v>
      </c>
      <c r="W269" s="22">
        <v>22164</v>
      </c>
      <c r="X269" s="22">
        <v>27064</v>
      </c>
      <c r="Y269" s="22">
        <v>24564</v>
      </c>
      <c r="Z269" s="22">
        <v>29264</v>
      </c>
      <c r="AA269" s="22">
        <v>22164</v>
      </c>
      <c r="AB269" s="24">
        <v>101000</v>
      </c>
      <c r="AC269" s="24">
        <v>99000</v>
      </c>
      <c r="AD269" s="24">
        <v>99000</v>
      </c>
      <c r="AE269" s="24">
        <v>103000</v>
      </c>
      <c r="AF269" s="24">
        <v>99500</v>
      </c>
      <c r="AG269" s="24">
        <v>95500</v>
      </c>
      <c r="AH269" s="24">
        <v>96500</v>
      </c>
      <c r="AI269" s="24">
        <v>99500</v>
      </c>
      <c r="AJ269" s="25">
        <v>3</v>
      </c>
      <c r="AK269" s="25">
        <v>9.4</v>
      </c>
    </row>
    <row r="270" spans="1:37" x14ac:dyDescent="0.25">
      <c r="A270" t="s">
        <v>481</v>
      </c>
      <c r="B270" t="s">
        <v>63</v>
      </c>
      <c r="C270">
        <v>116201126</v>
      </c>
      <c r="D270" t="str">
        <f t="shared" si="119"/>
        <v>Topaloğlu, İrem-116201126</v>
      </c>
      <c r="E270" s="22">
        <v>6</v>
      </c>
      <c r="F270" s="22">
        <v>2</v>
      </c>
      <c r="G270" s="22">
        <v>10</v>
      </c>
      <c r="H270" s="22">
        <v>7104342</v>
      </c>
      <c r="I270" s="22">
        <v>2156503</v>
      </c>
      <c r="J270" s="22">
        <v>9132204</v>
      </c>
      <c r="K270" s="22">
        <v>5245688</v>
      </c>
      <c r="L270" s="22">
        <v>100000</v>
      </c>
      <c r="M270" s="22">
        <v>108600</v>
      </c>
      <c r="N270" s="22">
        <v>117800</v>
      </c>
      <c r="O270" s="22">
        <v>126300</v>
      </c>
      <c r="P270" s="22">
        <v>117800</v>
      </c>
      <c r="Q270" s="22">
        <v>100000</v>
      </c>
      <c r="R270" s="22">
        <v>126300</v>
      </c>
      <c r="S270" s="22">
        <v>108600</v>
      </c>
      <c r="T270" s="24">
        <v>23000</v>
      </c>
      <c r="U270" s="22">
        <v>27165</v>
      </c>
      <c r="V270" s="22">
        <v>24765</v>
      </c>
      <c r="W270" s="22">
        <v>22565</v>
      </c>
      <c r="X270" s="22">
        <v>24765</v>
      </c>
      <c r="Y270" s="22">
        <v>29265</v>
      </c>
      <c r="Z270" s="22">
        <v>22565</v>
      </c>
      <c r="AA270" s="22">
        <v>27165</v>
      </c>
      <c r="AB270" s="24">
        <v>113000</v>
      </c>
      <c r="AC270" s="24">
        <v>116000</v>
      </c>
      <c r="AD270" s="24">
        <v>120000</v>
      </c>
      <c r="AE270" s="24">
        <v>123000</v>
      </c>
      <c r="AF270" s="24">
        <v>110000</v>
      </c>
      <c r="AG270" s="24">
        <v>113500</v>
      </c>
      <c r="AH270" s="24">
        <v>116000</v>
      </c>
      <c r="AI270" s="24">
        <v>120500</v>
      </c>
      <c r="AJ270" s="25">
        <v>4.2</v>
      </c>
      <c r="AK270" s="25">
        <v>8.1</v>
      </c>
    </row>
    <row r="271" spans="1:37" x14ac:dyDescent="0.25">
      <c r="A271" t="s">
        <v>482</v>
      </c>
      <c r="B271" t="s">
        <v>483</v>
      </c>
      <c r="C271">
        <v>115203045</v>
      </c>
      <c r="D271" t="str">
        <f t="shared" si="119"/>
        <v>Toz, Bersu İrem-115203045</v>
      </c>
      <c r="E271" s="22">
        <v>5</v>
      </c>
      <c r="F271" s="22">
        <v>2</v>
      </c>
      <c r="G271" s="22">
        <v>10</v>
      </c>
      <c r="H271" s="22">
        <v>2447156</v>
      </c>
      <c r="I271" s="22">
        <v>8733614</v>
      </c>
      <c r="J271" s="22">
        <v>9742251</v>
      </c>
      <c r="K271" s="22">
        <v>9066185</v>
      </c>
      <c r="L271" s="22">
        <v>100000</v>
      </c>
      <c r="M271" s="22">
        <v>109000</v>
      </c>
      <c r="N271" s="22">
        <v>117700</v>
      </c>
      <c r="O271" s="22">
        <v>127100</v>
      </c>
      <c r="P271" s="22">
        <v>117700</v>
      </c>
      <c r="Q271" s="22">
        <v>127100</v>
      </c>
      <c r="R271" s="22">
        <v>109000</v>
      </c>
      <c r="S271" s="22">
        <v>100000</v>
      </c>
      <c r="T271" s="24">
        <v>24000</v>
      </c>
      <c r="U271" s="22">
        <v>26966</v>
      </c>
      <c r="V271" s="22">
        <v>24566</v>
      </c>
      <c r="W271" s="22">
        <v>22066</v>
      </c>
      <c r="X271" s="22">
        <v>24566</v>
      </c>
      <c r="Y271" s="22">
        <v>22066</v>
      </c>
      <c r="Z271" s="22">
        <v>26966</v>
      </c>
      <c r="AA271" s="22">
        <v>29266</v>
      </c>
      <c r="AB271" s="24">
        <v>117000</v>
      </c>
      <c r="AC271" s="24">
        <v>120000</v>
      </c>
      <c r="AD271" s="24">
        <v>120000</v>
      </c>
      <c r="AE271" s="24">
        <v>123000</v>
      </c>
      <c r="AF271" s="24">
        <v>114000</v>
      </c>
      <c r="AG271" s="24">
        <v>116000</v>
      </c>
      <c r="AH271" s="24">
        <v>117500</v>
      </c>
      <c r="AI271" s="24">
        <v>121500</v>
      </c>
      <c r="AJ271" s="25">
        <v>3.3</v>
      </c>
      <c r="AK271" s="25">
        <v>8.8000000000000007</v>
      </c>
    </row>
    <row r="272" spans="1:37" x14ac:dyDescent="0.25">
      <c r="A272" t="s">
        <v>484</v>
      </c>
      <c r="B272" t="s">
        <v>219</v>
      </c>
      <c r="C272">
        <v>113205023</v>
      </c>
      <c r="D272" t="str">
        <f t="shared" si="119"/>
        <v>Turan, Can-113205023</v>
      </c>
      <c r="E272" s="22">
        <v>6</v>
      </c>
      <c r="F272" s="22">
        <v>1</v>
      </c>
      <c r="G272" s="22">
        <v>8</v>
      </c>
      <c r="H272" s="22">
        <v>2379868</v>
      </c>
      <c r="I272" s="22">
        <v>1695242</v>
      </c>
      <c r="J272" s="22">
        <v>1798691</v>
      </c>
      <c r="K272" s="22">
        <v>3831695</v>
      </c>
      <c r="L272" s="22">
        <v>100000</v>
      </c>
      <c r="M272" s="22">
        <v>108200</v>
      </c>
      <c r="N272" s="22">
        <v>117400</v>
      </c>
      <c r="O272" s="22">
        <v>126300</v>
      </c>
      <c r="P272" s="22">
        <v>126300</v>
      </c>
      <c r="Q272" s="22">
        <v>100000</v>
      </c>
      <c r="R272" s="22">
        <v>117400</v>
      </c>
      <c r="S272" s="22">
        <v>108200</v>
      </c>
      <c r="T272" s="24">
        <v>29000</v>
      </c>
      <c r="U272" s="22">
        <v>26867</v>
      </c>
      <c r="V272" s="22">
        <v>24367</v>
      </c>
      <c r="W272" s="22">
        <v>22367</v>
      </c>
      <c r="X272" s="22">
        <v>22367</v>
      </c>
      <c r="Y272" s="22">
        <v>29267</v>
      </c>
      <c r="Z272" s="22">
        <v>24367</v>
      </c>
      <c r="AA272" s="22">
        <v>26867</v>
      </c>
      <c r="AB272" s="24">
        <v>94000</v>
      </c>
      <c r="AC272" s="24">
        <v>92000</v>
      </c>
      <c r="AD272" s="24">
        <v>96000</v>
      </c>
      <c r="AE272" s="24">
        <v>97000</v>
      </c>
      <c r="AF272" s="24">
        <v>92500</v>
      </c>
      <c r="AG272" s="24">
        <v>89500</v>
      </c>
      <c r="AH272" s="24">
        <v>92000</v>
      </c>
      <c r="AI272" s="24">
        <v>94000</v>
      </c>
      <c r="AJ272" s="25">
        <v>3.9</v>
      </c>
      <c r="AK272" s="25">
        <v>8.1</v>
      </c>
    </row>
    <row r="273" spans="1:37" x14ac:dyDescent="0.25">
      <c r="A273" t="s">
        <v>484</v>
      </c>
      <c r="B273" t="s">
        <v>485</v>
      </c>
      <c r="C273">
        <v>113204025</v>
      </c>
      <c r="D273" t="str">
        <f t="shared" si="119"/>
        <v>Turan, Yekcan-113204025</v>
      </c>
      <c r="E273" s="22">
        <v>5</v>
      </c>
      <c r="F273" s="22">
        <v>1</v>
      </c>
      <c r="G273" s="22">
        <v>8</v>
      </c>
      <c r="H273" s="22">
        <v>7010670</v>
      </c>
      <c r="I273" s="22">
        <v>5317028</v>
      </c>
      <c r="J273" s="22">
        <v>9261834</v>
      </c>
      <c r="K273" s="22">
        <v>4270732</v>
      </c>
      <c r="L273" s="22">
        <v>100000</v>
      </c>
      <c r="M273" s="22">
        <v>108900</v>
      </c>
      <c r="N273" s="22">
        <v>118200</v>
      </c>
      <c r="O273" s="22">
        <v>127500</v>
      </c>
      <c r="P273" s="22">
        <v>118200</v>
      </c>
      <c r="Q273" s="22">
        <v>100000</v>
      </c>
      <c r="R273" s="22">
        <v>108900</v>
      </c>
      <c r="S273" s="22">
        <v>127500</v>
      </c>
      <c r="T273" s="24">
        <v>28000</v>
      </c>
      <c r="U273" s="22">
        <v>27068</v>
      </c>
      <c r="V273" s="22">
        <v>24768</v>
      </c>
      <c r="W273" s="22">
        <v>22568</v>
      </c>
      <c r="X273" s="22">
        <v>24768</v>
      </c>
      <c r="Y273" s="22">
        <v>29268</v>
      </c>
      <c r="Z273" s="22">
        <v>27068</v>
      </c>
      <c r="AA273" s="22">
        <v>22568</v>
      </c>
      <c r="AB273" s="24">
        <v>93000</v>
      </c>
      <c r="AC273" s="24">
        <v>94000</v>
      </c>
      <c r="AD273" s="24">
        <v>95000</v>
      </c>
      <c r="AE273" s="24">
        <v>94000</v>
      </c>
      <c r="AF273" s="24">
        <v>89000</v>
      </c>
      <c r="AG273" s="24">
        <v>90000</v>
      </c>
      <c r="AH273" s="24">
        <v>93000</v>
      </c>
      <c r="AI273" s="24">
        <v>92500</v>
      </c>
      <c r="AJ273" s="25">
        <v>4.0999999999999996</v>
      </c>
      <c r="AK273" s="25">
        <v>9.1999999999999993</v>
      </c>
    </row>
    <row r="274" spans="1:37" x14ac:dyDescent="0.25">
      <c r="A274" t="s">
        <v>486</v>
      </c>
      <c r="B274" t="s">
        <v>487</v>
      </c>
      <c r="C274">
        <v>116204070</v>
      </c>
      <c r="D274" t="str">
        <f t="shared" si="119"/>
        <v>Türkay, Şehadet-116204070</v>
      </c>
      <c r="E274" s="22">
        <v>5</v>
      </c>
      <c r="F274" s="22">
        <v>2</v>
      </c>
      <c r="G274" s="22">
        <v>10</v>
      </c>
      <c r="H274" s="22">
        <v>7402829</v>
      </c>
      <c r="I274" s="22">
        <v>9085547</v>
      </c>
      <c r="J274" s="22">
        <v>9863115</v>
      </c>
      <c r="K274" s="22">
        <v>4741318</v>
      </c>
      <c r="L274" s="22">
        <v>100000</v>
      </c>
      <c r="M274" s="22">
        <v>108900</v>
      </c>
      <c r="N274" s="22">
        <v>117500</v>
      </c>
      <c r="O274" s="22">
        <v>126200</v>
      </c>
      <c r="P274" s="22">
        <v>117500</v>
      </c>
      <c r="Q274" s="22">
        <v>108900</v>
      </c>
      <c r="R274" s="22">
        <v>100000</v>
      </c>
      <c r="S274" s="22">
        <v>126200</v>
      </c>
      <c r="T274" s="24">
        <v>26000</v>
      </c>
      <c r="U274" s="22">
        <v>27069</v>
      </c>
      <c r="V274" s="22">
        <v>24769</v>
      </c>
      <c r="W274" s="22">
        <v>22469</v>
      </c>
      <c r="X274" s="22">
        <v>24769</v>
      </c>
      <c r="Y274" s="22">
        <v>27069</v>
      </c>
      <c r="Z274" s="22">
        <v>29269</v>
      </c>
      <c r="AA274" s="22">
        <v>22469</v>
      </c>
      <c r="AB274" s="24">
        <v>115000</v>
      </c>
      <c r="AC274" s="24">
        <v>119000</v>
      </c>
      <c r="AD274" s="24">
        <v>117000</v>
      </c>
      <c r="AE274" s="24">
        <v>116000</v>
      </c>
      <c r="AF274" s="24">
        <v>112000</v>
      </c>
      <c r="AG274" s="24">
        <v>115000</v>
      </c>
      <c r="AH274" s="24">
        <v>115500</v>
      </c>
      <c r="AI274" s="24">
        <v>112000</v>
      </c>
      <c r="AJ274" s="25">
        <v>3</v>
      </c>
      <c r="AK274" s="25">
        <v>6.9</v>
      </c>
    </row>
    <row r="275" spans="1:37" x14ac:dyDescent="0.25">
      <c r="A275" t="s">
        <v>488</v>
      </c>
      <c r="B275" t="s">
        <v>489</v>
      </c>
      <c r="C275">
        <v>113200061</v>
      </c>
      <c r="D275" t="str">
        <f t="shared" si="119"/>
        <v>Türkeli, Anıl Emek-113200061</v>
      </c>
      <c r="E275" s="22">
        <v>4</v>
      </c>
      <c r="F275" s="22">
        <v>3</v>
      </c>
      <c r="G275" s="22">
        <v>15</v>
      </c>
      <c r="H275" s="22">
        <v>8021358</v>
      </c>
      <c r="I275" s="22">
        <v>7394718</v>
      </c>
      <c r="J275" s="22">
        <v>2653715</v>
      </c>
      <c r="K275" s="22">
        <v>7458563</v>
      </c>
      <c r="L275" s="22">
        <v>100000</v>
      </c>
      <c r="M275" s="22">
        <v>109100</v>
      </c>
      <c r="N275" s="22">
        <v>117800</v>
      </c>
      <c r="O275" s="22">
        <v>127200</v>
      </c>
      <c r="P275" s="22">
        <v>100000</v>
      </c>
      <c r="Q275" s="22">
        <v>127200</v>
      </c>
      <c r="R275" s="22">
        <v>109100</v>
      </c>
      <c r="S275" s="22">
        <v>117800</v>
      </c>
      <c r="T275" s="24">
        <v>26000</v>
      </c>
      <c r="U275" s="22">
        <v>27070</v>
      </c>
      <c r="V275" s="22">
        <v>25070</v>
      </c>
      <c r="W275" s="22">
        <v>22670</v>
      </c>
      <c r="X275" s="22">
        <v>29270</v>
      </c>
      <c r="Y275" s="22">
        <v>22670</v>
      </c>
      <c r="Z275" s="22">
        <v>27070</v>
      </c>
      <c r="AA275" s="22">
        <v>25070</v>
      </c>
      <c r="AB275" s="24">
        <v>95000</v>
      </c>
      <c r="AC275" s="24">
        <v>98000</v>
      </c>
      <c r="AD275" s="24">
        <v>96000</v>
      </c>
      <c r="AE275" s="24">
        <v>97000</v>
      </c>
      <c r="AF275" s="24">
        <v>91000</v>
      </c>
      <c r="AG275" s="24">
        <v>95000</v>
      </c>
      <c r="AH275" s="24">
        <v>92000</v>
      </c>
      <c r="AI275" s="24">
        <v>95500</v>
      </c>
      <c r="AJ275" s="25">
        <v>3.3</v>
      </c>
      <c r="AK275" s="25">
        <v>6.6</v>
      </c>
    </row>
    <row r="276" spans="1:37" x14ac:dyDescent="0.25">
      <c r="A276" t="s">
        <v>490</v>
      </c>
      <c r="B276" t="s">
        <v>491</v>
      </c>
      <c r="C276">
        <v>116204062</v>
      </c>
      <c r="D276" t="str">
        <f t="shared" si="119"/>
        <v>Türker, Sabedin Berat-116204062</v>
      </c>
      <c r="E276" s="22">
        <v>4</v>
      </c>
      <c r="F276" s="22">
        <v>1</v>
      </c>
      <c r="G276" s="22">
        <v>8</v>
      </c>
      <c r="H276" s="22">
        <v>7747107</v>
      </c>
      <c r="I276" s="22">
        <v>6462986</v>
      </c>
      <c r="J276" s="22">
        <v>4972284</v>
      </c>
      <c r="K276" s="22">
        <v>8314338</v>
      </c>
      <c r="L276" s="22">
        <v>100000</v>
      </c>
      <c r="M276" s="22">
        <v>108700</v>
      </c>
      <c r="N276" s="22">
        <v>116800</v>
      </c>
      <c r="O276" s="22">
        <v>126200</v>
      </c>
      <c r="P276" s="22">
        <v>126200</v>
      </c>
      <c r="Q276" s="22">
        <v>100000</v>
      </c>
      <c r="R276" s="22">
        <v>108700</v>
      </c>
      <c r="S276" s="22">
        <v>116800</v>
      </c>
      <c r="T276" s="24">
        <v>25000</v>
      </c>
      <c r="U276" s="22">
        <v>27271</v>
      </c>
      <c r="V276" s="22">
        <v>25171</v>
      </c>
      <c r="W276" s="22">
        <v>22871</v>
      </c>
      <c r="X276" s="22">
        <v>22871</v>
      </c>
      <c r="Y276" s="22">
        <v>29271</v>
      </c>
      <c r="Z276" s="22">
        <v>27271</v>
      </c>
      <c r="AA276" s="22">
        <v>25171</v>
      </c>
      <c r="AB276" s="24">
        <v>111000</v>
      </c>
      <c r="AC276" s="24">
        <v>108000</v>
      </c>
      <c r="AD276" s="24">
        <v>111000</v>
      </c>
      <c r="AE276" s="24">
        <v>108000</v>
      </c>
      <c r="AF276" s="24">
        <v>107500</v>
      </c>
      <c r="AG276" s="24">
        <v>104500</v>
      </c>
      <c r="AH276" s="24">
        <v>108500</v>
      </c>
      <c r="AI276" s="24">
        <v>104500</v>
      </c>
      <c r="AJ276" s="25">
        <v>3.9</v>
      </c>
      <c r="AK276" s="25">
        <v>8.1999999999999993</v>
      </c>
    </row>
    <row r="277" spans="1:37" x14ac:dyDescent="0.25">
      <c r="A277" t="s">
        <v>492</v>
      </c>
      <c r="B277" t="s">
        <v>329</v>
      </c>
      <c r="C277">
        <v>115202078</v>
      </c>
      <c r="D277" t="str">
        <f t="shared" si="119"/>
        <v>Uçar, Büşra-115202078</v>
      </c>
      <c r="E277" s="22">
        <v>5</v>
      </c>
      <c r="F277" s="22">
        <v>2</v>
      </c>
      <c r="G277" s="22">
        <v>10</v>
      </c>
      <c r="H277" s="22">
        <v>3492671</v>
      </c>
      <c r="I277" s="22">
        <v>601700</v>
      </c>
      <c r="J277" s="22">
        <v>8258647</v>
      </c>
      <c r="K277" s="22">
        <v>4211446</v>
      </c>
      <c r="L277" s="22">
        <v>100000</v>
      </c>
      <c r="M277" s="22">
        <v>108600</v>
      </c>
      <c r="N277" s="22">
        <v>118300</v>
      </c>
      <c r="O277" s="22">
        <v>127800</v>
      </c>
      <c r="P277" s="22">
        <v>118300</v>
      </c>
      <c r="Q277" s="22">
        <v>127800</v>
      </c>
      <c r="R277" s="22">
        <v>100000</v>
      </c>
      <c r="S277" s="22">
        <v>108600</v>
      </c>
      <c r="T277" s="24">
        <v>25000</v>
      </c>
      <c r="U277" s="22">
        <v>27272</v>
      </c>
      <c r="V277" s="22">
        <v>25272</v>
      </c>
      <c r="W277" s="22">
        <v>22772</v>
      </c>
      <c r="X277" s="22">
        <v>25272</v>
      </c>
      <c r="Y277" s="22">
        <v>22772</v>
      </c>
      <c r="Z277" s="22">
        <v>29272</v>
      </c>
      <c r="AA277" s="22">
        <v>27272</v>
      </c>
      <c r="AB277" s="24">
        <v>115000</v>
      </c>
      <c r="AC277" s="24">
        <v>117000</v>
      </c>
      <c r="AD277" s="24">
        <v>120000</v>
      </c>
      <c r="AE277" s="24">
        <v>121000</v>
      </c>
      <c r="AF277" s="24">
        <v>112000</v>
      </c>
      <c r="AG277" s="24">
        <v>113000</v>
      </c>
      <c r="AH277" s="24">
        <v>118000</v>
      </c>
      <c r="AI277" s="24">
        <v>119000</v>
      </c>
      <c r="AJ277" s="25">
        <v>4.9000000000000004</v>
      </c>
      <c r="AK277" s="25">
        <v>7.6</v>
      </c>
    </row>
    <row r="278" spans="1:37" x14ac:dyDescent="0.25">
      <c r="A278" t="s">
        <v>493</v>
      </c>
      <c r="B278" t="s">
        <v>388</v>
      </c>
      <c r="C278">
        <v>115205023</v>
      </c>
      <c r="D278" t="str">
        <f t="shared" si="119"/>
        <v>Uçarer, Anıl-115205023</v>
      </c>
      <c r="E278" s="22">
        <v>6</v>
      </c>
      <c r="F278" s="22">
        <v>1</v>
      </c>
      <c r="G278" s="22">
        <v>8</v>
      </c>
      <c r="H278" s="22">
        <v>5891380</v>
      </c>
      <c r="I278" s="22">
        <v>1028497</v>
      </c>
      <c r="J278" s="22">
        <v>8771966</v>
      </c>
      <c r="K278" s="22">
        <v>5569707</v>
      </c>
      <c r="L278" s="22">
        <v>100000</v>
      </c>
      <c r="M278" s="22">
        <v>109000</v>
      </c>
      <c r="N278" s="22">
        <v>117600</v>
      </c>
      <c r="O278" s="22">
        <v>127100</v>
      </c>
      <c r="P278" s="22">
        <v>117600</v>
      </c>
      <c r="Q278" s="22">
        <v>100000</v>
      </c>
      <c r="R278" s="22">
        <v>127100</v>
      </c>
      <c r="S278" s="22">
        <v>109000</v>
      </c>
      <c r="T278" s="24">
        <v>29000</v>
      </c>
      <c r="U278" s="22">
        <v>26773</v>
      </c>
      <c r="V278" s="22">
        <v>24573</v>
      </c>
      <c r="W278" s="22">
        <v>22373</v>
      </c>
      <c r="X278" s="22">
        <v>24573</v>
      </c>
      <c r="Y278" s="22">
        <v>29273</v>
      </c>
      <c r="Z278" s="22">
        <v>22373</v>
      </c>
      <c r="AA278" s="22">
        <v>26773</v>
      </c>
      <c r="AB278" s="24">
        <v>119000</v>
      </c>
      <c r="AC278" s="24">
        <v>116000</v>
      </c>
      <c r="AD278" s="24">
        <v>120000</v>
      </c>
      <c r="AE278" s="24">
        <v>123000</v>
      </c>
      <c r="AF278" s="24">
        <v>115500</v>
      </c>
      <c r="AG278" s="24">
        <v>114500</v>
      </c>
      <c r="AH278" s="24">
        <v>116000</v>
      </c>
      <c r="AI278" s="24">
        <v>120000</v>
      </c>
      <c r="AJ278" s="25">
        <v>3.5</v>
      </c>
      <c r="AK278" s="25">
        <v>7.6</v>
      </c>
    </row>
    <row r="279" spans="1:37" x14ac:dyDescent="0.25">
      <c r="A279" t="s">
        <v>494</v>
      </c>
      <c r="B279" t="s">
        <v>495</v>
      </c>
      <c r="C279">
        <v>112200054</v>
      </c>
      <c r="D279" t="str">
        <f t="shared" si="119"/>
        <v>Uğurlu, Özden Kübra-112200054</v>
      </c>
      <c r="E279" s="22">
        <v>4</v>
      </c>
      <c r="F279" s="22">
        <v>1</v>
      </c>
      <c r="G279" s="22">
        <v>8</v>
      </c>
      <c r="H279" s="22">
        <v>4162742</v>
      </c>
      <c r="I279" s="22">
        <v>3049359</v>
      </c>
      <c r="J279" s="22">
        <v>6454383</v>
      </c>
      <c r="K279" s="22">
        <v>8856900</v>
      </c>
      <c r="L279" s="22">
        <v>100000</v>
      </c>
      <c r="M279" s="22">
        <v>108600</v>
      </c>
      <c r="N279" s="22">
        <v>118200</v>
      </c>
      <c r="O279" s="22">
        <v>128200</v>
      </c>
      <c r="P279" s="22">
        <v>128200</v>
      </c>
      <c r="Q279" s="22">
        <v>118200</v>
      </c>
      <c r="R279" s="22">
        <v>100000</v>
      </c>
      <c r="S279" s="22">
        <v>108600</v>
      </c>
      <c r="T279" s="24">
        <v>26000</v>
      </c>
      <c r="U279" s="22">
        <v>26774</v>
      </c>
      <c r="V279" s="22">
        <v>24374</v>
      </c>
      <c r="W279" s="22">
        <v>22374</v>
      </c>
      <c r="X279" s="22">
        <v>22374</v>
      </c>
      <c r="Y279" s="22">
        <v>24374</v>
      </c>
      <c r="Z279" s="22">
        <v>29274</v>
      </c>
      <c r="AA279" s="22">
        <v>26774</v>
      </c>
      <c r="AB279" s="24">
        <v>106000</v>
      </c>
      <c r="AC279" s="24">
        <v>105000</v>
      </c>
      <c r="AD279" s="24">
        <v>107000</v>
      </c>
      <c r="AE279" s="24">
        <v>110000</v>
      </c>
      <c r="AF279" s="24">
        <v>103500</v>
      </c>
      <c r="AG279" s="24">
        <v>103500</v>
      </c>
      <c r="AH279" s="24">
        <v>104500</v>
      </c>
      <c r="AI279" s="24">
        <v>108500</v>
      </c>
      <c r="AJ279" s="25">
        <v>4.0999999999999996</v>
      </c>
      <c r="AK279" s="25">
        <v>9.3000000000000007</v>
      </c>
    </row>
    <row r="280" spans="1:37" x14ac:dyDescent="0.25">
      <c r="A280" t="s">
        <v>494</v>
      </c>
      <c r="B280" t="s">
        <v>444</v>
      </c>
      <c r="C280">
        <v>115205109</v>
      </c>
      <c r="D280" t="str">
        <f t="shared" si="119"/>
        <v>Uğurlu, Sedat-115205109</v>
      </c>
      <c r="E280" s="22">
        <v>6</v>
      </c>
      <c r="F280" s="22">
        <v>3</v>
      </c>
      <c r="G280" s="22">
        <v>15</v>
      </c>
      <c r="H280" s="22">
        <v>18767</v>
      </c>
      <c r="I280" s="22">
        <v>3830608</v>
      </c>
      <c r="J280" s="22">
        <v>7470419</v>
      </c>
      <c r="K280" s="22">
        <v>8144391</v>
      </c>
      <c r="L280" s="22">
        <v>100000</v>
      </c>
      <c r="M280" s="22">
        <v>108700</v>
      </c>
      <c r="N280" s="22">
        <v>118300</v>
      </c>
      <c r="O280" s="22">
        <v>126400</v>
      </c>
      <c r="P280" s="22">
        <v>126400</v>
      </c>
      <c r="Q280" s="22">
        <v>118300</v>
      </c>
      <c r="R280" s="22">
        <v>108700</v>
      </c>
      <c r="S280" s="22">
        <v>100000</v>
      </c>
      <c r="T280" s="24">
        <v>25000</v>
      </c>
      <c r="U280" s="22">
        <v>26875</v>
      </c>
      <c r="V280" s="22">
        <v>24575</v>
      </c>
      <c r="W280" s="22">
        <v>22275</v>
      </c>
      <c r="X280" s="22">
        <v>22275</v>
      </c>
      <c r="Y280" s="22">
        <v>24575</v>
      </c>
      <c r="Z280" s="22">
        <v>26875</v>
      </c>
      <c r="AA280" s="22">
        <v>29275</v>
      </c>
      <c r="AB280" s="24">
        <v>110000</v>
      </c>
      <c r="AC280" s="24">
        <v>111000</v>
      </c>
      <c r="AD280" s="24">
        <v>109000</v>
      </c>
      <c r="AE280" s="24">
        <v>111000</v>
      </c>
      <c r="AF280" s="24">
        <v>108500</v>
      </c>
      <c r="AG280" s="24">
        <v>107000</v>
      </c>
      <c r="AH280" s="24">
        <v>107000</v>
      </c>
      <c r="AI280" s="24">
        <v>107500</v>
      </c>
      <c r="AJ280" s="25">
        <v>2.8</v>
      </c>
      <c r="AK280" s="25">
        <v>7.1</v>
      </c>
    </row>
    <row r="281" spans="1:37" x14ac:dyDescent="0.25">
      <c r="A281" t="s">
        <v>494</v>
      </c>
      <c r="B281" t="s">
        <v>423</v>
      </c>
      <c r="C281">
        <v>115200110</v>
      </c>
      <c r="D281" t="str">
        <f t="shared" si="119"/>
        <v>Uğurlu, Yağız-115200110</v>
      </c>
      <c r="E281" s="22">
        <v>4</v>
      </c>
      <c r="F281" s="22">
        <v>3</v>
      </c>
      <c r="G281" s="22">
        <v>15</v>
      </c>
      <c r="H281" s="22">
        <v>8293001</v>
      </c>
      <c r="I281" s="22">
        <v>3574444</v>
      </c>
      <c r="J281" s="22">
        <v>8766110</v>
      </c>
      <c r="K281" s="22">
        <v>2596206</v>
      </c>
      <c r="L281" s="22">
        <v>100000</v>
      </c>
      <c r="M281" s="22">
        <v>108800</v>
      </c>
      <c r="N281" s="22">
        <v>118800</v>
      </c>
      <c r="O281" s="22">
        <v>126800</v>
      </c>
      <c r="P281" s="22">
        <v>118800</v>
      </c>
      <c r="Q281" s="22">
        <v>100000</v>
      </c>
      <c r="R281" s="22">
        <v>108800</v>
      </c>
      <c r="S281" s="22">
        <v>126800</v>
      </c>
      <c r="T281" s="24">
        <v>26000</v>
      </c>
      <c r="U281" s="22">
        <v>26976</v>
      </c>
      <c r="V281" s="22">
        <v>24776</v>
      </c>
      <c r="W281" s="22">
        <v>22276</v>
      </c>
      <c r="X281" s="22">
        <v>24776</v>
      </c>
      <c r="Y281" s="22">
        <v>29276</v>
      </c>
      <c r="Z281" s="22">
        <v>26976</v>
      </c>
      <c r="AA281" s="22">
        <v>22276</v>
      </c>
      <c r="AB281" s="24">
        <v>99000</v>
      </c>
      <c r="AC281" s="24">
        <v>101000</v>
      </c>
      <c r="AD281" s="24">
        <v>103000</v>
      </c>
      <c r="AE281" s="24">
        <v>101000</v>
      </c>
      <c r="AF281" s="24">
        <v>96500</v>
      </c>
      <c r="AG281" s="24">
        <v>99500</v>
      </c>
      <c r="AH281" s="24">
        <v>101000</v>
      </c>
      <c r="AI281" s="24">
        <v>99000</v>
      </c>
      <c r="AJ281" s="25">
        <v>4.4000000000000004</v>
      </c>
      <c r="AK281" s="25">
        <v>7.2</v>
      </c>
    </row>
    <row r="282" spans="1:37" x14ac:dyDescent="0.25">
      <c r="A282" t="s">
        <v>496</v>
      </c>
      <c r="B282" t="s">
        <v>61</v>
      </c>
      <c r="C282">
        <v>114205062</v>
      </c>
      <c r="D282" t="str">
        <f t="shared" si="119"/>
        <v>Ulu, Furkan-114205062</v>
      </c>
      <c r="E282" s="22">
        <v>4</v>
      </c>
      <c r="F282" s="22">
        <v>3</v>
      </c>
      <c r="G282" s="22">
        <v>15</v>
      </c>
      <c r="H282" s="22">
        <v>5594911</v>
      </c>
      <c r="I282" s="22">
        <v>5227785</v>
      </c>
      <c r="J282" s="22">
        <v>2245193</v>
      </c>
      <c r="K282" s="22">
        <v>3988762</v>
      </c>
      <c r="L282" s="22">
        <v>100000</v>
      </c>
      <c r="M282" s="22">
        <v>108700</v>
      </c>
      <c r="N282" s="22">
        <v>117900</v>
      </c>
      <c r="O282" s="22">
        <v>127000</v>
      </c>
      <c r="P282" s="22">
        <v>100000</v>
      </c>
      <c r="Q282" s="22">
        <v>108700</v>
      </c>
      <c r="R282" s="22">
        <v>127000</v>
      </c>
      <c r="S282" s="22">
        <v>117900</v>
      </c>
      <c r="T282" s="24">
        <v>29000</v>
      </c>
      <c r="U282" s="22">
        <v>27277</v>
      </c>
      <c r="V282" s="22">
        <v>25277</v>
      </c>
      <c r="W282" s="22">
        <v>22977</v>
      </c>
      <c r="X282" s="22">
        <v>29277</v>
      </c>
      <c r="Y282" s="22">
        <v>27277</v>
      </c>
      <c r="Z282" s="22">
        <v>22977</v>
      </c>
      <c r="AA282" s="22">
        <v>25277</v>
      </c>
      <c r="AB282" s="24">
        <v>106000</v>
      </c>
      <c r="AC282" s="24">
        <v>110000</v>
      </c>
      <c r="AD282" s="24">
        <v>107000</v>
      </c>
      <c r="AE282" s="24">
        <v>109000</v>
      </c>
      <c r="AF282" s="24">
        <v>102500</v>
      </c>
      <c r="AG282" s="24">
        <v>107500</v>
      </c>
      <c r="AH282" s="24">
        <v>104000</v>
      </c>
      <c r="AI282" s="24">
        <v>107000</v>
      </c>
      <c r="AJ282" s="25">
        <v>4.7</v>
      </c>
      <c r="AK282" s="25">
        <v>8.3000000000000007</v>
      </c>
    </row>
    <row r="283" spans="1:37" x14ac:dyDescent="0.25">
      <c r="A283" t="s">
        <v>497</v>
      </c>
      <c r="B283" t="s">
        <v>498</v>
      </c>
      <c r="C283">
        <v>115203066</v>
      </c>
      <c r="D283" t="str">
        <f t="shared" si="119"/>
        <v>Uluhansın, Orkun-115203066</v>
      </c>
      <c r="E283" s="22">
        <v>7</v>
      </c>
      <c r="F283" s="22">
        <v>1</v>
      </c>
      <c r="G283" s="22">
        <v>8</v>
      </c>
      <c r="H283" s="22">
        <v>6285996</v>
      </c>
      <c r="I283" s="22">
        <v>3136474</v>
      </c>
      <c r="J283" s="22">
        <v>1783463</v>
      </c>
      <c r="K283" s="22">
        <v>2282037</v>
      </c>
      <c r="L283" s="22">
        <v>100000</v>
      </c>
      <c r="M283" s="22">
        <v>110000</v>
      </c>
      <c r="N283" s="22">
        <v>119700</v>
      </c>
      <c r="O283" s="22">
        <v>129500</v>
      </c>
      <c r="P283" s="22">
        <v>100000</v>
      </c>
      <c r="Q283" s="22">
        <v>110000</v>
      </c>
      <c r="R283" s="22">
        <v>129500</v>
      </c>
      <c r="S283" s="22">
        <v>119700</v>
      </c>
      <c r="T283" s="24">
        <v>28000</v>
      </c>
      <c r="U283" s="22">
        <v>26778</v>
      </c>
      <c r="V283" s="22">
        <v>24478</v>
      </c>
      <c r="W283" s="22">
        <v>21978</v>
      </c>
      <c r="X283" s="22">
        <v>29278</v>
      </c>
      <c r="Y283" s="22">
        <v>26778</v>
      </c>
      <c r="Z283" s="22">
        <v>21978</v>
      </c>
      <c r="AA283" s="22">
        <v>24478</v>
      </c>
      <c r="AB283" s="24">
        <v>101000</v>
      </c>
      <c r="AC283" s="24">
        <v>102000</v>
      </c>
      <c r="AD283" s="24">
        <v>106000</v>
      </c>
      <c r="AE283" s="24">
        <v>105000</v>
      </c>
      <c r="AF283" s="24">
        <v>98500</v>
      </c>
      <c r="AG283" s="24">
        <v>99500</v>
      </c>
      <c r="AH283" s="24">
        <v>104000</v>
      </c>
      <c r="AI283" s="24">
        <v>103500</v>
      </c>
      <c r="AJ283" s="25">
        <v>2.6</v>
      </c>
      <c r="AK283" s="25">
        <v>7.6</v>
      </c>
    </row>
    <row r="284" spans="1:37" x14ac:dyDescent="0.25">
      <c r="A284" t="s">
        <v>499</v>
      </c>
      <c r="B284" t="s">
        <v>500</v>
      </c>
      <c r="C284">
        <v>114205017</v>
      </c>
      <c r="D284" t="str">
        <f t="shared" si="119"/>
        <v>Ulusoy, Eylül-114205017</v>
      </c>
      <c r="E284" s="22">
        <v>4</v>
      </c>
      <c r="F284" s="22">
        <v>1</v>
      </c>
      <c r="G284" s="22">
        <v>8</v>
      </c>
      <c r="H284" s="22">
        <v>7930424</v>
      </c>
      <c r="I284" s="22">
        <v>5692746</v>
      </c>
      <c r="J284" s="22">
        <v>2333723</v>
      </c>
      <c r="K284" s="22">
        <v>2385164</v>
      </c>
      <c r="L284" s="22">
        <v>100000</v>
      </c>
      <c r="M284" s="22">
        <v>109100</v>
      </c>
      <c r="N284" s="22">
        <v>117900</v>
      </c>
      <c r="O284" s="22">
        <v>127700</v>
      </c>
      <c r="P284" s="22">
        <v>100000</v>
      </c>
      <c r="Q284" s="22">
        <v>109100</v>
      </c>
      <c r="R284" s="22">
        <v>127700</v>
      </c>
      <c r="S284" s="22">
        <v>117900</v>
      </c>
      <c r="T284" s="24">
        <v>25000</v>
      </c>
      <c r="U284" s="22">
        <v>27179</v>
      </c>
      <c r="V284" s="22">
        <v>24879</v>
      </c>
      <c r="W284" s="22">
        <v>22779</v>
      </c>
      <c r="X284" s="22">
        <v>29279</v>
      </c>
      <c r="Y284" s="22">
        <v>27179</v>
      </c>
      <c r="Z284" s="22">
        <v>22779</v>
      </c>
      <c r="AA284" s="22">
        <v>24879</v>
      </c>
      <c r="AB284" s="24">
        <v>115000</v>
      </c>
      <c r="AC284" s="24">
        <v>112000</v>
      </c>
      <c r="AD284" s="24">
        <v>109000</v>
      </c>
      <c r="AE284" s="24">
        <v>110000</v>
      </c>
      <c r="AF284" s="24">
        <v>111500</v>
      </c>
      <c r="AG284" s="24">
        <v>108000</v>
      </c>
      <c r="AH284" s="24">
        <v>106000</v>
      </c>
      <c r="AI284" s="24">
        <v>108000</v>
      </c>
      <c r="AJ284" s="25">
        <v>4.9000000000000004</v>
      </c>
      <c r="AK284" s="25">
        <v>8.9</v>
      </c>
    </row>
    <row r="285" spans="1:37" x14ac:dyDescent="0.25">
      <c r="A285" t="s">
        <v>501</v>
      </c>
      <c r="B285" t="s">
        <v>502</v>
      </c>
      <c r="C285">
        <v>114203052</v>
      </c>
      <c r="D285" t="str">
        <f t="shared" si="119"/>
        <v>Ünal, Canberk-114203052</v>
      </c>
      <c r="E285" s="22">
        <v>7</v>
      </c>
      <c r="F285" s="22">
        <v>2</v>
      </c>
      <c r="G285" s="22">
        <v>10</v>
      </c>
      <c r="H285" s="22">
        <v>7203970</v>
      </c>
      <c r="I285" s="22">
        <v>3253982</v>
      </c>
      <c r="J285" s="22">
        <v>6957764</v>
      </c>
      <c r="K285" s="22">
        <v>969457</v>
      </c>
      <c r="L285" s="22">
        <v>100000</v>
      </c>
      <c r="M285" s="22">
        <v>108700</v>
      </c>
      <c r="N285" s="22">
        <v>118200</v>
      </c>
      <c r="O285" s="22">
        <v>127200</v>
      </c>
      <c r="P285" s="22">
        <v>100000</v>
      </c>
      <c r="Q285" s="22">
        <v>118200</v>
      </c>
      <c r="R285" s="22">
        <v>108700</v>
      </c>
      <c r="S285" s="22">
        <v>127200</v>
      </c>
      <c r="T285" s="24">
        <v>24000</v>
      </c>
      <c r="U285" s="22">
        <v>27180</v>
      </c>
      <c r="V285" s="22">
        <v>24780</v>
      </c>
      <c r="W285" s="22">
        <v>22580</v>
      </c>
      <c r="X285" s="22">
        <v>29280</v>
      </c>
      <c r="Y285" s="22">
        <v>24780</v>
      </c>
      <c r="Z285" s="22">
        <v>27180</v>
      </c>
      <c r="AA285" s="22">
        <v>22580</v>
      </c>
      <c r="AB285" s="24">
        <v>112000</v>
      </c>
      <c r="AC285" s="24">
        <v>116000</v>
      </c>
      <c r="AD285" s="24">
        <v>118000</v>
      </c>
      <c r="AE285" s="24">
        <v>118000</v>
      </c>
      <c r="AF285" s="24">
        <v>108000</v>
      </c>
      <c r="AG285" s="24">
        <v>114000</v>
      </c>
      <c r="AH285" s="24">
        <v>115000</v>
      </c>
      <c r="AI285" s="24">
        <v>114000</v>
      </c>
      <c r="AJ285" s="25">
        <v>3.1</v>
      </c>
      <c r="AK285" s="25">
        <v>8.5</v>
      </c>
    </row>
    <row r="286" spans="1:37" x14ac:dyDescent="0.25">
      <c r="A286" t="s">
        <v>501</v>
      </c>
      <c r="B286" t="s">
        <v>503</v>
      </c>
      <c r="C286">
        <v>115204030</v>
      </c>
      <c r="D286" t="str">
        <f t="shared" si="119"/>
        <v>Ünal, Ufuk-115204030</v>
      </c>
      <c r="E286" s="22">
        <v>7</v>
      </c>
      <c r="F286" s="22">
        <v>3</v>
      </c>
      <c r="G286" s="22">
        <v>15</v>
      </c>
      <c r="H286" s="22">
        <v>4933241</v>
      </c>
      <c r="I286" s="22">
        <v>7499025</v>
      </c>
      <c r="J286" s="22">
        <v>1998984</v>
      </c>
      <c r="K286" s="22">
        <v>1905738</v>
      </c>
      <c r="L286" s="22">
        <v>100000</v>
      </c>
      <c r="M286" s="22">
        <v>109400</v>
      </c>
      <c r="N286" s="22">
        <v>118300</v>
      </c>
      <c r="O286" s="22">
        <v>127800</v>
      </c>
      <c r="P286" s="22">
        <v>109400</v>
      </c>
      <c r="Q286" s="22">
        <v>100000</v>
      </c>
      <c r="R286" s="22">
        <v>118300</v>
      </c>
      <c r="S286" s="22">
        <v>127800</v>
      </c>
      <c r="T286" s="24">
        <v>24000</v>
      </c>
      <c r="U286" s="22">
        <v>26881</v>
      </c>
      <c r="V286" s="22">
        <v>24681</v>
      </c>
      <c r="W286" s="22">
        <v>22181</v>
      </c>
      <c r="X286" s="22">
        <v>26881</v>
      </c>
      <c r="Y286" s="22">
        <v>29281</v>
      </c>
      <c r="Z286" s="22">
        <v>24681</v>
      </c>
      <c r="AA286" s="22">
        <v>22181</v>
      </c>
      <c r="AB286" s="24">
        <v>120000</v>
      </c>
      <c r="AC286" s="24">
        <v>122000</v>
      </c>
      <c r="AD286" s="24">
        <v>124000</v>
      </c>
      <c r="AE286" s="24">
        <v>125000</v>
      </c>
      <c r="AF286" s="24">
        <v>116000</v>
      </c>
      <c r="AG286" s="24">
        <v>120500</v>
      </c>
      <c r="AH286" s="24">
        <v>121000</v>
      </c>
      <c r="AI286" s="24">
        <v>122000</v>
      </c>
      <c r="AJ286" s="25">
        <v>3.3</v>
      </c>
      <c r="AK286" s="25">
        <v>7.3</v>
      </c>
    </row>
    <row r="287" spans="1:37" x14ac:dyDescent="0.25">
      <c r="A287" t="s">
        <v>504</v>
      </c>
      <c r="B287" t="s">
        <v>505</v>
      </c>
      <c r="C287">
        <v>114206072</v>
      </c>
      <c r="D287" t="str">
        <f t="shared" si="119"/>
        <v>Ünver, Batuhan-114206072</v>
      </c>
      <c r="E287" s="22">
        <v>6</v>
      </c>
      <c r="F287" s="22">
        <v>2</v>
      </c>
      <c r="G287" s="22">
        <v>10</v>
      </c>
      <c r="H287" s="22">
        <v>6960602</v>
      </c>
      <c r="I287" s="22">
        <v>1461805</v>
      </c>
      <c r="J287" s="22">
        <v>4070106</v>
      </c>
      <c r="K287" s="22">
        <v>59129</v>
      </c>
      <c r="L287" s="22">
        <v>100000</v>
      </c>
      <c r="M287" s="22">
        <v>108400</v>
      </c>
      <c r="N287" s="22">
        <v>117100</v>
      </c>
      <c r="O287" s="22">
        <v>126400</v>
      </c>
      <c r="P287" s="22">
        <v>100000</v>
      </c>
      <c r="Q287" s="22">
        <v>117100</v>
      </c>
      <c r="R287" s="22">
        <v>108400</v>
      </c>
      <c r="S287" s="22">
        <v>126400</v>
      </c>
      <c r="T287" s="24">
        <v>23000</v>
      </c>
      <c r="U287" s="22">
        <v>27082</v>
      </c>
      <c r="V287" s="22">
        <v>24582</v>
      </c>
      <c r="W287" s="22">
        <v>22482</v>
      </c>
      <c r="X287" s="22">
        <v>29282</v>
      </c>
      <c r="Y287" s="22">
        <v>24582</v>
      </c>
      <c r="Z287" s="22">
        <v>27082</v>
      </c>
      <c r="AA287" s="22">
        <v>22482</v>
      </c>
      <c r="AB287" s="24">
        <v>113000</v>
      </c>
      <c r="AC287" s="24">
        <v>115000</v>
      </c>
      <c r="AD287" s="24">
        <v>119000</v>
      </c>
      <c r="AE287" s="24">
        <v>117000</v>
      </c>
      <c r="AF287" s="24">
        <v>111500</v>
      </c>
      <c r="AG287" s="24">
        <v>111000</v>
      </c>
      <c r="AH287" s="24">
        <v>116000</v>
      </c>
      <c r="AI287" s="24">
        <v>114000</v>
      </c>
      <c r="AJ287" s="25">
        <v>3.4</v>
      </c>
      <c r="AK287" s="25">
        <v>7.7</v>
      </c>
    </row>
    <row r="288" spans="1:37" x14ac:dyDescent="0.25">
      <c r="A288" t="s">
        <v>506</v>
      </c>
      <c r="B288" t="s">
        <v>507</v>
      </c>
      <c r="C288">
        <v>114204014</v>
      </c>
      <c r="D288" t="str">
        <f t="shared" si="119"/>
        <v>Uras, Ege Salih-114204014</v>
      </c>
      <c r="E288" s="22">
        <v>4</v>
      </c>
      <c r="F288" s="22">
        <v>1</v>
      </c>
      <c r="G288" s="22">
        <v>8</v>
      </c>
      <c r="H288" s="22">
        <v>5128214</v>
      </c>
      <c r="I288" s="22">
        <v>1711199</v>
      </c>
      <c r="J288" s="22">
        <v>3810011</v>
      </c>
      <c r="K288" s="22">
        <v>6346167</v>
      </c>
      <c r="L288" s="22">
        <v>100000</v>
      </c>
      <c r="M288" s="22">
        <v>108600</v>
      </c>
      <c r="N288" s="22">
        <v>118200</v>
      </c>
      <c r="O288" s="22">
        <v>126500</v>
      </c>
      <c r="P288" s="22">
        <v>126500</v>
      </c>
      <c r="Q288" s="22">
        <v>100000</v>
      </c>
      <c r="R288" s="22">
        <v>118200</v>
      </c>
      <c r="S288" s="22">
        <v>108600</v>
      </c>
      <c r="T288" s="24">
        <v>27000</v>
      </c>
      <c r="U288" s="22">
        <v>26783</v>
      </c>
      <c r="V288" s="22">
        <v>24783</v>
      </c>
      <c r="W288" s="22">
        <v>22283</v>
      </c>
      <c r="X288" s="22">
        <v>22283</v>
      </c>
      <c r="Y288" s="22">
        <v>29283</v>
      </c>
      <c r="Z288" s="22">
        <v>24783</v>
      </c>
      <c r="AA288" s="22">
        <v>26783</v>
      </c>
      <c r="AB288" s="24">
        <v>117000</v>
      </c>
      <c r="AC288" s="24">
        <v>114000</v>
      </c>
      <c r="AD288" s="24">
        <v>116000</v>
      </c>
      <c r="AE288" s="24">
        <v>117000</v>
      </c>
      <c r="AF288" s="24">
        <v>114500</v>
      </c>
      <c r="AG288" s="24">
        <v>110500</v>
      </c>
      <c r="AH288" s="24">
        <v>113500</v>
      </c>
      <c r="AI288" s="24">
        <v>113000</v>
      </c>
      <c r="AJ288" s="25">
        <v>3.6</v>
      </c>
      <c r="AK288" s="25">
        <v>7.3</v>
      </c>
    </row>
    <row r="289" spans="1:37" x14ac:dyDescent="0.25">
      <c r="A289" t="s">
        <v>508</v>
      </c>
      <c r="B289" t="s">
        <v>509</v>
      </c>
      <c r="C289">
        <v>116204026</v>
      </c>
      <c r="D289" t="str">
        <f t="shared" si="119"/>
        <v>Urgancı, Hakkı-116204026</v>
      </c>
      <c r="E289" s="22">
        <v>7</v>
      </c>
      <c r="F289" s="22">
        <v>1</v>
      </c>
      <c r="G289" s="22">
        <v>8</v>
      </c>
      <c r="H289" s="22">
        <v>8465582</v>
      </c>
      <c r="I289" s="22">
        <v>8582527</v>
      </c>
      <c r="J289" s="22">
        <v>4374617</v>
      </c>
      <c r="K289" s="22">
        <v>8691516</v>
      </c>
      <c r="L289" s="22">
        <v>100000</v>
      </c>
      <c r="M289" s="22">
        <v>109000</v>
      </c>
      <c r="N289" s="22">
        <v>118500</v>
      </c>
      <c r="O289" s="22">
        <v>128500</v>
      </c>
      <c r="P289" s="22">
        <v>128500</v>
      </c>
      <c r="Q289" s="22">
        <v>109000</v>
      </c>
      <c r="R289" s="22">
        <v>100000</v>
      </c>
      <c r="S289" s="22">
        <v>118500</v>
      </c>
      <c r="T289" s="24">
        <v>23000</v>
      </c>
      <c r="U289" s="22">
        <v>26984</v>
      </c>
      <c r="V289" s="22">
        <v>24684</v>
      </c>
      <c r="W289" s="22">
        <v>22484</v>
      </c>
      <c r="X289" s="22">
        <v>22484</v>
      </c>
      <c r="Y289" s="22">
        <v>26984</v>
      </c>
      <c r="Z289" s="22">
        <v>29284</v>
      </c>
      <c r="AA289" s="22">
        <v>24684</v>
      </c>
      <c r="AB289" s="24">
        <v>95000</v>
      </c>
      <c r="AC289" s="24">
        <v>96000</v>
      </c>
      <c r="AD289" s="24">
        <v>94000</v>
      </c>
      <c r="AE289" s="24">
        <v>97000</v>
      </c>
      <c r="AF289" s="24">
        <v>91000</v>
      </c>
      <c r="AG289" s="24">
        <v>94000</v>
      </c>
      <c r="AH289" s="24">
        <v>90000</v>
      </c>
      <c r="AI289" s="24">
        <v>94000</v>
      </c>
      <c r="AJ289" s="25">
        <v>5</v>
      </c>
      <c r="AK289" s="25">
        <v>8.4</v>
      </c>
    </row>
    <row r="290" spans="1:37" x14ac:dyDescent="0.25">
      <c r="A290" t="s">
        <v>510</v>
      </c>
      <c r="B290" t="s">
        <v>130</v>
      </c>
      <c r="C290">
        <v>115206075</v>
      </c>
      <c r="D290" t="str">
        <f t="shared" si="119"/>
        <v>Usta, Dilara-115206075</v>
      </c>
      <c r="E290" s="22">
        <v>5</v>
      </c>
      <c r="F290" s="22">
        <v>1</v>
      </c>
      <c r="G290" s="22">
        <v>8</v>
      </c>
      <c r="H290" s="22">
        <v>7712485</v>
      </c>
      <c r="I290" s="22">
        <v>815164</v>
      </c>
      <c r="J290" s="22">
        <v>532852</v>
      </c>
      <c r="K290" s="22">
        <v>4943878</v>
      </c>
      <c r="L290" s="22">
        <v>100000</v>
      </c>
      <c r="M290" s="22">
        <v>109700</v>
      </c>
      <c r="N290" s="22">
        <v>117700</v>
      </c>
      <c r="O290" s="22">
        <v>125800</v>
      </c>
      <c r="P290" s="22">
        <v>100000</v>
      </c>
      <c r="Q290" s="22">
        <v>125800</v>
      </c>
      <c r="R290" s="22">
        <v>109700</v>
      </c>
      <c r="S290" s="22">
        <v>117700</v>
      </c>
      <c r="T290" s="24">
        <v>25000</v>
      </c>
      <c r="U290" s="22">
        <v>27285</v>
      </c>
      <c r="V290" s="22">
        <v>24885</v>
      </c>
      <c r="W290" s="22">
        <v>22685</v>
      </c>
      <c r="X290" s="22">
        <v>29285</v>
      </c>
      <c r="Y290" s="22">
        <v>22685</v>
      </c>
      <c r="Z290" s="22">
        <v>27285</v>
      </c>
      <c r="AA290" s="22">
        <v>24885</v>
      </c>
      <c r="AB290" s="24">
        <v>116000</v>
      </c>
      <c r="AC290" s="24">
        <v>116000</v>
      </c>
      <c r="AD290" s="24">
        <v>118000</v>
      </c>
      <c r="AE290" s="24">
        <v>118000</v>
      </c>
      <c r="AF290" s="24">
        <v>112500</v>
      </c>
      <c r="AG290" s="24">
        <v>114500</v>
      </c>
      <c r="AH290" s="24">
        <v>116000</v>
      </c>
      <c r="AI290" s="24">
        <v>115500</v>
      </c>
      <c r="AJ290" s="25">
        <v>3.1</v>
      </c>
      <c r="AK290" s="25">
        <v>7</v>
      </c>
    </row>
    <row r="291" spans="1:37" x14ac:dyDescent="0.25">
      <c r="A291" t="s">
        <v>511</v>
      </c>
      <c r="B291" t="s">
        <v>139</v>
      </c>
      <c r="C291">
        <v>115202120</v>
      </c>
      <c r="D291" t="str">
        <f t="shared" si="119"/>
        <v>Üstün, Onur-115202120</v>
      </c>
      <c r="E291" s="22">
        <v>7</v>
      </c>
      <c r="F291" s="22">
        <v>3</v>
      </c>
      <c r="G291" s="22">
        <v>15</v>
      </c>
      <c r="H291" s="22">
        <v>67841</v>
      </c>
      <c r="I291" s="22">
        <v>9665919</v>
      </c>
      <c r="J291" s="22">
        <v>544002</v>
      </c>
      <c r="K291" s="22">
        <v>1750041</v>
      </c>
      <c r="L291" s="22">
        <v>100000</v>
      </c>
      <c r="M291" s="22">
        <v>109400</v>
      </c>
      <c r="N291" s="22">
        <v>119400</v>
      </c>
      <c r="O291" s="22">
        <v>128700</v>
      </c>
      <c r="P291" s="22">
        <v>109400</v>
      </c>
      <c r="Q291" s="22">
        <v>128700</v>
      </c>
      <c r="R291" s="22">
        <v>119400</v>
      </c>
      <c r="S291" s="22">
        <v>100000</v>
      </c>
      <c r="T291" s="24">
        <v>25000</v>
      </c>
      <c r="U291" s="22">
        <v>26886</v>
      </c>
      <c r="V291" s="22">
        <v>24386</v>
      </c>
      <c r="W291" s="22">
        <v>22086</v>
      </c>
      <c r="X291" s="22">
        <v>26886</v>
      </c>
      <c r="Y291" s="22">
        <v>22086</v>
      </c>
      <c r="Z291" s="22">
        <v>24386</v>
      </c>
      <c r="AA291" s="22">
        <v>29286</v>
      </c>
      <c r="AB291" s="24">
        <v>93000</v>
      </c>
      <c r="AC291" s="24">
        <v>97000</v>
      </c>
      <c r="AD291" s="24">
        <v>101000</v>
      </c>
      <c r="AE291" s="24">
        <v>99000</v>
      </c>
      <c r="AF291" s="24">
        <v>91500</v>
      </c>
      <c r="AG291" s="24">
        <v>93500</v>
      </c>
      <c r="AH291" s="24">
        <v>99500</v>
      </c>
      <c r="AI291" s="24">
        <v>96500</v>
      </c>
      <c r="AJ291" s="25">
        <v>3.5</v>
      </c>
      <c r="AK291" s="25">
        <v>7.2</v>
      </c>
    </row>
    <row r="292" spans="1:37" x14ac:dyDescent="0.25">
      <c r="A292" t="s">
        <v>512</v>
      </c>
      <c r="B292" t="s">
        <v>513</v>
      </c>
      <c r="C292">
        <v>114201017</v>
      </c>
      <c r="D292" t="str">
        <f t="shared" si="119"/>
        <v>Uysalcan, Şevval-114201017</v>
      </c>
      <c r="E292" s="22">
        <v>4</v>
      </c>
      <c r="F292" s="22">
        <v>1</v>
      </c>
      <c r="G292" s="22">
        <v>8</v>
      </c>
      <c r="H292" s="22">
        <v>6726580</v>
      </c>
      <c r="I292" s="22">
        <v>2133408</v>
      </c>
      <c r="J292" s="22">
        <v>8951876</v>
      </c>
      <c r="K292" s="22">
        <v>5389568</v>
      </c>
      <c r="L292" s="22">
        <v>100000</v>
      </c>
      <c r="M292" s="22">
        <v>108200</v>
      </c>
      <c r="N292" s="22">
        <v>117500</v>
      </c>
      <c r="O292" s="22">
        <v>126000</v>
      </c>
      <c r="P292" s="22">
        <v>117500</v>
      </c>
      <c r="Q292" s="22">
        <v>100000</v>
      </c>
      <c r="R292" s="22">
        <v>126000</v>
      </c>
      <c r="S292" s="22">
        <v>108200</v>
      </c>
      <c r="T292" s="24">
        <v>28000</v>
      </c>
      <c r="U292" s="22">
        <v>27187</v>
      </c>
      <c r="V292" s="22">
        <v>24887</v>
      </c>
      <c r="W292" s="22">
        <v>22587</v>
      </c>
      <c r="X292" s="22">
        <v>24887</v>
      </c>
      <c r="Y292" s="22">
        <v>29287</v>
      </c>
      <c r="Z292" s="22">
        <v>22587</v>
      </c>
      <c r="AA292" s="22">
        <v>27187</v>
      </c>
      <c r="AB292" s="24">
        <v>112000</v>
      </c>
      <c r="AC292" s="24">
        <v>115000</v>
      </c>
      <c r="AD292" s="24">
        <v>113000</v>
      </c>
      <c r="AE292" s="24">
        <v>112000</v>
      </c>
      <c r="AF292" s="24">
        <v>110500</v>
      </c>
      <c r="AG292" s="24">
        <v>111000</v>
      </c>
      <c r="AH292" s="24">
        <v>111500</v>
      </c>
      <c r="AI292" s="24">
        <v>110500</v>
      </c>
      <c r="AJ292" s="25">
        <v>4.7</v>
      </c>
      <c r="AK292" s="25">
        <v>7.2</v>
      </c>
    </row>
    <row r="293" spans="1:37" x14ac:dyDescent="0.25">
      <c r="A293" t="s">
        <v>514</v>
      </c>
      <c r="B293" t="s">
        <v>515</v>
      </c>
      <c r="C293">
        <v>116203023</v>
      </c>
      <c r="D293" t="str">
        <f t="shared" si="119"/>
        <v>Uziyel, Naz Suzan-116203023</v>
      </c>
      <c r="E293" s="22">
        <v>4</v>
      </c>
      <c r="F293" s="22">
        <v>1</v>
      </c>
      <c r="G293" s="22">
        <v>8</v>
      </c>
      <c r="H293" s="22">
        <v>8972686</v>
      </c>
      <c r="I293" s="22">
        <v>2673385</v>
      </c>
      <c r="J293" s="22">
        <v>7497368</v>
      </c>
      <c r="K293" s="22">
        <v>6037042</v>
      </c>
      <c r="L293" s="22">
        <v>100000</v>
      </c>
      <c r="M293" s="22">
        <v>109300</v>
      </c>
      <c r="N293" s="22">
        <v>118300</v>
      </c>
      <c r="O293" s="22">
        <v>127300</v>
      </c>
      <c r="P293" s="22">
        <v>100000</v>
      </c>
      <c r="Q293" s="22">
        <v>118300</v>
      </c>
      <c r="R293" s="22">
        <v>127300</v>
      </c>
      <c r="S293" s="22">
        <v>109300</v>
      </c>
      <c r="T293" s="24">
        <v>25000</v>
      </c>
      <c r="U293" s="22">
        <v>27188</v>
      </c>
      <c r="V293" s="22">
        <v>25188</v>
      </c>
      <c r="W293" s="22">
        <v>23188</v>
      </c>
      <c r="X293" s="22">
        <v>29288</v>
      </c>
      <c r="Y293" s="22">
        <v>25188</v>
      </c>
      <c r="Z293" s="22">
        <v>23188</v>
      </c>
      <c r="AA293" s="22">
        <v>27188</v>
      </c>
      <c r="AB293" s="24">
        <v>100000</v>
      </c>
      <c r="AC293" s="24">
        <v>104000</v>
      </c>
      <c r="AD293" s="24">
        <v>105000</v>
      </c>
      <c r="AE293" s="24">
        <v>103000</v>
      </c>
      <c r="AF293" s="24">
        <v>97500</v>
      </c>
      <c r="AG293" s="24">
        <v>101000</v>
      </c>
      <c r="AH293" s="24">
        <v>103000</v>
      </c>
      <c r="AI293" s="24">
        <v>101500</v>
      </c>
      <c r="AJ293" s="25">
        <v>4.5</v>
      </c>
      <c r="AK293" s="25">
        <v>8.6999999999999993</v>
      </c>
    </row>
    <row r="294" spans="1:37" x14ac:dyDescent="0.25">
      <c r="A294" t="s">
        <v>516</v>
      </c>
      <c r="B294" t="s">
        <v>517</v>
      </c>
      <c r="C294">
        <v>114205009</v>
      </c>
      <c r="D294" t="str">
        <f t="shared" si="119"/>
        <v>Üzüm, Muhammet Hakan-114205009</v>
      </c>
      <c r="E294" s="22">
        <v>6</v>
      </c>
      <c r="F294" s="22">
        <v>1</v>
      </c>
      <c r="G294" s="22">
        <v>8</v>
      </c>
      <c r="H294" s="22">
        <v>1878681</v>
      </c>
      <c r="I294" s="22">
        <v>8281308</v>
      </c>
      <c r="J294" s="22">
        <v>2081704</v>
      </c>
      <c r="K294" s="22">
        <v>3016474</v>
      </c>
      <c r="L294" s="22">
        <v>100000</v>
      </c>
      <c r="M294" s="22">
        <v>108200</v>
      </c>
      <c r="N294" s="22">
        <v>117500</v>
      </c>
      <c r="O294" s="22">
        <v>127400</v>
      </c>
      <c r="P294" s="22">
        <v>108200</v>
      </c>
      <c r="Q294" s="22">
        <v>127400</v>
      </c>
      <c r="R294" s="22">
        <v>117500</v>
      </c>
      <c r="S294" s="22">
        <v>100000</v>
      </c>
      <c r="T294" s="24">
        <v>27000</v>
      </c>
      <c r="U294" s="22">
        <v>26789</v>
      </c>
      <c r="V294" s="22">
        <v>24689</v>
      </c>
      <c r="W294" s="22">
        <v>22489</v>
      </c>
      <c r="X294" s="22">
        <v>26789</v>
      </c>
      <c r="Y294" s="22">
        <v>22489</v>
      </c>
      <c r="Z294" s="22">
        <v>24689</v>
      </c>
      <c r="AA294" s="22">
        <v>29289</v>
      </c>
      <c r="AB294" s="24">
        <v>92000</v>
      </c>
      <c r="AC294" s="24">
        <v>93000</v>
      </c>
      <c r="AD294" s="24">
        <v>93000</v>
      </c>
      <c r="AE294" s="24">
        <v>95000</v>
      </c>
      <c r="AF294" s="24">
        <v>88500</v>
      </c>
      <c r="AG294" s="24">
        <v>91500</v>
      </c>
      <c r="AH294" s="24">
        <v>91500</v>
      </c>
      <c r="AI294" s="24">
        <v>93500</v>
      </c>
      <c r="AJ294" s="25">
        <v>3.6</v>
      </c>
      <c r="AK294" s="25">
        <v>8.3000000000000007</v>
      </c>
    </row>
    <row r="295" spans="1:37" x14ac:dyDescent="0.25">
      <c r="A295" t="s">
        <v>518</v>
      </c>
      <c r="B295" t="s">
        <v>61</v>
      </c>
      <c r="C295">
        <v>114200034</v>
      </c>
      <c r="D295" t="str">
        <f t="shared" si="119"/>
        <v>Uzun, Furkan-114200034</v>
      </c>
      <c r="E295" s="22">
        <v>5</v>
      </c>
      <c r="F295" s="22">
        <v>2</v>
      </c>
      <c r="G295" s="22">
        <v>10</v>
      </c>
      <c r="H295" s="22">
        <v>1239500</v>
      </c>
      <c r="I295" s="22">
        <v>977139</v>
      </c>
      <c r="J295" s="22">
        <v>9117869</v>
      </c>
      <c r="K295" s="22">
        <v>9339866</v>
      </c>
      <c r="L295" s="22">
        <v>100000</v>
      </c>
      <c r="M295" s="22">
        <v>108900</v>
      </c>
      <c r="N295" s="22">
        <v>118100</v>
      </c>
      <c r="O295" s="22">
        <v>126500</v>
      </c>
      <c r="P295" s="22">
        <v>126500</v>
      </c>
      <c r="Q295" s="22">
        <v>118100</v>
      </c>
      <c r="R295" s="22">
        <v>100000</v>
      </c>
      <c r="S295" s="22">
        <v>108900</v>
      </c>
      <c r="T295" s="24">
        <v>24000</v>
      </c>
      <c r="U295" s="22">
        <v>27090</v>
      </c>
      <c r="V295" s="22">
        <v>24690</v>
      </c>
      <c r="W295" s="22">
        <v>22190</v>
      </c>
      <c r="X295" s="22">
        <v>22190</v>
      </c>
      <c r="Y295" s="22">
        <v>24690</v>
      </c>
      <c r="Z295" s="22">
        <v>29290</v>
      </c>
      <c r="AA295" s="22">
        <v>27090</v>
      </c>
      <c r="AB295" s="24">
        <v>99000</v>
      </c>
      <c r="AC295" s="24">
        <v>98000</v>
      </c>
      <c r="AD295" s="24">
        <v>102000</v>
      </c>
      <c r="AE295" s="24">
        <v>105000</v>
      </c>
      <c r="AF295" s="24">
        <v>95000</v>
      </c>
      <c r="AG295" s="24">
        <v>95000</v>
      </c>
      <c r="AH295" s="24">
        <v>100000</v>
      </c>
      <c r="AI295" s="24">
        <v>102500</v>
      </c>
      <c r="AJ295" s="25">
        <v>4</v>
      </c>
      <c r="AK295" s="25">
        <v>8.6</v>
      </c>
    </row>
    <row r="296" spans="1:37" x14ac:dyDescent="0.25">
      <c r="A296" t="s">
        <v>518</v>
      </c>
      <c r="B296" t="s">
        <v>519</v>
      </c>
      <c r="C296">
        <v>113202065</v>
      </c>
      <c r="D296" t="str">
        <f t="shared" si="119"/>
        <v>Uzun, Yiğit-113202065</v>
      </c>
      <c r="E296" s="22">
        <v>6</v>
      </c>
      <c r="F296" s="22">
        <v>1</v>
      </c>
      <c r="G296" s="22">
        <v>8</v>
      </c>
      <c r="H296" s="22">
        <v>3170038</v>
      </c>
      <c r="I296" s="22">
        <v>1608692</v>
      </c>
      <c r="J296" s="22">
        <v>1419365</v>
      </c>
      <c r="K296" s="22">
        <v>1894750</v>
      </c>
      <c r="L296" s="22">
        <v>100000</v>
      </c>
      <c r="M296" s="22">
        <v>108500</v>
      </c>
      <c r="N296" s="22">
        <v>117600</v>
      </c>
      <c r="O296" s="22">
        <v>126500</v>
      </c>
      <c r="P296" s="22">
        <v>100000</v>
      </c>
      <c r="Q296" s="22">
        <v>126500</v>
      </c>
      <c r="R296" s="22">
        <v>108500</v>
      </c>
      <c r="S296" s="22">
        <v>117600</v>
      </c>
      <c r="T296" s="24">
        <v>26000</v>
      </c>
      <c r="U296" s="22">
        <v>26991</v>
      </c>
      <c r="V296" s="22">
        <v>24991</v>
      </c>
      <c r="W296" s="22">
        <v>22591</v>
      </c>
      <c r="X296" s="22">
        <v>29291</v>
      </c>
      <c r="Y296" s="22">
        <v>22591</v>
      </c>
      <c r="Z296" s="22">
        <v>26991</v>
      </c>
      <c r="AA296" s="22">
        <v>24991</v>
      </c>
      <c r="AB296" s="24">
        <v>99000</v>
      </c>
      <c r="AC296" s="24">
        <v>102000</v>
      </c>
      <c r="AD296" s="24">
        <v>101000</v>
      </c>
      <c r="AE296" s="24">
        <v>98000</v>
      </c>
      <c r="AF296" s="24">
        <v>97500</v>
      </c>
      <c r="AG296" s="24">
        <v>99000</v>
      </c>
      <c r="AH296" s="24">
        <v>97000</v>
      </c>
      <c r="AI296" s="24">
        <v>94000</v>
      </c>
      <c r="AJ296" s="25">
        <v>3.5</v>
      </c>
      <c r="AK296" s="25">
        <v>9.1999999999999993</v>
      </c>
    </row>
    <row r="297" spans="1:37" x14ac:dyDescent="0.25">
      <c r="A297" t="s">
        <v>520</v>
      </c>
      <c r="B297" t="s">
        <v>521</v>
      </c>
      <c r="C297">
        <v>115204024</v>
      </c>
      <c r="D297" t="str">
        <f t="shared" si="119"/>
        <v>Uzunkaya, Hıdır-115204024</v>
      </c>
      <c r="E297" s="22">
        <v>6</v>
      </c>
      <c r="F297" s="22">
        <v>2</v>
      </c>
      <c r="G297" s="22">
        <v>10</v>
      </c>
      <c r="H297" s="22">
        <v>1532040</v>
      </c>
      <c r="I297" s="22">
        <v>8342392</v>
      </c>
      <c r="J297" s="22">
        <v>6543202</v>
      </c>
      <c r="K297" s="22">
        <v>4448643</v>
      </c>
      <c r="L297" s="22">
        <v>100000</v>
      </c>
      <c r="M297" s="22">
        <v>109400</v>
      </c>
      <c r="N297" s="22">
        <v>118700</v>
      </c>
      <c r="O297" s="22">
        <v>128000</v>
      </c>
      <c r="P297" s="22">
        <v>109400</v>
      </c>
      <c r="Q297" s="22">
        <v>118700</v>
      </c>
      <c r="R297" s="22">
        <v>128000</v>
      </c>
      <c r="S297" s="22">
        <v>100000</v>
      </c>
      <c r="T297" s="24">
        <v>24000</v>
      </c>
      <c r="U297" s="22">
        <v>26792</v>
      </c>
      <c r="V297" s="22">
        <v>24292</v>
      </c>
      <c r="W297" s="22">
        <v>22092</v>
      </c>
      <c r="X297" s="22">
        <v>26792</v>
      </c>
      <c r="Y297" s="22">
        <v>24292</v>
      </c>
      <c r="Z297" s="22">
        <v>22092</v>
      </c>
      <c r="AA297" s="22">
        <v>29292</v>
      </c>
      <c r="AB297" s="24">
        <v>98000</v>
      </c>
      <c r="AC297" s="24">
        <v>96000</v>
      </c>
      <c r="AD297" s="24">
        <v>94000</v>
      </c>
      <c r="AE297" s="24">
        <v>98000</v>
      </c>
      <c r="AF297" s="24">
        <v>96000</v>
      </c>
      <c r="AG297" s="24">
        <v>94000</v>
      </c>
      <c r="AH297" s="24">
        <v>90500</v>
      </c>
      <c r="AI297" s="24">
        <v>94000</v>
      </c>
      <c r="AJ297" s="25">
        <v>3.9</v>
      </c>
      <c r="AK297" s="25">
        <v>7.5</v>
      </c>
    </row>
    <row r="298" spans="1:37" x14ac:dyDescent="0.25">
      <c r="A298" t="s">
        <v>522</v>
      </c>
      <c r="B298" t="s">
        <v>523</v>
      </c>
      <c r="C298">
        <v>114202064</v>
      </c>
      <c r="D298" t="str">
        <f t="shared" si="119"/>
        <v>Vural, Murat-114202064</v>
      </c>
      <c r="E298" s="22">
        <v>7</v>
      </c>
      <c r="F298" s="22">
        <v>3</v>
      </c>
      <c r="G298" s="22">
        <v>15</v>
      </c>
      <c r="H298" s="22">
        <v>6952633</v>
      </c>
      <c r="I298" s="22">
        <v>2796752</v>
      </c>
      <c r="J298" s="22">
        <v>477955</v>
      </c>
      <c r="K298" s="22">
        <v>6155630</v>
      </c>
      <c r="L298" s="22">
        <v>100000</v>
      </c>
      <c r="M298" s="22">
        <v>109200</v>
      </c>
      <c r="N298" s="22">
        <v>117200</v>
      </c>
      <c r="O298" s="22">
        <v>126000</v>
      </c>
      <c r="P298" s="22">
        <v>100000</v>
      </c>
      <c r="Q298" s="22">
        <v>126000</v>
      </c>
      <c r="R298" s="22">
        <v>109200</v>
      </c>
      <c r="S298" s="22">
        <v>117200</v>
      </c>
      <c r="T298" s="24">
        <v>27000</v>
      </c>
      <c r="U298" s="22">
        <v>26993</v>
      </c>
      <c r="V298" s="22">
        <v>24993</v>
      </c>
      <c r="W298" s="22">
        <v>22893</v>
      </c>
      <c r="X298" s="22">
        <v>29293</v>
      </c>
      <c r="Y298" s="22">
        <v>22893</v>
      </c>
      <c r="Z298" s="22">
        <v>26993</v>
      </c>
      <c r="AA298" s="22">
        <v>24993</v>
      </c>
      <c r="AB298" s="24">
        <v>105000</v>
      </c>
      <c r="AC298" s="24">
        <v>103000</v>
      </c>
      <c r="AD298" s="24">
        <v>101000</v>
      </c>
      <c r="AE298" s="24">
        <v>99000</v>
      </c>
      <c r="AF298" s="24">
        <v>101500</v>
      </c>
      <c r="AG298" s="24">
        <v>101500</v>
      </c>
      <c r="AH298" s="24">
        <v>97500</v>
      </c>
      <c r="AI298" s="24">
        <v>96500</v>
      </c>
      <c r="AJ298" s="25">
        <v>4.9000000000000004</v>
      </c>
      <c r="AK298" s="25">
        <v>7.7</v>
      </c>
    </row>
    <row r="299" spans="1:37" x14ac:dyDescent="0.25">
      <c r="A299" t="s">
        <v>524</v>
      </c>
      <c r="B299" t="s">
        <v>525</v>
      </c>
      <c r="C299">
        <v>115202093</v>
      </c>
      <c r="D299" t="str">
        <f t="shared" si="119"/>
        <v>Yalaz, Barış-115202093</v>
      </c>
      <c r="E299" s="22">
        <v>6</v>
      </c>
      <c r="F299" s="22">
        <v>2</v>
      </c>
      <c r="G299" s="22">
        <v>10</v>
      </c>
      <c r="H299" s="22">
        <v>24670</v>
      </c>
      <c r="I299" s="22">
        <v>6985567</v>
      </c>
      <c r="J299" s="22">
        <v>8987568</v>
      </c>
      <c r="K299" s="22">
        <v>3838347</v>
      </c>
      <c r="L299" s="22">
        <v>100000</v>
      </c>
      <c r="M299" s="22">
        <v>110000</v>
      </c>
      <c r="N299" s="22">
        <v>118500</v>
      </c>
      <c r="O299" s="22">
        <v>127300</v>
      </c>
      <c r="P299" s="22">
        <v>118500</v>
      </c>
      <c r="Q299" s="22">
        <v>110000</v>
      </c>
      <c r="R299" s="22">
        <v>127300</v>
      </c>
      <c r="S299" s="22">
        <v>100000</v>
      </c>
      <c r="T299" s="24">
        <v>24000</v>
      </c>
      <c r="U299" s="22">
        <v>26994</v>
      </c>
      <c r="V299" s="22">
        <v>24594</v>
      </c>
      <c r="W299" s="22">
        <v>22594</v>
      </c>
      <c r="X299" s="22">
        <v>24594</v>
      </c>
      <c r="Y299" s="22">
        <v>26994</v>
      </c>
      <c r="Z299" s="22">
        <v>22594</v>
      </c>
      <c r="AA299" s="22">
        <v>29294</v>
      </c>
      <c r="AB299" s="24">
        <v>118000</v>
      </c>
      <c r="AC299" s="24">
        <v>117000</v>
      </c>
      <c r="AD299" s="24">
        <v>115000</v>
      </c>
      <c r="AE299" s="24">
        <v>118000</v>
      </c>
      <c r="AF299" s="24">
        <v>115500</v>
      </c>
      <c r="AG299" s="24">
        <v>113000</v>
      </c>
      <c r="AH299" s="24">
        <v>113500</v>
      </c>
      <c r="AI299" s="24">
        <v>116500</v>
      </c>
      <c r="AJ299" s="25">
        <v>2.6</v>
      </c>
      <c r="AK299" s="25">
        <v>9</v>
      </c>
    </row>
    <row r="300" spans="1:37" x14ac:dyDescent="0.25">
      <c r="A300" t="s">
        <v>526</v>
      </c>
      <c r="B300" t="s">
        <v>527</v>
      </c>
      <c r="C300">
        <v>115204039</v>
      </c>
      <c r="D300" t="str">
        <f t="shared" si="119"/>
        <v>Yalçınkaya, Beste-115204039</v>
      </c>
      <c r="E300" s="22">
        <v>7</v>
      </c>
      <c r="F300" s="22">
        <v>1</v>
      </c>
      <c r="G300" s="22">
        <v>8</v>
      </c>
      <c r="H300" s="22">
        <v>3829658</v>
      </c>
      <c r="I300" s="22">
        <v>7696402</v>
      </c>
      <c r="J300" s="22">
        <v>5290714</v>
      </c>
      <c r="K300" s="22">
        <v>7545414</v>
      </c>
      <c r="L300" s="22">
        <v>100000</v>
      </c>
      <c r="M300" s="22">
        <v>109100</v>
      </c>
      <c r="N300" s="22">
        <v>119100</v>
      </c>
      <c r="O300" s="22">
        <v>129100</v>
      </c>
      <c r="P300" s="22">
        <v>109100</v>
      </c>
      <c r="Q300" s="22">
        <v>129100</v>
      </c>
      <c r="R300" s="22">
        <v>119100</v>
      </c>
      <c r="S300" s="22">
        <v>100000</v>
      </c>
      <c r="T300" s="24">
        <v>23000</v>
      </c>
      <c r="U300" s="22">
        <v>26795</v>
      </c>
      <c r="V300" s="22">
        <v>24795</v>
      </c>
      <c r="W300" s="22">
        <v>22595</v>
      </c>
      <c r="X300" s="22">
        <v>26795</v>
      </c>
      <c r="Y300" s="22">
        <v>22595</v>
      </c>
      <c r="Z300" s="22">
        <v>24795</v>
      </c>
      <c r="AA300" s="22">
        <v>29295</v>
      </c>
      <c r="AB300" s="24">
        <v>118000</v>
      </c>
      <c r="AC300" s="24">
        <v>116000</v>
      </c>
      <c r="AD300" s="24">
        <v>116000</v>
      </c>
      <c r="AE300" s="24">
        <v>113000</v>
      </c>
      <c r="AF300" s="24">
        <v>116500</v>
      </c>
      <c r="AG300" s="24">
        <v>112500</v>
      </c>
      <c r="AH300" s="24">
        <v>114500</v>
      </c>
      <c r="AI300" s="24">
        <v>110000</v>
      </c>
      <c r="AJ300" s="25">
        <v>4.0999999999999996</v>
      </c>
      <c r="AK300" s="25">
        <v>8.6</v>
      </c>
    </row>
    <row r="301" spans="1:37" x14ac:dyDescent="0.25">
      <c r="A301" t="s">
        <v>528</v>
      </c>
      <c r="B301" t="s">
        <v>529</v>
      </c>
      <c r="C301">
        <v>115206087</v>
      </c>
      <c r="D301" t="str">
        <f t="shared" si="119"/>
        <v>Yaman, Yusuf Doruk-115206087</v>
      </c>
      <c r="E301" s="22">
        <v>6</v>
      </c>
      <c r="F301" s="22">
        <v>3</v>
      </c>
      <c r="G301" s="22">
        <v>15</v>
      </c>
      <c r="H301" s="22">
        <v>5252521</v>
      </c>
      <c r="I301" s="22">
        <v>7577214</v>
      </c>
      <c r="J301" s="22">
        <v>1088874</v>
      </c>
      <c r="K301" s="22">
        <v>9052661</v>
      </c>
      <c r="L301" s="22">
        <v>100000</v>
      </c>
      <c r="M301" s="22">
        <v>109300</v>
      </c>
      <c r="N301" s="22">
        <v>118200</v>
      </c>
      <c r="O301" s="22">
        <v>126400</v>
      </c>
      <c r="P301" s="22">
        <v>126400</v>
      </c>
      <c r="Q301" s="22">
        <v>109300</v>
      </c>
      <c r="R301" s="22">
        <v>100000</v>
      </c>
      <c r="S301" s="22">
        <v>118200</v>
      </c>
      <c r="T301" s="24">
        <v>26000</v>
      </c>
      <c r="U301" s="22">
        <v>26896</v>
      </c>
      <c r="V301" s="22">
        <v>24396</v>
      </c>
      <c r="W301" s="22">
        <v>21896</v>
      </c>
      <c r="X301" s="22">
        <v>21896</v>
      </c>
      <c r="Y301" s="22">
        <v>26896</v>
      </c>
      <c r="Z301" s="22">
        <v>29296</v>
      </c>
      <c r="AA301" s="22">
        <v>24396</v>
      </c>
      <c r="AB301" s="24">
        <v>109000</v>
      </c>
      <c r="AC301" s="24">
        <v>110000</v>
      </c>
      <c r="AD301" s="24">
        <v>107000</v>
      </c>
      <c r="AE301" s="24">
        <v>104000</v>
      </c>
      <c r="AF301" s="24">
        <v>106500</v>
      </c>
      <c r="AG301" s="24">
        <v>107000</v>
      </c>
      <c r="AH301" s="24">
        <v>105500</v>
      </c>
      <c r="AI301" s="24">
        <v>101000</v>
      </c>
      <c r="AJ301" s="25">
        <v>2.7</v>
      </c>
      <c r="AK301" s="25">
        <v>6.8</v>
      </c>
    </row>
    <row r="302" spans="1:37" x14ac:dyDescent="0.25">
      <c r="A302" t="s">
        <v>530</v>
      </c>
      <c r="B302" t="s">
        <v>531</v>
      </c>
      <c r="C302">
        <v>115205056</v>
      </c>
      <c r="D302" t="str">
        <f t="shared" si="119"/>
        <v>Yasan, Melih Can-115205056</v>
      </c>
      <c r="E302" s="22">
        <v>7</v>
      </c>
      <c r="F302" s="22">
        <v>3</v>
      </c>
      <c r="G302" s="22">
        <v>15</v>
      </c>
      <c r="H302" s="22">
        <v>2406781</v>
      </c>
      <c r="I302" s="22">
        <v>5213289</v>
      </c>
      <c r="J302" s="22">
        <v>3870167</v>
      </c>
      <c r="K302" s="22">
        <v>499391</v>
      </c>
      <c r="L302" s="22">
        <v>100000</v>
      </c>
      <c r="M302" s="22">
        <v>108200</v>
      </c>
      <c r="N302" s="22">
        <v>117400</v>
      </c>
      <c r="O302" s="22">
        <v>127200</v>
      </c>
      <c r="P302" s="22">
        <v>108200</v>
      </c>
      <c r="Q302" s="22">
        <v>117400</v>
      </c>
      <c r="R302" s="22">
        <v>100000</v>
      </c>
      <c r="S302" s="22">
        <v>127200</v>
      </c>
      <c r="T302" s="24">
        <v>27000</v>
      </c>
      <c r="U302" s="22">
        <v>26797</v>
      </c>
      <c r="V302" s="22">
        <v>24697</v>
      </c>
      <c r="W302" s="22">
        <v>22497</v>
      </c>
      <c r="X302" s="22">
        <v>26797</v>
      </c>
      <c r="Y302" s="22">
        <v>24697</v>
      </c>
      <c r="Z302" s="22">
        <v>29297</v>
      </c>
      <c r="AA302" s="22">
        <v>22497</v>
      </c>
      <c r="AB302" s="24">
        <v>119000</v>
      </c>
      <c r="AC302" s="24">
        <v>118000</v>
      </c>
      <c r="AD302" s="24">
        <v>119000</v>
      </c>
      <c r="AE302" s="24">
        <v>118000</v>
      </c>
      <c r="AF302" s="24">
        <v>116000</v>
      </c>
      <c r="AG302" s="24">
        <v>115000</v>
      </c>
      <c r="AH302" s="24">
        <v>116000</v>
      </c>
      <c r="AI302" s="24">
        <v>115000</v>
      </c>
      <c r="AJ302" s="25">
        <v>3.8</v>
      </c>
      <c r="AK302" s="25">
        <v>8.3000000000000007</v>
      </c>
    </row>
    <row r="303" spans="1:37" x14ac:dyDescent="0.25">
      <c r="A303" t="s">
        <v>532</v>
      </c>
      <c r="B303" t="s">
        <v>533</v>
      </c>
      <c r="C303">
        <v>114202059</v>
      </c>
      <c r="D303" t="str">
        <f t="shared" si="119"/>
        <v>Yaşar, Nurullah-114202059</v>
      </c>
      <c r="E303" s="22">
        <v>7</v>
      </c>
      <c r="F303" s="22">
        <v>2</v>
      </c>
      <c r="G303" s="22">
        <v>10</v>
      </c>
      <c r="H303" s="22">
        <v>2426755</v>
      </c>
      <c r="I303" s="22">
        <v>3747617</v>
      </c>
      <c r="J303" s="22">
        <v>2824152</v>
      </c>
      <c r="K303" s="22">
        <v>7704592</v>
      </c>
      <c r="L303" s="22">
        <v>100000</v>
      </c>
      <c r="M303" s="22">
        <v>108900</v>
      </c>
      <c r="N303" s="22">
        <v>117500</v>
      </c>
      <c r="O303" s="22">
        <v>126800</v>
      </c>
      <c r="P303" s="22">
        <v>126800</v>
      </c>
      <c r="Q303" s="22">
        <v>108900</v>
      </c>
      <c r="R303" s="22">
        <v>117500</v>
      </c>
      <c r="S303" s="22">
        <v>100000</v>
      </c>
      <c r="T303" s="24">
        <v>28000</v>
      </c>
      <c r="U303" s="22">
        <v>27198</v>
      </c>
      <c r="V303" s="22">
        <v>24798</v>
      </c>
      <c r="W303" s="22">
        <v>22298</v>
      </c>
      <c r="X303" s="22">
        <v>22298</v>
      </c>
      <c r="Y303" s="22">
        <v>27198</v>
      </c>
      <c r="Z303" s="22">
        <v>24798</v>
      </c>
      <c r="AA303" s="22">
        <v>29298</v>
      </c>
      <c r="AB303" s="24">
        <v>108000</v>
      </c>
      <c r="AC303" s="24">
        <v>111000</v>
      </c>
      <c r="AD303" s="24">
        <v>108000</v>
      </c>
      <c r="AE303" s="24">
        <v>111000</v>
      </c>
      <c r="AF303" s="24">
        <v>106000</v>
      </c>
      <c r="AG303" s="24">
        <v>109500</v>
      </c>
      <c r="AH303" s="24">
        <v>104000</v>
      </c>
      <c r="AI303" s="24">
        <v>107500</v>
      </c>
      <c r="AJ303" s="25">
        <v>3.1</v>
      </c>
      <c r="AK303" s="25">
        <v>6.9</v>
      </c>
    </row>
    <row r="304" spans="1:37" x14ac:dyDescent="0.25">
      <c r="A304" t="s">
        <v>534</v>
      </c>
      <c r="B304" t="s">
        <v>107</v>
      </c>
      <c r="C304">
        <v>113205034</v>
      </c>
      <c r="D304" t="str">
        <f t="shared" si="119"/>
        <v>Yavuz, Abdullah-113205034</v>
      </c>
      <c r="E304" s="22">
        <v>6</v>
      </c>
      <c r="F304" s="22">
        <v>2</v>
      </c>
      <c r="G304" s="22">
        <v>10</v>
      </c>
      <c r="H304" s="22">
        <v>3673964</v>
      </c>
      <c r="I304" s="22">
        <v>3668512</v>
      </c>
      <c r="J304" s="22">
        <v>1329987</v>
      </c>
      <c r="K304" s="22">
        <v>1285349</v>
      </c>
      <c r="L304" s="22">
        <v>100000</v>
      </c>
      <c r="M304" s="22">
        <v>108200</v>
      </c>
      <c r="N304" s="22">
        <v>117500</v>
      </c>
      <c r="O304" s="22">
        <v>126600</v>
      </c>
      <c r="P304" s="22">
        <v>100000</v>
      </c>
      <c r="Q304" s="22">
        <v>108200</v>
      </c>
      <c r="R304" s="22">
        <v>117500</v>
      </c>
      <c r="S304" s="22">
        <v>126600</v>
      </c>
      <c r="T304" s="24">
        <v>26000</v>
      </c>
      <c r="U304" s="22">
        <v>26799</v>
      </c>
      <c r="V304" s="22">
        <v>24599</v>
      </c>
      <c r="W304" s="22">
        <v>22499</v>
      </c>
      <c r="X304" s="22">
        <v>29299</v>
      </c>
      <c r="Y304" s="22">
        <v>26799</v>
      </c>
      <c r="Z304" s="22">
        <v>24599</v>
      </c>
      <c r="AA304" s="22">
        <v>22499</v>
      </c>
      <c r="AB304" s="24">
        <v>106000</v>
      </c>
      <c r="AC304" s="24">
        <v>106000</v>
      </c>
      <c r="AD304" s="24">
        <v>103000</v>
      </c>
      <c r="AE304" s="24">
        <v>105000</v>
      </c>
      <c r="AF304" s="24">
        <v>102000</v>
      </c>
      <c r="AG304" s="24">
        <v>104000</v>
      </c>
      <c r="AH304" s="24">
        <v>101000</v>
      </c>
      <c r="AI304" s="24">
        <v>103500</v>
      </c>
      <c r="AJ304" s="25">
        <v>2.6</v>
      </c>
      <c r="AK304" s="25">
        <v>9.6</v>
      </c>
    </row>
    <row r="305" spans="1:37" x14ac:dyDescent="0.25">
      <c r="A305" t="s">
        <v>535</v>
      </c>
      <c r="B305" t="s">
        <v>536</v>
      </c>
      <c r="C305">
        <v>113205040</v>
      </c>
      <c r="D305" t="str">
        <f t="shared" si="119"/>
        <v>Yeşerdir, Kaan Mert-113205040</v>
      </c>
      <c r="E305" s="22">
        <v>6</v>
      </c>
      <c r="F305" s="22">
        <v>2</v>
      </c>
      <c r="G305" s="22">
        <v>10</v>
      </c>
      <c r="H305" s="22">
        <v>5147261</v>
      </c>
      <c r="I305" s="22">
        <v>8933375</v>
      </c>
      <c r="J305" s="22">
        <v>6718169</v>
      </c>
      <c r="K305" s="22">
        <v>4087981</v>
      </c>
      <c r="L305" s="22">
        <v>100000</v>
      </c>
      <c r="M305" s="22">
        <v>109300</v>
      </c>
      <c r="N305" s="22">
        <v>117900</v>
      </c>
      <c r="O305" s="22">
        <v>127800</v>
      </c>
      <c r="P305" s="22">
        <v>109300</v>
      </c>
      <c r="Q305" s="22">
        <v>117900</v>
      </c>
      <c r="R305" s="22">
        <v>100000</v>
      </c>
      <c r="S305" s="22">
        <v>127800</v>
      </c>
      <c r="T305" s="24">
        <v>27000</v>
      </c>
      <c r="U305" s="22">
        <v>27300</v>
      </c>
      <c r="V305" s="22">
        <v>25000</v>
      </c>
      <c r="W305" s="22">
        <v>22800</v>
      </c>
      <c r="X305" s="22">
        <v>27300</v>
      </c>
      <c r="Y305" s="22">
        <v>25000</v>
      </c>
      <c r="Z305" s="22">
        <v>29300</v>
      </c>
      <c r="AA305" s="22">
        <v>22800</v>
      </c>
      <c r="AB305" s="24">
        <v>108000</v>
      </c>
      <c r="AC305" s="24">
        <v>111000</v>
      </c>
      <c r="AD305" s="24">
        <v>112000</v>
      </c>
      <c r="AE305" s="24">
        <v>111000</v>
      </c>
      <c r="AF305" s="24">
        <v>104000</v>
      </c>
      <c r="AG305" s="24">
        <v>108500</v>
      </c>
      <c r="AH305" s="24">
        <v>108000</v>
      </c>
      <c r="AI305" s="24">
        <v>108500</v>
      </c>
      <c r="AJ305" s="25">
        <v>2.9</v>
      </c>
      <c r="AK305" s="25">
        <v>7.5</v>
      </c>
    </row>
    <row r="306" spans="1:37" x14ac:dyDescent="0.25">
      <c r="A306" t="s">
        <v>537</v>
      </c>
      <c r="B306" t="s">
        <v>538</v>
      </c>
      <c r="C306">
        <v>114205043</v>
      </c>
      <c r="D306" t="str">
        <f t="shared" si="119"/>
        <v>Yeşilbaş, Ali Can-114205043</v>
      </c>
      <c r="E306" s="22">
        <v>6</v>
      </c>
      <c r="F306" s="22">
        <v>2</v>
      </c>
      <c r="G306" s="22">
        <v>10</v>
      </c>
      <c r="H306" s="22">
        <v>8201551</v>
      </c>
      <c r="I306" s="22">
        <v>3807423</v>
      </c>
      <c r="J306" s="22">
        <v>6398800</v>
      </c>
      <c r="K306" s="22">
        <v>7478277</v>
      </c>
      <c r="L306" s="22">
        <v>100000</v>
      </c>
      <c r="M306" s="22">
        <v>109800</v>
      </c>
      <c r="N306" s="22">
        <v>118600</v>
      </c>
      <c r="O306" s="22">
        <v>127300</v>
      </c>
      <c r="P306" s="22">
        <v>100000</v>
      </c>
      <c r="Q306" s="22">
        <v>127300</v>
      </c>
      <c r="R306" s="22">
        <v>118600</v>
      </c>
      <c r="S306" s="22">
        <v>109800</v>
      </c>
      <c r="T306" s="24">
        <v>24000</v>
      </c>
      <c r="U306" s="22">
        <v>27101</v>
      </c>
      <c r="V306" s="22">
        <v>25101</v>
      </c>
      <c r="W306" s="22">
        <v>23101</v>
      </c>
      <c r="X306" s="22">
        <v>29301</v>
      </c>
      <c r="Y306" s="22">
        <v>23101</v>
      </c>
      <c r="Z306" s="22">
        <v>25101</v>
      </c>
      <c r="AA306" s="22">
        <v>27101</v>
      </c>
      <c r="AB306" s="24">
        <v>107000</v>
      </c>
      <c r="AC306" s="24">
        <v>109000</v>
      </c>
      <c r="AD306" s="24">
        <v>109000</v>
      </c>
      <c r="AE306" s="24">
        <v>113000</v>
      </c>
      <c r="AF306" s="24">
        <v>104500</v>
      </c>
      <c r="AG306" s="24">
        <v>107000</v>
      </c>
      <c r="AH306" s="24">
        <v>106000</v>
      </c>
      <c r="AI306" s="24">
        <v>109000</v>
      </c>
      <c r="AJ306" s="25">
        <v>3.6</v>
      </c>
      <c r="AK306" s="25">
        <v>8</v>
      </c>
    </row>
    <row r="307" spans="1:37" x14ac:dyDescent="0.25">
      <c r="A307" t="s">
        <v>539</v>
      </c>
      <c r="B307" t="s">
        <v>540</v>
      </c>
      <c r="C307">
        <v>116201159</v>
      </c>
      <c r="D307" t="str">
        <f t="shared" si="119"/>
        <v>Yıldırım, Özlem Nur-116201159</v>
      </c>
      <c r="E307" s="22">
        <v>7</v>
      </c>
      <c r="F307" s="22">
        <v>3</v>
      </c>
      <c r="G307" s="22">
        <v>15</v>
      </c>
      <c r="H307" s="22">
        <v>5004429</v>
      </c>
      <c r="I307" s="22">
        <v>4479241</v>
      </c>
      <c r="J307" s="22">
        <v>4569316</v>
      </c>
      <c r="K307" s="22">
        <v>1149489</v>
      </c>
      <c r="L307" s="22">
        <v>100000</v>
      </c>
      <c r="M307" s="22">
        <v>108400</v>
      </c>
      <c r="N307" s="22">
        <v>118100</v>
      </c>
      <c r="O307" s="22">
        <v>127300</v>
      </c>
      <c r="P307" s="22">
        <v>100000</v>
      </c>
      <c r="Q307" s="22">
        <v>118100</v>
      </c>
      <c r="R307" s="22">
        <v>108400</v>
      </c>
      <c r="S307" s="22">
        <v>127300</v>
      </c>
      <c r="T307" s="24">
        <v>23000</v>
      </c>
      <c r="U307" s="22">
        <v>27302</v>
      </c>
      <c r="V307" s="22">
        <v>25102</v>
      </c>
      <c r="W307" s="22">
        <v>23002</v>
      </c>
      <c r="X307" s="22">
        <v>29302</v>
      </c>
      <c r="Y307" s="22">
        <v>25102</v>
      </c>
      <c r="Z307" s="22">
        <v>27302</v>
      </c>
      <c r="AA307" s="22">
        <v>23002</v>
      </c>
      <c r="AB307" s="24">
        <v>99000</v>
      </c>
      <c r="AC307" s="24">
        <v>100000</v>
      </c>
      <c r="AD307" s="24">
        <v>97000</v>
      </c>
      <c r="AE307" s="24">
        <v>99000</v>
      </c>
      <c r="AF307" s="24">
        <v>97500</v>
      </c>
      <c r="AG307" s="24">
        <v>97500</v>
      </c>
      <c r="AH307" s="24">
        <v>94500</v>
      </c>
      <c r="AI307" s="24">
        <v>97000</v>
      </c>
      <c r="AJ307" s="25">
        <v>4.5</v>
      </c>
      <c r="AK307" s="25">
        <v>7.3</v>
      </c>
    </row>
    <row r="308" spans="1:37" x14ac:dyDescent="0.25">
      <c r="A308" t="s">
        <v>541</v>
      </c>
      <c r="B308" t="s">
        <v>542</v>
      </c>
      <c r="C308">
        <v>114203010</v>
      </c>
      <c r="D308" t="str">
        <f t="shared" si="119"/>
        <v>Yıldız, Mustafa Gökhan-114203010</v>
      </c>
      <c r="E308" s="22">
        <v>4</v>
      </c>
      <c r="F308" s="22">
        <v>2</v>
      </c>
      <c r="G308" s="22">
        <v>10</v>
      </c>
      <c r="H308" s="22">
        <v>450765</v>
      </c>
      <c r="I308" s="22">
        <v>3849131</v>
      </c>
      <c r="J308" s="22">
        <v>2804327</v>
      </c>
      <c r="K308" s="22">
        <v>3199298</v>
      </c>
      <c r="L308" s="22">
        <v>100000</v>
      </c>
      <c r="M308" s="22">
        <v>109100</v>
      </c>
      <c r="N308" s="22">
        <v>119100</v>
      </c>
      <c r="O308" s="22">
        <v>127100</v>
      </c>
      <c r="P308" s="22">
        <v>109100</v>
      </c>
      <c r="Q308" s="22">
        <v>127100</v>
      </c>
      <c r="R308" s="22">
        <v>119100</v>
      </c>
      <c r="S308" s="22">
        <v>100000</v>
      </c>
      <c r="T308" s="24">
        <v>25000</v>
      </c>
      <c r="U308" s="22">
        <v>27003</v>
      </c>
      <c r="V308" s="22">
        <v>24603</v>
      </c>
      <c r="W308" s="22">
        <v>22203</v>
      </c>
      <c r="X308" s="22">
        <v>27003</v>
      </c>
      <c r="Y308" s="22">
        <v>22203</v>
      </c>
      <c r="Z308" s="22">
        <v>24603</v>
      </c>
      <c r="AA308" s="22">
        <v>29303</v>
      </c>
      <c r="AB308" s="24">
        <v>93000</v>
      </c>
      <c r="AC308" s="24">
        <v>91000</v>
      </c>
      <c r="AD308" s="24">
        <v>95000</v>
      </c>
      <c r="AE308" s="24">
        <v>98000</v>
      </c>
      <c r="AF308" s="24">
        <v>91500</v>
      </c>
      <c r="AG308" s="24">
        <v>89000</v>
      </c>
      <c r="AH308" s="24">
        <v>92000</v>
      </c>
      <c r="AI308" s="24">
        <v>96500</v>
      </c>
      <c r="AJ308" s="25">
        <v>3.6</v>
      </c>
      <c r="AK308" s="25">
        <v>9.6999999999999993</v>
      </c>
    </row>
    <row r="309" spans="1:37" x14ac:dyDescent="0.25">
      <c r="A309" t="s">
        <v>304</v>
      </c>
      <c r="B309" t="s">
        <v>233</v>
      </c>
      <c r="C309">
        <v>114204034</v>
      </c>
      <c r="D309" t="str">
        <f t="shared" si="119"/>
        <v>Yılmaz, Burak-114204034</v>
      </c>
      <c r="E309" s="22">
        <v>5</v>
      </c>
      <c r="F309" s="22">
        <v>2</v>
      </c>
      <c r="G309" s="22">
        <v>10</v>
      </c>
      <c r="H309" s="22">
        <v>8359401</v>
      </c>
      <c r="I309" s="22">
        <v>9892895</v>
      </c>
      <c r="J309" s="22">
        <v>5952353</v>
      </c>
      <c r="K309" s="22">
        <v>1597794</v>
      </c>
      <c r="L309" s="22">
        <v>100000</v>
      </c>
      <c r="M309" s="22">
        <v>109200</v>
      </c>
      <c r="N309" s="22">
        <v>118600</v>
      </c>
      <c r="O309" s="22">
        <v>127500</v>
      </c>
      <c r="P309" s="22">
        <v>109200</v>
      </c>
      <c r="Q309" s="22">
        <v>100000</v>
      </c>
      <c r="R309" s="22">
        <v>118600</v>
      </c>
      <c r="S309" s="22">
        <v>127500</v>
      </c>
      <c r="T309" s="24">
        <v>29000</v>
      </c>
      <c r="U309" s="22">
        <v>26904</v>
      </c>
      <c r="V309" s="22">
        <v>24604</v>
      </c>
      <c r="W309" s="22">
        <v>22304</v>
      </c>
      <c r="X309" s="22">
        <v>26904</v>
      </c>
      <c r="Y309" s="22">
        <v>29304</v>
      </c>
      <c r="Z309" s="22">
        <v>24604</v>
      </c>
      <c r="AA309" s="22">
        <v>22304</v>
      </c>
      <c r="AB309" s="24">
        <v>108000</v>
      </c>
      <c r="AC309" s="24">
        <v>106000</v>
      </c>
      <c r="AD309" s="24">
        <v>107000</v>
      </c>
      <c r="AE309" s="24">
        <v>110000</v>
      </c>
      <c r="AF309" s="24">
        <v>106500</v>
      </c>
      <c r="AG309" s="24">
        <v>103000</v>
      </c>
      <c r="AH309" s="24">
        <v>105000</v>
      </c>
      <c r="AI309" s="24">
        <v>106500</v>
      </c>
      <c r="AJ309" s="25">
        <v>3.6</v>
      </c>
      <c r="AK309" s="25">
        <v>8.1999999999999993</v>
      </c>
    </row>
    <row r="310" spans="1:37" x14ac:dyDescent="0.25">
      <c r="A310" t="s">
        <v>304</v>
      </c>
      <c r="B310" t="s">
        <v>233</v>
      </c>
      <c r="C310">
        <v>114205036</v>
      </c>
      <c r="D310" t="str">
        <f t="shared" si="119"/>
        <v>Yılmaz, Burak-114205036</v>
      </c>
      <c r="E310" s="22">
        <v>4</v>
      </c>
      <c r="F310" s="22">
        <v>1</v>
      </c>
      <c r="G310" s="22">
        <v>8</v>
      </c>
      <c r="H310" s="22">
        <v>4973471</v>
      </c>
      <c r="I310" s="22">
        <v>1609393</v>
      </c>
      <c r="J310" s="22">
        <v>6552944</v>
      </c>
      <c r="K310" s="22">
        <v>4161598</v>
      </c>
      <c r="L310" s="22">
        <v>100000</v>
      </c>
      <c r="M310" s="22">
        <v>109300</v>
      </c>
      <c r="N310" s="22">
        <v>119100</v>
      </c>
      <c r="O310" s="22">
        <v>128300</v>
      </c>
      <c r="P310" s="22">
        <v>119100</v>
      </c>
      <c r="Q310" s="22">
        <v>100000</v>
      </c>
      <c r="R310" s="22">
        <v>128300</v>
      </c>
      <c r="S310" s="22">
        <v>109300</v>
      </c>
      <c r="T310" s="24">
        <v>23000</v>
      </c>
      <c r="U310" s="22">
        <v>27205</v>
      </c>
      <c r="V310" s="22">
        <v>25105</v>
      </c>
      <c r="W310" s="22">
        <v>22805</v>
      </c>
      <c r="X310" s="22">
        <v>25105</v>
      </c>
      <c r="Y310" s="22">
        <v>29305</v>
      </c>
      <c r="Z310" s="22">
        <v>22805</v>
      </c>
      <c r="AA310" s="22">
        <v>27205</v>
      </c>
      <c r="AB310" s="24">
        <v>93000</v>
      </c>
      <c r="AC310" s="24">
        <v>90000</v>
      </c>
      <c r="AD310" s="24">
        <v>90000</v>
      </c>
      <c r="AE310" s="24">
        <v>93000</v>
      </c>
      <c r="AF310" s="24">
        <v>90000</v>
      </c>
      <c r="AG310" s="24">
        <v>88000</v>
      </c>
      <c r="AH310" s="24">
        <v>87000</v>
      </c>
      <c r="AI310" s="24">
        <v>90000</v>
      </c>
      <c r="AJ310" s="25">
        <v>3.8</v>
      </c>
      <c r="AK310" s="25">
        <v>7.1</v>
      </c>
    </row>
    <row r="311" spans="1:37" x14ac:dyDescent="0.25">
      <c r="A311" t="s">
        <v>304</v>
      </c>
      <c r="B311" t="s">
        <v>320</v>
      </c>
      <c r="C311">
        <v>115206047</v>
      </c>
      <c r="D311" t="str">
        <f t="shared" si="119"/>
        <v>Yılmaz, Enes-115206047</v>
      </c>
      <c r="E311" s="22">
        <v>4</v>
      </c>
      <c r="F311" s="22">
        <v>1</v>
      </c>
      <c r="G311" s="22">
        <v>8</v>
      </c>
      <c r="H311" s="22">
        <v>4038326</v>
      </c>
      <c r="I311" s="22">
        <v>6223174</v>
      </c>
      <c r="J311" s="22">
        <v>8791367</v>
      </c>
      <c r="K311" s="22">
        <v>9123469</v>
      </c>
      <c r="L311" s="22">
        <v>100000</v>
      </c>
      <c r="M311" s="22">
        <v>109000</v>
      </c>
      <c r="N311" s="22">
        <v>118500</v>
      </c>
      <c r="O311" s="22">
        <v>126800</v>
      </c>
      <c r="P311" s="22">
        <v>126800</v>
      </c>
      <c r="Q311" s="22">
        <v>118500</v>
      </c>
      <c r="R311" s="22">
        <v>109000</v>
      </c>
      <c r="S311" s="22">
        <v>100000</v>
      </c>
      <c r="T311" s="24">
        <v>27000</v>
      </c>
      <c r="U311" s="22">
        <v>27206</v>
      </c>
      <c r="V311" s="22">
        <v>24806</v>
      </c>
      <c r="W311" s="22">
        <v>22706</v>
      </c>
      <c r="X311" s="22">
        <v>22706</v>
      </c>
      <c r="Y311" s="22">
        <v>24806</v>
      </c>
      <c r="Z311" s="22">
        <v>27206</v>
      </c>
      <c r="AA311" s="22">
        <v>29306</v>
      </c>
      <c r="AB311" s="24">
        <v>119000</v>
      </c>
      <c r="AC311" s="24">
        <v>123000</v>
      </c>
      <c r="AD311" s="24">
        <v>125000</v>
      </c>
      <c r="AE311" s="24">
        <v>129000</v>
      </c>
      <c r="AF311" s="24">
        <v>117000</v>
      </c>
      <c r="AG311" s="24">
        <v>121500</v>
      </c>
      <c r="AH311" s="24">
        <v>122500</v>
      </c>
      <c r="AI311" s="24">
        <v>125500</v>
      </c>
      <c r="AJ311" s="25">
        <v>2.5</v>
      </c>
      <c r="AK311" s="25">
        <v>7.3</v>
      </c>
    </row>
    <row r="312" spans="1:37" x14ac:dyDescent="0.25">
      <c r="A312" t="s">
        <v>304</v>
      </c>
      <c r="B312" t="s">
        <v>543</v>
      </c>
      <c r="C312">
        <v>113204012</v>
      </c>
      <c r="D312" t="str">
        <f t="shared" si="119"/>
        <v>Yılmaz, Yavuz Sinan-113204012</v>
      </c>
      <c r="E312" s="22">
        <v>6</v>
      </c>
      <c r="F312" s="22">
        <v>2</v>
      </c>
      <c r="G312" s="22">
        <v>10</v>
      </c>
      <c r="H312" s="22">
        <v>9809395</v>
      </c>
      <c r="I312" s="22">
        <v>5973125</v>
      </c>
      <c r="J312" s="22">
        <v>157573</v>
      </c>
      <c r="K312" s="22">
        <v>2997220</v>
      </c>
      <c r="L312" s="22">
        <v>100000</v>
      </c>
      <c r="M312" s="22">
        <v>109600</v>
      </c>
      <c r="N312" s="22">
        <v>118900</v>
      </c>
      <c r="O312" s="22">
        <v>127100</v>
      </c>
      <c r="P312" s="22">
        <v>100000</v>
      </c>
      <c r="Q312" s="22">
        <v>109600</v>
      </c>
      <c r="R312" s="22">
        <v>127100</v>
      </c>
      <c r="S312" s="22">
        <v>118900</v>
      </c>
      <c r="T312" s="24">
        <v>26000</v>
      </c>
      <c r="U312" s="22">
        <v>26907</v>
      </c>
      <c r="V312" s="22">
        <v>24707</v>
      </c>
      <c r="W312" s="22">
        <v>22407</v>
      </c>
      <c r="X312" s="22">
        <v>29307</v>
      </c>
      <c r="Y312" s="22">
        <v>26907</v>
      </c>
      <c r="Z312" s="22">
        <v>22407</v>
      </c>
      <c r="AA312" s="22">
        <v>24707</v>
      </c>
      <c r="AB312" s="24">
        <v>90000</v>
      </c>
      <c r="AC312" s="24">
        <v>92000</v>
      </c>
      <c r="AD312" s="24">
        <v>92000</v>
      </c>
      <c r="AE312" s="24">
        <v>95000</v>
      </c>
      <c r="AF312" s="24">
        <v>86500</v>
      </c>
      <c r="AG312" s="24">
        <v>89000</v>
      </c>
      <c r="AH312" s="24">
        <v>88000</v>
      </c>
      <c r="AI312" s="24">
        <v>92500</v>
      </c>
      <c r="AJ312" s="25">
        <v>4.5</v>
      </c>
      <c r="AK312" s="25">
        <v>7.2</v>
      </c>
    </row>
    <row r="313" spans="1:37" x14ac:dyDescent="0.25">
      <c r="A313" t="s">
        <v>544</v>
      </c>
      <c r="B313" t="s">
        <v>545</v>
      </c>
      <c r="C313">
        <v>115205006</v>
      </c>
      <c r="D313" t="str">
        <f t="shared" si="119"/>
        <v>Youssef, Majed-115205006</v>
      </c>
      <c r="E313" s="22">
        <v>6</v>
      </c>
      <c r="F313" s="22">
        <v>2</v>
      </c>
      <c r="G313" s="22">
        <v>10</v>
      </c>
      <c r="H313" s="22">
        <v>1664169</v>
      </c>
      <c r="I313" s="22">
        <v>7651205</v>
      </c>
      <c r="J313" s="22">
        <v>3397652</v>
      </c>
      <c r="K313" s="22">
        <v>838613</v>
      </c>
      <c r="L313" s="22">
        <v>100000</v>
      </c>
      <c r="M313" s="22">
        <v>109500</v>
      </c>
      <c r="N313" s="22">
        <v>117500</v>
      </c>
      <c r="O313" s="22">
        <v>125700</v>
      </c>
      <c r="P313" s="22">
        <v>109500</v>
      </c>
      <c r="Q313" s="22">
        <v>117500</v>
      </c>
      <c r="R313" s="22">
        <v>100000</v>
      </c>
      <c r="S313" s="22">
        <v>125700</v>
      </c>
      <c r="T313" s="24">
        <v>27000</v>
      </c>
      <c r="U313" s="22">
        <v>27008</v>
      </c>
      <c r="V313" s="22">
        <v>24908</v>
      </c>
      <c r="W313" s="22">
        <v>22408</v>
      </c>
      <c r="X313" s="22">
        <v>27008</v>
      </c>
      <c r="Y313" s="22">
        <v>24908</v>
      </c>
      <c r="Z313" s="22">
        <v>29308</v>
      </c>
      <c r="AA313" s="22">
        <v>22408</v>
      </c>
      <c r="AB313" s="24">
        <v>90000</v>
      </c>
      <c r="AC313" s="24">
        <v>92000</v>
      </c>
      <c r="AD313" s="24">
        <v>89000</v>
      </c>
      <c r="AE313" s="24">
        <v>89000</v>
      </c>
      <c r="AF313" s="24">
        <v>87000</v>
      </c>
      <c r="AG313" s="24">
        <v>90000</v>
      </c>
      <c r="AH313" s="24">
        <v>86000</v>
      </c>
      <c r="AI313" s="24">
        <v>86000</v>
      </c>
      <c r="AJ313" s="25">
        <v>3.2</v>
      </c>
      <c r="AK313" s="25">
        <v>6.6</v>
      </c>
    </row>
    <row r="314" spans="1:37" x14ac:dyDescent="0.25">
      <c r="A314" t="s">
        <v>546</v>
      </c>
      <c r="B314" t="s">
        <v>547</v>
      </c>
      <c r="C314">
        <v>111201016</v>
      </c>
      <c r="D314" t="str">
        <f t="shared" si="119"/>
        <v>Yüce, Süvelde Tuğçe-111201016</v>
      </c>
      <c r="E314" s="22">
        <v>6</v>
      </c>
      <c r="F314" s="22">
        <v>1</v>
      </c>
      <c r="G314" s="22">
        <v>8</v>
      </c>
      <c r="H314" s="22">
        <v>4679822</v>
      </c>
      <c r="I314" s="22">
        <v>9972235</v>
      </c>
      <c r="J314" s="22">
        <v>3864104</v>
      </c>
      <c r="K314" s="22">
        <v>2965155</v>
      </c>
      <c r="L314" s="22">
        <v>100000</v>
      </c>
      <c r="M314" s="22">
        <v>108800</v>
      </c>
      <c r="N314" s="22">
        <v>118200</v>
      </c>
      <c r="O314" s="22">
        <v>127900</v>
      </c>
      <c r="P314" s="22">
        <v>108800</v>
      </c>
      <c r="Q314" s="22">
        <v>100000</v>
      </c>
      <c r="R314" s="22">
        <v>118200</v>
      </c>
      <c r="S314" s="22">
        <v>127900</v>
      </c>
      <c r="T314" s="24">
        <v>24000</v>
      </c>
      <c r="U314" s="22">
        <v>27109</v>
      </c>
      <c r="V314" s="22">
        <v>25009</v>
      </c>
      <c r="W314" s="22">
        <v>22509</v>
      </c>
      <c r="X314" s="22">
        <v>27109</v>
      </c>
      <c r="Y314" s="22">
        <v>29309</v>
      </c>
      <c r="Z314" s="22">
        <v>25009</v>
      </c>
      <c r="AA314" s="22">
        <v>22509</v>
      </c>
      <c r="AB314" s="24">
        <v>107000</v>
      </c>
      <c r="AC314" s="24">
        <v>106000</v>
      </c>
      <c r="AD314" s="24">
        <v>108000</v>
      </c>
      <c r="AE314" s="24">
        <v>107000</v>
      </c>
      <c r="AF314" s="24">
        <v>103000</v>
      </c>
      <c r="AG314" s="24">
        <v>103000</v>
      </c>
      <c r="AH314" s="24">
        <v>105500</v>
      </c>
      <c r="AI314" s="24">
        <v>104000</v>
      </c>
      <c r="AJ314" s="25">
        <v>4.0999999999999996</v>
      </c>
      <c r="AK314" s="25">
        <v>9.3000000000000007</v>
      </c>
    </row>
    <row r="315" spans="1:37" x14ac:dyDescent="0.25">
      <c r="A315" t="s">
        <v>548</v>
      </c>
      <c r="B315" t="s">
        <v>549</v>
      </c>
      <c r="C315">
        <v>114203048</v>
      </c>
      <c r="D315" t="str">
        <f t="shared" si="119"/>
        <v>Yücebağ, Deniz-114203048</v>
      </c>
      <c r="E315" s="22">
        <v>6</v>
      </c>
      <c r="F315" s="22">
        <v>3</v>
      </c>
      <c r="G315" s="22">
        <v>15</v>
      </c>
      <c r="H315" s="22">
        <v>7099671</v>
      </c>
      <c r="I315" s="22">
        <v>8087003</v>
      </c>
      <c r="J315" s="22">
        <v>8613941</v>
      </c>
      <c r="K315" s="22">
        <v>2622797</v>
      </c>
      <c r="L315" s="22">
        <v>100000</v>
      </c>
      <c r="M315" s="22">
        <v>108600</v>
      </c>
      <c r="N315" s="22">
        <v>116600</v>
      </c>
      <c r="O315" s="22">
        <v>126600</v>
      </c>
      <c r="P315" s="22">
        <v>116600</v>
      </c>
      <c r="Q315" s="22">
        <v>108600</v>
      </c>
      <c r="R315" s="22">
        <v>100000</v>
      </c>
      <c r="S315" s="22">
        <v>126600</v>
      </c>
      <c r="T315" s="24">
        <v>23000</v>
      </c>
      <c r="U315" s="22">
        <v>27110</v>
      </c>
      <c r="V315" s="22">
        <v>24810</v>
      </c>
      <c r="W315" s="22">
        <v>22810</v>
      </c>
      <c r="X315" s="22">
        <v>24810</v>
      </c>
      <c r="Y315" s="22">
        <v>27110</v>
      </c>
      <c r="Z315" s="22">
        <v>29310</v>
      </c>
      <c r="AA315" s="22">
        <v>22810</v>
      </c>
      <c r="AB315" s="24">
        <v>110000</v>
      </c>
      <c r="AC315" s="24">
        <v>109000</v>
      </c>
      <c r="AD315" s="24">
        <v>108000</v>
      </c>
      <c r="AE315" s="24">
        <v>110000</v>
      </c>
      <c r="AF315" s="24">
        <v>108000</v>
      </c>
      <c r="AG315" s="24">
        <v>106000</v>
      </c>
      <c r="AH315" s="24">
        <v>106500</v>
      </c>
      <c r="AI315" s="24">
        <v>106000</v>
      </c>
      <c r="AJ315" s="25">
        <v>4.3</v>
      </c>
      <c r="AK315" s="25">
        <v>9.1</v>
      </c>
    </row>
    <row r="316" spans="1:37" x14ac:dyDescent="0.25">
      <c r="A316" t="s">
        <v>550</v>
      </c>
      <c r="B316" t="s">
        <v>551</v>
      </c>
      <c r="C316">
        <v>116201132</v>
      </c>
      <c r="D316" t="str">
        <f t="shared" si="119"/>
        <v>Yücel, Necla-116201132</v>
      </c>
      <c r="E316" s="22">
        <v>6</v>
      </c>
      <c r="F316" s="22">
        <v>1</v>
      </c>
      <c r="G316" s="22">
        <v>8</v>
      </c>
      <c r="H316" s="22">
        <v>5457154</v>
      </c>
      <c r="I316" s="22">
        <v>2871107</v>
      </c>
      <c r="J316" s="22">
        <v>2349533</v>
      </c>
      <c r="K316" s="22">
        <v>6148658</v>
      </c>
      <c r="L316" s="22">
        <v>100000</v>
      </c>
      <c r="M316" s="22">
        <v>109600</v>
      </c>
      <c r="N316" s="22">
        <v>118200</v>
      </c>
      <c r="O316" s="22">
        <v>126900</v>
      </c>
      <c r="P316" s="22">
        <v>126900</v>
      </c>
      <c r="Q316" s="22">
        <v>100000</v>
      </c>
      <c r="R316" s="22">
        <v>109600</v>
      </c>
      <c r="S316" s="22">
        <v>118200</v>
      </c>
      <c r="T316" s="24">
        <v>23000</v>
      </c>
      <c r="U316" s="22">
        <v>26811</v>
      </c>
      <c r="V316" s="22">
        <v>24311</v>
      </c>
      <c r="W316" s="22">
        <v>22311</v>
      </c>
      <c r="X316" s="22">
        <v>22311</v>
      </c>
      <c r="Y316" s="22">
        <v>29311</v>
      </c>
      <c r="Z316" s="22">
        <v>26811</v>
      </c>
      <c r="AA316" s="22">
        <v>24311</v>
      </c>
      <c r="AB316" s="24">
        <v>112000</v>
      </c>
      <c r="AC316" s="24">
        <v>109000</v>
      </c>
      <c r="AD316" s="24">
        <v>109000</v>
      </c>
      <c r="AE316" s="24">
        <v>113000</v>
      </c>
      <c r="AF316" s="24">
        <v>110000</v>
      </c>
      <c r="AG316" s="24">
        <v>105000</v>
      </c>
      <c r="AH316" s="24">
        <v>107000</v>
      </c>
      <c r="AI316" s="24">
        <v>110500</v>
      </c>
      <c r="AJ316" s="25">
        <v>4.5999999999999996</v>
      </c>
      <c r="AK316" s="25">
        <v>8.1</v>
      </c>
    </row>
    <row r="317" spans="1:37" x14ac:dyDescent="0.25">
      <c r="A317" t="s">
        <v>552</v>
      </c>
      <c r="B317" t="s">
        <v>284</v>
      </c>
      <c r="C317">
        <v>114202010</v>
      </c>
      <c r="D317" t="str">
        <f t="shared" si="119"/>
        <v>Yukarıkozan, Mert-114202010</v>
      </c>
      <c r="E317" s="22">
        <v>5</v>
      </c>
      <c r="F317" s="22">
        <v>1</v>
      </c>
      <c r="G317" s="22">
        <v>8</v>
      </c>
      <c r="H317" s="22">
        <v>3613424</v>
      </c>
      <c r="I317" s="22">
        <v>9659619</v>
      </c>
      <c r="J317" s="22">
        <v>814393</v>
      </c>
      <c r="K317" s="22">
        <v>9162200</v>
      </c>
      <c r="L317" s="22">
        <v>100000</v>
      </c>
      <c r="M317" s="22">
        <v>108100</v>
      </c>
      <c r="N317" s="22">
        <v>117900</v>
      </c>
      <c r="O317" s="22">
        <v>127300</v>
      </c>
      <c r="P317" s="22">
        <v>108100</v>
      </c>
      <c r="Q317" s="22">
        <v>127300</v>
      </c>
      <c r="R317" s="22">
        <v>100000</v>
      </c>
      <c r="S317" s="22">
        <v>117900</v>
      </c>
      <c r="T317" s="24">
        <v>25000</v>
      </c>
      <c r="U317" s="22">
        <v>27012</v>
      </c>
      <c r="V317" s="22">
        <v>24612</v>
      </c>
      <c r="W317" s="22">
        <v>22612</v>
      </c>
      <c r="X317" s="22">
        <v>27012</v>
      </c>
      <c r="Y317" s="22">
        <v>22612</v>
      </c>
      <c r="Z317" s="22">
        <v>29312</v>
      </c>
      <c r="AA317" s="22">
        <v>24612</v>
      </c>
      <c r="AB317" s="24">
        <v>91000</v>
      </c>
      <c r="AC317" s="24">
        <v>88000</v>
      </c>
      <c r="AD317" s="24">
        <v>85000</v>
      </c>
      <c r="AE317" s="24">
        <v>84000</v>
      </c>
      <c r="AF317" s="24">
        <v>88000</v>
      </c>
      <c r="AG317" s="24">
        <v>86500</v>
      </c>
      <c r="AH317" s="24">
        <v>81000</v>
      </c>
      <c r="AI317" s="24">
        <v>81500</v>
      </c>
      <c r="AJ317" s="25">
        <v>5</v>
      </c>
      <c r="AK317" s="25">
        <v>8.6999999999999993</v>
      </c>
    </row>
    <row r="318" spans="1:37" x14ac:dyDescent="0.25">
      <c r="A318" t="s">
        <v>553</v>
      </c>
      <c r="B318" t="s">
        <v>554</v>
      </c>
      <c r="C318">
        <v>114204038</v>
      </c>
      <c r="D318" t="str">
        <f t="shared" si="119"/>
        <v>Yüksektepe, Veysel-114204038</v>
      </c>
      <c r="E318" s="22">
        <v>4</v>
      </c>
      <c r="F318" s="22">
        <v>2</v>
      </c>
      <c r="G318" s="22">
        <v>10</v>
      </c>
      <c r="H318" s="22">
        <v>8055862</v>
      </c>
      <c r="I318" s="22">
        <v>3308512</v>
      </c>
      <c r="J318" s="22">
        <v>6289035</v>
      </c>
      <c r="K318" s="22">
        <v>6336968</v>
      </c>
      <c r="L318" s="22">
        <v>100000</v>
      </c>
      <c r="M318" s="22">
        <v>108700</v>
      </c>
      <c r="N318" s="22">
        <v>117600</v>
      </c>
      <c r="O318" s="22">
        <v>126400</v>
      </c>
      <c r="P318" s="22">
        <v>100000</v>
      </c>
      <c r="Q318" s="22">
        <v>126400</v>
      </c>
      <c r="R318" s="22">
        <v>117600</v>
      </c>
      <c r="S318" s="22">
        <v>108700</v>
      </c>
      <c r="T318" s="24">
        <v>23000</v>
      </c>
      <c r="U318" s="22">
        <v>27113</v>
      </c>
      <c r="V318" s="22">
        <v>25113</v>
      </c>
      <c r="W318" s="22">
        <v>22713</v>
      </c>
      <c r="X318" s="22">
        <v>29313</v>
      </c>
      <c r="Y318" s="22">
        <v>22713</v>
      </c>
      <c r="Z318" s="22">
        <v>25113</v>
      </c>
      <c r="AA318" s="22">
        <v>27113</v>
      </c>
      <c r="AB318" s="24">
        <v>111000</v>
      </c>
      <c r="AC318" s="24">
        <v>109000</v>
      </c>
      <c r="AD318" s="24">
        <v>108000</v>
      </c>
      <c r="AE318" s="24">
        <v>111000</v>
      </c>
      <c r="AF318" s="24">
        <v>107000</v>
      </c>
      <c r="AG318" s="24">
        <v>106500</v>
      </c>
      <c r="AH318" s="24">
        <v>104000</v>
      </c>
      <c r="AI318" s="24">
        <v>108000</v>
      </c>
      <c r="AJ318" s="25">
        <v>3.8</v>
      </c>
      <c r="AK318" s="25">
        <v>6.6</v>
      </c>
    </row>
    <row r="319" spans="1:37" x14ac:dyDescent="0.25">
      <c r="A319" t="s">
        <v>555</v>
      </c>
      <c r="B319" t="s">
        <v>556</v>
      </c>
      <c r="C319">
        <v>112200073</v>
      </c>
      <c r="D319" t="str">
        <f t="shared" si="119"/>
        <v>Yuvacı, Talha-112200073</v>
      </c>
      <c r="E319" s="22">
        <v>5</v>
      </c>
      <c r="F319" s="22">
        <v>3</v>
      </c>
      <c r="G319" s="22">
        <v>15</v>
      </c>
      <c r="H319" s="22">
        <v>7547200</v>
      </c>
      <c r="I319" s="22">
        <v>475163</v>
      </c>
      <c r="J319" s="22">
        <v>4374161</v>
      </c>
      <c r="K319" s="22">
        <v>860012</v>
      </c>
      <c r="L319" s="22">
        <v>100000</v>
      </c>
      <c r="M319" s="22">
        <v>109300</v>
      </c>
      <c r="N319" s="22">
        <v>118700</v>
      </c>
      <c r="O319" s="22">
        <v>127900</v>
      </c>
      <c r="P319" s="22">
        <v>100000</v>
      </c>
      <c r="Q319" s="22">
        <v>118700</v>
      </c>
      <c r="R319" s="22">
        <v>127900</v>
      </c>
      <c r="S319" s="22">
        <v>109300</v>
      </c>
      <c r="T319" s="24">
        <v>25000</v>
      </c>
      <c r="U319" s="22">
        <v>27214</v>
      </c>
      <c r="V319" s="22">
        <v>25014</v>
      </c>
      <c r="W319" s="22">
        <v>22814</v>
      </c>
      <c r="X319" s="22">
        <v>29314</v>
      </c>
      <c r="Y319" s="22">
        <v>25014</v>
      </c>
      <c r="Z319" s="22">
        <v>22814</v>
      </c>
      <c r="AA319" s="22">
        <v>27214</v>
      </c>
      <c r="AB319" s="24">
        <v>104000</v>
      </c>
      <c r="AC319" s="24">
        <v>106000</v>
      </c>
      <c r="AD319" s="24">
        <v>104000</v>
      </c>
      <c r="AE319" s="24">
        <v>103000</v>
      </c>
      <c r="AF319" s="24">
        <v>100500</v>
      </c>
      <c r="AG319" s="24">
        <v>104000</v>
      </c>
      <c r="AH319" s="24">
        <v>100000</v>
      </c>
      <c r="AI319" s="24">
        <v>100500</v>
      </c>
      <c r="AJ319" s="25">
        <v>4.0999999999999996</v>
      </c>
      <c r="AK319" s="25">
        <v>9.1999999999999993</v>
      </c>
    </row>
    <row r="320" spans="1:37" x14ac:dyDescent="0.25">
      <c r="A320" t="s">
        <v>557</v>
      </c>
      <c r="B320" t="s">
        <v>417</v>
      </c>
      <c r="C320">
        <v>11495088</v>
      </c>
      <c r="D320" t="str">
        <f t="shared" si="119"/>
        <v>Zengi, Kaan-11495088</v>
      </c>
      <c r="E320" s="22">
        <v>5</v>
      </c>
      <c r="F320" s="22">
        <v>1</v>
      </c>
      <c r="G320" s="22">
        <v>8</v>
      </c>
      <c r="H320" s="22">
        <v>3717643</v>
      </c>
      <c r="I320" s="22">
        <v>4477938</v>
      </c>
      <c r="J320" s="22">
        <v>2976517</v>
      </c>
      <c r="K320" s="22">
        <v>9080448</v>
      </c>
      <c r="L320" s="22">
        <v>100000</v>
      </c>
      <c r="M320" s="22">
        <v>108500</v>
      </c>
      <c r="N320" s="22">
        <v>118000</v>
      </c>
      <c r="O320" s="22">
        <v>126000</v>
      </c>
      <c r="P320" s="22">
        <v>126000</v>
      </c>
      <c r="Q320" s="22">
        <v>108500</v>
      </c>
      <c r="R320" s="22">
        <v>100000</v>
      </c>
      <c r="S320" s="22">
        <v>118000</v>
      </c>
      <c r="T320" s="24">
        <v>23000</v>
      </c>
      <c r="U320" s="22">
        <v>27215</v>
      </c>
      <c r="V320" s="22">
        <v>24715</v>
      </c>
      <c r="W320" s="22">
        <v>22615</v>
      </c>
      <c r="X320" s="22">
        <v>22615</v>
      </c>
      <c r="Y320" s="22">
        <v>27215</v>
      </c>
      <c r="Z320" s="22">
        <v>29315</v>
      </c>
      <c r="AA320" s="22">
        <v>24715</v>
      </c>
      <c r="AB320" s="24">
        <v>100000</v>
      </c>
      <c r="AC320" s="24">
        <v>97000</v>
      </c>
      <c r="AD320" s="24">
        <v>98000</v>
      </c>
      <c r="AE320" s="24">
        <v>102000</v>
      </c>
      <c r="AF320" s="24">
        <v>98500</v>
      </c>
      <c r="AG320" s="24">
        <v>93500</v>
      </c>
      <c r="AH320" s="24">
        <v>94000</v>
      </c>
      <c r="AI320" s="24">
        <v>99500</v>
      </c>
      <c r="AJ320" s="25">
        <v>3.7</v>
      </c>
      <c r="AK320" s="25">
        <v>7.7</v>
      </c>
    </row>
    <row r="321" spans="1:37" x14ac:dyDescent="0.25">
      <c r="A321" t="s">
        <v>558</v>
      </c>
      <c r="B321" t="s">
        <v>559</v>
      </c>
      <c r="C321">
        <v>113204034</v>
      </c>
      <c r="D321" t="str">
        <f t="shared" si="119"/>
        <v>Zeper, Seyfi Tunç-113204034</v>
      </c>
      <c r="E321" s="22">
        <v>4</v>
      </c>
      <c r="F321" s="22">
        <v>1</v>
      </c>
      <c r="G321" s="22">
        <v>8</v>
      </c>
      <c r="H321" s="22">
        <v>1722464</v>
      </c>
      <c r="I321" s="22">
        <v>6728800</v>
      </c>
      <c r="J321" s="22">
        <v>4576053</v>
      </c>
      <c r="K321" s="22">
        <v>1264096</v>
      </c>
      <c r="L321" s="22">
        <v>100000</v>
      </c>
      <c r="M321" s="22">
        <v>109800</v>
      </c>
      <c r="N321" s="22">
        <v>118300</v>
      </c>
      <c r="O321" s="22">
        <v>127000</v>
      </c>
      <c r="P321" s="22">
        <v>109800</v>
      </c>
      <c r="Q321" s="22">
        <v>118300</v>
      </c>
      <c r="R321" s="22">
        <v>100000</v>
      </c>
      <c r="S321" s="22">
        <v>127000</v>
      </c>
      <c r="T321" s="24">
        <v>27000</v>
      </c>
      <c r="U321" s="22">
        <v>27016</v>
      </c>
      <c r="V321" s="22">
        <v>24616</v>
      </c>
      <c r="W321" s="22">
        <v>22216</v>
      </c>
      <c r="X321" s="22">
        <v>27016</v>
      </c>
      <c r="Y321" s="22">
        <v>24616</v>
      </c>
      <c r="Z321" s="22">
        <v>29316</v>
      </c>
      <c r="AA321" s="22">
        <v>22216</v>
      </c>
      <c r="AB321" s="24">
        <v>112000</v>
      </c>
      <c r="AC321" s="24">
        <v>116000</v>
      </c>
      <c r="AD321" s="24">
        <v>119000</v>
      </c>
      <c r="AE321" s="24">
        <v>123000</v>
      </c>
      <c r="AF321" s="24">
        <v>109500</v>
      </c>
      <c r="AG321" s="24">
        <v>112000</v>
      </c>
      <c r="AH321" s="24">
        <v>117000</v>
      </c>
      <c r="AI321" s="24">
        <v>119500</v>
      </c>
      <c r="AJ321" s="25">
        <v>3.6</v>
      </c>
      <c r="AK321" s="25">
        <v>8</v>
      </c>
    </row>
    <row r="322" spans="1:37" x14ac:dyDescent="0.25">
      <c r="A322" t="s">
        <v>560</v>
      </c>
      <c r="B322" t="s">
        <v>246</v>
      </c>
      <c r="C322">
        <v>114203021</v>
      </c>
      <c r="D322" t="str">
        <f t="shared" si="119"/>
        <v>Ziylan, Sena-114203021</v>
      </c>
      <c r="E322" s="22">
        <v>6</v>
      </c>
      <c r="F322" s="22">
        <v>1</v>
      </c>
      <c r="G322" s="22">
        <v>8</v>
      </c>
      <c r="H322" s="22">
        <v>5171647</v>
      </c>
      <c r="I322" s="22">
        <v>7279115</v>
      </c>
      <c r="J322" s="22">
        <v>3201459</v>
      </c>
      <c r="K322" s="22">
        <v>5905900</v>
      </c>
      <c r="L322" s="22">
        <v>100000</v>
      </c>
      <c r="M322" s="22">
        <v>109000</v>
      </c>
      <c r="N322" s="22">
        <v>117600</v>
      </c>
      <c r="O322" s="22">
        <v>127600</v>
      </c>
      <c r="P322" s="22">
        <v>109000</v>
      </c>
      <c r="Q322" s="22">
        <v>127600</v>
      </c>
      <c r="R322" s="22">
        <v>100000</v>
      </c>
      <c r="S322" s="22">
        <v>117600</v>
      </c>
      <c r="T322" s="24">
        <v>27000</v>
      </c>
      <c r="U322" s="22">
        <v>26917</v>
      </c>
      <c r="V322" s="22">
        <v>24417</v>
      </c>
      <c r="W322" s="22">
        <v>22317</v>
      </c>
      <c r="X322" s="22">
        <v>26917</v>
      </c>
      <c r="Y322" s="22">
        <v>22317</v>
      </c>
      <c r="Z322" s="22">
        <v>29317</v>
      </c>
      <c r="AA322" s="22">
        <v>24417</v>
      </c>
      <c r="AB322" s="24">
        <v>114000</v>
      </c>
      <c r="AC322" s="24">
        <v>115000</v>
      </c>
      <c r="AD322" s="24">
        <v>118000</v>
      </c>
      <c r="AE322" s="24">
        <v>121000</v>
      </c>
      <c r="AF322" s="24">
        <v>110000</v>
      </c>
      <c r="AG322" s="24">
        <v>112500</v>
      </c>
      <c r="AH322" s="24">
        <v>115000</v>
      </c>
      <c r="AI322" s="24">
        <v>117000</v>
      </c>
      <c r="AJ322" s="25">
        <v>4.8</v>
      </c>
      <c r="AK322" s="25">
        <v>7.5</v>
      </c>
    </row>
  </sheetData>
  <mergeCells count="30">
    <mergeCell ref="CH3:CH4"/>
    <mergeCell ref="CV3:CV4"/>
    <mergeCell ref="CH2:CV2"/>
    <mergeCell ref="CI3:CI4"/>
    <mergeCell ref="CJ3:CJ4"/>
    <mergeCell ref="CK3:CK4"/>
    <mergeCell ref="CL3:CL4"/>
    <mergeCell ref="CU3:CU4"/>
    <mergeCell ref="BD3:BD4"/>
    <mergeCell ref="BM3:BM4"/>
    <mergeCell ref="BN3:BN4"/>
    <mergeCell ref="AZ2:BN2"/>
    <mergeCell ref="BQ2:CE2"/>
    <mergeCell ref="BQ3:BQ4"/>
    <mergeCell ref="BR3:BR4"/>
    <mergeCell ref="BS3:BS4"/>
    <mergeCell ref="BT3:BT4"/>
    <mergeCell ref="BU3:BU4"/>
    <mergeCell ref="CD3:CD4"/>
    <mergeCell ref="CE3:CE4"/>
    <mergeCell ref="E1:G1"/>
    <mergeCell ref="AZ3:AZ4"/>
    <mergeCell ref="BA3:BA4"/>
    <mergeCell ref="BB3:BB4"/>
    <mergeCell ref="BC3:BC4"/>
    <mergeCell ref="H1:K1"/>
    <mergeCell ref="L1:O1"/>
    <mergeCell ref="P1:S1"/>
    <mergeCell ref="T1:W1"/>
    <mergeCell ref="X1:AA1"/>
  </mergeCells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</vt:i4>
      </vt:variant>
    </vt:vector>
  </HeadingPairs>
  <TitlesOfParts>
    <vt:vector size="3" baseType="lpstr">
      <vt:lpstr>Question</vt:lpstr>
      <vt:lpstr>Data!Yazdırma_Alanı</vt:lpstr>
      <vt:lpstr>Question!Yazdırma_Alanı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ummanmahir</dc:creator>
  <cp:lastModifiedBy>user</cp:lastModifiedBy>
  <cp:lastPrinted>2017-12-04T16:03:20Z</cp:lastPrinted>
  <dcterms:created xsi:type="dcterms:W3CDTF">2016-10-14T13:49:02Z</dcterms:created>
  <dcterms:modified xsi:type="dcterms:W3CDTF">2017-12-10T12:19:43Z</dcterms:modified>
</cp:coreProperties>
</file>